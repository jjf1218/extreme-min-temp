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1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13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4915" windowHeight="12840" tabRatio="659" activeTab="7"/>
  </bookViews>
  <sheets>
    <sheet name="IM NOE" sheetId="1" r:id="rId1"/>
    <sheet name="IM AOE" sheetId="2" r:id="rId2"/>
    <sheet name="ACM NOE" sheetId="8" r:id="rId3"/>
    <sheet name="ACM AOE" sheetId="9" r:id="rId4"/>
    <sheet name="NB NOE" sheetId="14" r:id="rId5"/>
    <sheet name="NB AOE" sheetId="15" r:id="rId6"/>
    <sheet name="SS NOE" sheetId="17" r:id="rId7"/>
    <sheet name="SS AOE" sheetId="18" r:id="rId8"/>
    <sheet name="IM Plots" sheetId="7" r:id="rId9"/>
    <sheet name="ACM Plots" sheetId="10" r:id="rId10"/>
    <sheet name="NB Plots" sheetId="16" r:id="rId11"/>
    <sheet name="SS Plots" sheetId="19" r:id="rId12"/>
    <sheet name="16 Climatological Plots" sheetId="20" r:id="rId13"/>
  </sheets>
  <externalReferences>
    <externalReference r:id="rId14"/>
    <externalReference r:id="rId15"/>
    <externalReference r:id="rId16"/>
  </externalReferences>
  <definedNames>
    <definedName name="acm_annual" localSheetId="3">'ACM AOE'!$V$2:$W$146</definedName>
  </definedNames>
  <calcPr calcId="145621"/>
</workbook>
</file>

<file path=xl/calcChain.xml><?xml version="1.0" encoding="utf-8"?>
<calcChain xmlns="http://schemas.openxmlformats.org/spreadsheetml/2006/main">
  <c r="AS103" i="18" l="1"/>
  <c r="AS104" i="18"/>
  <c r="AS105" i="18"/>
  <c r="AS102" i="18"/>
  <c r="V147" i="9"/>
  <c r="V120" i="2"/>
  <c r="Y2" i="9" l="1"/>
  <c r="U2" i="18"/>
  <c r="AS27" i="15" l="1"/>
  <c r="C122" i="18" l="1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B122" i="18"/>
  <c r="D122" i="17"/>
  <c r="E122" i="17"/>
  <c r="F122" i="17"/>
  <c r="G122" i="17"/>
  <c r="H122" i="17"/>
  <c r="I122" i="17"/>
  <c r="J122" i="17"/>
  <c r="K122" i="17"/>
  <c r="L122" i="17"/>
  <c r="M122" i="17"/>
  <c r="N122" i="17"/>
  <c r="O122" i="17"/>
  <c r="P122" i="17"/>
  <c r="Q122" i="17"/>
  <c r="C122" i="17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B121" i="18"/>
  <c r="C121" i="17"/>
  <c r="D121" i="17"/>
  <c r="E121" i="17"/>
  <c r="F121" i="17"/>
  <c r="G121" i="17"/>
  <c r="H121" i="17"/>
  <c r="I121" i="17"/>
  <c r="J121" i="17"/>
  <c r="K121" i="17"/>
  <c r="L121" i="17"/>
  <c r="M121" i="17"/>
  <c r="N121" i="17"/>
  <c r="O121" i="17"/>
  <c r="C125" i="15"/>
  <c r="D125" i="15"/>
  <c r="E125" i="15"/>
  <c r="F125" i="15"/>
  <c r="G125" i="15"/>
  <c r="H125" i="15"/>
  <c r="I125" i="15"/>
  <c r="J125" i="15"/>
  <c r="K125" i="15"/>
  <c r="L125" i="15"/>
  <c r="M125" i="15"/>
  <c r="N125" i="15"/>
  <c r="O125" i="15"/>
  <c r="P125" i="15"/>
  <c r="Q125" i="15"/>
  <c r="R125" i="15"/>
  <c r="S125" i="15"/>
  <c r="U125" i="15"/>
  <c r="V125" i="15"/>
  <c r="W125" i="15"/>
  <c r="X125" i="15"/>
  <c r="Y125" i="15"/>
  <c r="Z125" i="15"/>
  <c r="AA125" i="15"/>
  <c r="AB125" i="15"/>
  <c r="AC125" i="15"/>
  <c r="AD125" i="15"/>
  <c r="AE125" i="15"/>
  <c r="AF125" i="15"/>
  <c r="AG125" i="15"/>
  <c r="AH125" i="15"/>
  <c r="AI125" i="15"/>
  <c r="AJ125" i="15"/>
  <c r="AK125" i="15"/>
  <c r="B125" i="15"/>
  <c r="C126" i="15"/>
  <c r="D126" i="15"/>
  <c r="E126" i="15"/>
  <c r="F126" i="15"/>
  <c r="G126" i="15"/>
  <c r="H126" i="15"/>
  <c r="I126" i="15"/>
  <c r="J126" i="15"/>
  <c r="K126" i="15"/>
  <c r="L126" i="15"/>
  <c r="M126" i="15"/>
  <c r="N126" i="15"/>
  <c r="O126" i="15"/>
  <c r="P126" i="15"/>
  <c r="Q126" i="15"/>
  <c r="R126" i="15"/>
  <c r="S126" i="15"/>
  <c r="U126" i="15"/>
  <c r="V126" i="15"/>
  <c r="W126" i="15"/>
  <c r="X126" i="15"/>
  <c r="Y126" i="15"/>
  <c r="Z126" i="15"/>
  <c r="AA126" i="15"/>
  <c r="AB126" i="15"/>
  <c r="AC126" i="15"/>
  <c r="AD126" i="15"/>
  <c r="AE126" i="15"/>
  <c r="AF126" i="15"/>
  <c r="AG126" i="15"/>
  <c r="AH126" i="15"/>
  <c r="AI126" i="15"/>
  <c r="AJ126" i="15"/>
  <c r="AK126" i="15"/>
  <c r="B126" i="15"/>
  <c r="D126" i="14"/>
  <c r="E126" i="14"/>
  <c r="F126" i="14"/>
  <c r="G126" i="14"/>
  <c r="H126" i="14"/>
  <c r="I126" i="14"/>
  <c r="J126" i="14"/>
  <c r="K126" i="14"/>
  <c r="L126" i="14"/>
  <c r="M126" i="14"/>
  <c r="N126" i="14"/>
  <c r="O126" i="14"/>
  <c r="P126" i="14"/>
  <c r="Q126" i="14"/>
  <c r="R126" i="14"/>
  <c r="S126" i="14"/>
  <c r="C126" i="14"/>
  <c r="D125" i="14"/>
  <c r="E125" i="14"/>
  <c r="F125" i="14"/>
  <c r="G125" i="14"/>
  <c r="H125" i="14"/>
  <c r="I125" i="14"/>
  <c r="J125" i="14"/>
  <c r="K125" i="14"/>
  <c r="L125" i="14"/>
  <c r="M125" i="14"/>
  <c r="N125" i="14"/>
  <c r="O125" i="14"/>
  <c r="P125" i="14"/>
  <c r="Q125" i="14"/>
  <c r="R125" i="14"/>
  <c r="S125" i="14"/>
  <c r="C125" i="14"/>
  <c r="D147" i="9"/>
  <c r="E147" i="9"/>
  <c r="F147" i="9"/>
  <c r="G147" i="9"/>
  <c r="H147" i="9"/>
  <c r="I147" i="9"/>
  <c r="J147" i="9"/>
  <c r="K147" i="9"/>
  <c r="L147" i="9"/>
  <c r="M147" i="9"/>
  <c r="N147" i="9"/>
  <c r="O147" i="9"/>
  <c r="P147" i="9"/>
  <c r="Q147" i="9"/>
  <c r="R147" i="9"/>
  <c r="S147" i="9"/>
  <c r="W147" i="9"/>
  <c r="X147" i="9"/>
  <c r="Y147" i="9"/>
  <c r="Z147" i="9"/>
  <c r="AA147" i="9"/>
  <c r="AB147" i="9"/>
  <c r="AC147" i="9"/>
  <c r="AD147" i="9"/>
  <c r="AE147" i="9"/>
  <c r="AF147" i="9"/>
  <c r="AG147" i="9"/>
  <c r="AH147" i="9"/>
  <c r="AI147" i="9"/>
  <c r="AJ147" i="9"/>
  <c r="AK147" i="9"/>
  <c r="AL147" i="9"/>
  <c r="AM147" i="9"/>
  <c r="AN147" i="9"/>
  <c r="C147" i="9"/>
  <c r="X3" i="9"/>
  <c r="Y3" i="9"/>
  <c r="Z3" i="9"/>
  <c r="AA3" i="9"/>
  <c r="AA148" i="9" s="1"/>
  <c r="AB3" i="9"/>
  <c r="AC3" i="9"/>
  <c r="AD3" i="9"/>
  <c r="AE3" i="9"/>
  <c r="AF3" i="9"/>
  <c r="AG3" i="9"/>
  <c r="AH3" i="9"/>
  <c r="AI3" i="9"/>
  <c r="AJ3" i="9"/>
  <c r="AK3" i="9"/>
  <c r="AL3" i="9"/>
  <c r="AM3" i="9"/>
  <c r="AM148" i="9" s="1"/>
  <c r="AN3" i="9"/>
  <c r="X4" i="9"/>
  <c r="Y4" i="9"/>
  <c r="Z4" i="9"/>
  <c r="AA4" i="9"/>
  <c r="AB4" i="9"/>
  <c r="AC4" i="9"/>
  <c r="AD4" i="9"/>
  <c r="AE4" i="9"/>
  <c r="AF4" i="9"/>
  <c r="AG4" i="9"/>
  <c r="AH4" i="9"/>
  <c r="AH148" i="9" s="1"/>
  <c r="AI4" i="9"/>
  <c r="AJ4" i="9"/>
  <c r="AK4" i="9"/>
  <c r="AL4" i="9"/>
  <c r="AM4" i="9"/>
  <c r="AN4" i="9"/>
  <c r="X5" i="9"/>
  <c r="Y5" i="9"/>
  <c r="Z5" i="9"/>
  <c r="AA5" i="9"/>
  <c r="AB5" i="9"/>
  <c r="AC5" i="9"/>
  <c r="AC148" i="9" s="1"/>
  <c r="AD5" i="9"/>
  <c r="AE5" i="9"/>
  <c r="AF5" i="9"/>
  <c r="AG5" i="9"/>
  <c r="AH5" i="9"/>
  <c r="AI5" i="9"/>
  <c r="AJ5" i="9"/>
  <c r="AK5" i="9"/>
  <c r="AL5" i="9"/>
  <c r="AM5" i="9"/>
  <c r="AN5" i="9"/>
  <c r="X6" i="9"/>
  <c r="X148" i="9" s="1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X9" i="9"/>
  <c r="Y9" i="9"/>
  <c r="Z9" i="9"/>
  <c r="AA9" i="9"/>
  <c r="AB9" i="9"/>
  <c r="AC9" i="9"/>
  <c r="AD9" i="9"/>
  <c r="AE9" i="9"/>
  <c r="AF9" i="9"/>
  <c r="AG9" i="9"/>
  <c r="AG148" i="9" s="1"/>
  <c r="AH9" i="9"/>
  <c r="AI9" i="9"/>
  <c r="AJ9" i="9"/>
  <c r="AK9" i="9"/>
  <c r="AL9" i="9"/>
  <c r="AM9" i="9"/>
  <c r="AN9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X11" i="9"/>
  <c r="Y11" i="9"/>
  <c r="Z11" i="9"/>
  <c r="AA11" i="9"/>
  <c r="AB11" i="9"/>
  <c r="AC11" i="9"/>
  <c r="AD11" i="9"/>
  <c r="AE11" i="9"/>
  <c r="AE148" i="9" s="1"/>
  <c r="AF11" i="9"/>
  <c r="AG11" i="9"/>
  <c r="AH11" i="9"/>
  <c r="AI11" i="9"/>
  <c r="AJ11" i="9"/>
  <c r="AK11" i="9"/>
  <c r="AL11" i="9"/>
  <c r="AM11" i="9"/>
  <c r="AN11" i="9"/>
  <c r="X12" i="9"/>
  <c r="Y12" i="9"/>
  <c r="Z12" i="9"/>
  <c r="Z148" i="9" s="1"/>
  <c r="AA12" i="9"/>
  <c r="AB12" i="9"/>
  <c r="AC12" i="9"/>
  <c r="AD12" i="9"/>
  <c r="AE12" i="9"/>
  <c r="AF12" i="9"/>
  <c r="AG12" i="9"/>
  <c r="AH12" i="9"/>
  <c r="AI12" i="9"/>
  <c r="AJ12" i="9"/>
  <c r="AK12" i="9"/>
  <c r="AL12" i="9"/>
  <c r="AL148" i="9" s="1"/>
  <c r="AM12" i="9"/>
  <c r="AN12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K148" i="9" s="1"/>
  <c r="AL13" i="9"/>
  <c r="AM13" i="9"/>
  <c r="AN13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X22" i="9"/>
  <c r="Y22" i="9"/>
  <c r="Z22" i="9"/>
  <c r="AA22" i="9"/>
  <c r="AB22" i="9"/>
  <c r="AC22" i="9"/>
  <c r="AD22" i="9"/>
  <c r="AE22" i="9"/>
  <c r="AF22" i="9"/>
  <c r="AG22" i="9"/>
  <c r="AH22" i="9"/>
  <c r="AI22" i="9"/>
  <c r="AJ22" i="9"/>
  <c r="AK22" i="9"/>
  <c r="AL22" i="9"/>
  <c r="AM22" i="9"/>
  <c r="AN22" i="9"/>
  <c r="X23" i="9"/>
  <c r="Y23" i="9"/>
  <c r="Z23" i="9"/>
  <c r="AA23" i="9"/>
  <c r="AB23" i="9"/>
  <c r="AC23" i="9"/>
  <c r="AD23" i="9"/>
  <c r="AE23" i="9"/>
  <c r="AF23" i="9"/>
  <c r="AG23" i="9"/>
  <c r="AH23" i="9"/>
  <c r="AI23" i="9"/>
  <c r="AJ23" i="9"/>
  <c r="AK23" i="9"/>
  <c r="AL23" i="9"/>
  <c r="AM23" i="9"/>
  <c r="AN23" i="9"/>
  <c r="X24" i="9"/>
  <c r="Y24" i="9"/>
  <c r="Z24" i="9"/>
  <c r="AA24" i="9"/>
  <c r="AB24" i="9"/>
  <c r="AC24" i="9"/>
  <c r="AD24" i="9"/>
  <c r="AE24" i="9"/>
  <c r="AF24" i="9"/>
  <c r="AG24" i="9"/>
  <c r="AH24" i="9"/>
  <c r="AI24" i="9"/>
  <c r="AJ24" i="9"/>
  <c r="AK24" i="9"/>
  <c r="AL24" i="9"/>
  <c r="AM24" i="9"/>
  <c r="AN24" i="9"/>
  <c r="X25" i="9"/>
  <c r="Y25" i="9"/>
  <c r="Z25" i="9"/>
  <c r="AA25" i="9"/>
  <c r="AB25" i="9"/>
  <c r="AC25" i="9"/>
  <c r="AD25" i="9"/>
  <c r="AE25" i="9"/>
  <c r="AF25" i="9"/>
  <c r="AG25" i="9"/>
  <c r="AH25" i="9"/>
  <c r="AI25" i="9"/>
  <c r="AJ25" i="9"/>
  <c r="AK25" i="9"/>
  <c r="AL25" i="9"/>
  <c r="AM25" i="9"/>
  <c r="AN25" i="9"/>
  <c r="X26" i="9"/>
  <c r="Y26" i="9"/>
  <c r="Z26" i="9"/>
  <c r="AA26" i="9"/>
  <c r="AB26" i="9"/>
  <c r="AC26" i="9"/>
  <c r="AD26" i="9"/>
  <c r="AE26" i="9"/>
  <c r="AF26" i="9"/>
  <c r="AG26" i="9"/>
  <c r="AH26" i="9"/>
  <c r="AI26" i="9"/>
  <c r="AJ26" i="9"/>
  <c r="AK26" i="9"/>
  <c r="AL26" i="9"/>
  <c r="AM26" i="9"/>
  <c r="AN26" i="9"/>
  <c r="X27" i="9"/>
  <c r="Y27" i="9"/>
  <c r="Z27" i="9"/>
  <c r="AA27" i="9"/>
  <c r="AB27" i="9"/>
  <c r="AC27" i="9"/>
  <c r="AD27" i="9"/>
  <c r="AE27" i="9"/>
  <c r="AF27" i="9"/>
  <c r="AG27" i="9"/>
  <c r="AH27" i="9"/>
  <c r="AI27" i="9"/>
  <c r="AJ27" i="9"/>
  <c r="AK27" i="9"/>
  <c r="AL27" i="9"/>
  <c r="AM27" i="9"/>
  <c r="AN27" i="9"/>
  <c r="X28" i="9"/>
  <c r="Y28" i="9"/>
  <c r="Z28" i="9"/>
  <c r="AA28" i="9"/>
  <c r="AB28" i="9"/>
  <c r="AC28" i="9"/>
  <c r="AD28" i="9"/>
  <c r="AE28" i="9"/>
  <c r="AF28" i="9"/>
  <c r="AG28" i="9"/>
  <c r="AH28" i="9"/>
  <c r="AI28" i="9"/>
  <c r="AJ28" i="9"/>
  <c r="AK28" i="9"/>
  <c r="AL28" i="9"/>
  <c r="AM28" i="9"/>
  <c r="AN28" i="9"/>
  <c r="X29" i="9"/>
  <c r="Y29" i="9"/>
  <c r="Z29" i="9"/>
  <c r="AA29" i="9"/>
  <c r="AB29" i="9"/>
  <c r="AC29" i="9"/>
  <c r="AD29" i="9"/>
  <c r="AE29" i="9"/>
  <c r="AF29" i="9"/>
  <c r="AG29" i="9"/>
  <c r="AH29" i="9"/>
  <c r="AI29" i="9"/>
  <c r="AJ29" i="9"/>
  <c r="AK29" i="9"/>
  <c r="AL29" i="9"/>
  <c r="AM29" i="9"/>
  <c r="AN29" i="9"/>
  <c r="X30" i="9"/>
  <c r="Y30" i="9"/>
  <c r="Z30" i="9"/>
  <c r="AA30" i="9"/>
  <c r="AB30" i="9"/>
  <c r="AC30" i="9"/>
  <c r="AD30" i="9"/>
  <c r="AE30" i="9"/>
  <c r="AF30" i="9"/>
  <c r="AG30" i="9"/>
  <c r="AH30" i="9"/>
  <c r="AI30" i="9"/>
  <c r="AJ30" i="9"/>
  <c r="AK30" i="9"/>
  <c r="AL30" i="9"/>
  <c r="AM30" i="9"/>
  <c r="AN30" i="9"/>
  <c r="X31" i="9"/>
  <c r="Y31" i="9"/>
  <c r="Z31" i="9"/>
  <c r="AA31" i="9"/>
  <c r="AB31" i="9"/>
  <c r="AC31" i="9"/>
  <c r="AD31" i="9"/>
  <c r="AE31" i="9"/>
  <c r="AF31" i="9"/>
  <c r="AG31" i="9"/>
  <c r="AH31" i="9"/>
  <c r="AI31" i="9"/>
  <c r="AJ31" i="9"/>
  <c r="AK31" i="9"/>
  <c r="AL31" i="9"/>
  <c r="AM31" i="9"/>
  <c r="AN31" i="9"/>
  <c r="X32" i="9"/>
  <c r="Y32" i="9"/>
  <c r="Z32" i="9"/>
  <c r="AA32" i="9"/>
  <c r="AB32" i="9"/>
  <c r="AC32" i="9"/>
  <c r="AD32" i="9"/>
  <c r="AE32" i="9"/>
  <c r="AF32" i="9"/>
  <c r="AG32" i="9"/>
  <c r="AH32" i="9"/>
  <c r="AI32" i="9"/>
  <c r="AJ32" i="9"/>
  <c r="AK32" i="9"/>
  <c r="AL32" i="9"/>
  <c r="AM32" i="9"/>
  <c r="AN32" i="9"/>
  <c r="X33" i="9"/>
  <c r="Y33" i="9"/>
  <c r="Z33" i="9"/>
  <c r="AA33" i="9"/>
  <c r="AB33" i="9"/>
  <c r="AC33" i="9"/>
  <c r="AD33" i="9"/>
  <c r="AE33" i="9"/>
  <c r="AF33" i="9"/>
  <c r="AG33" i="9"/>
  <c r="AH33" i="9"/>
  <c r="AI33" i="9"/>
  <c r="AJ33" i="9"/>
  <c r="AK33" i="9"/>
  <c r="AL33" i="9"/>
  <c r="AM33" i="9"/>
  <c r="AN33" i="9"/>
  <c r="X34" i="9"/>
  <c r="Y34" i="9"/>
  <c r="Z34" i="9"/>
  <c r="AA34" i="9"/>
  <c r="AB34" i="9"/>
  <c r="AC34" i="9"/>
  <c r="AD34" i="9"/>
  <c r="AE34" i="9"/>
  <c r="AF34" i="9"/>
  <c r="AG34" i="9"/>
  <c r="AH34" i="9"/>
  <c r="AI34" i="9"/>
  <c r="AJ34" i="9"/>
  <c r="AK34" i="9"/>
  <c r="AL34" i="9"/>
  <c r="AM34" i="9"/>
  <c r="AN34" i="9"/>
  <c r="X35" i="9"/>
  <c r="Y35" i="9"/>
  <c r="Z35" i="9"/>
  <c r="AA35" i="9"/>
  <c r="AB35" i="9"/>
  <c r="AC35" i="9"/>
  <c r="AD35" i="9"/>
  <c r="AE35" i="9"/>
  <c r="AF35" i="9"/>
  <c r="AG35" i="9"/>
  <c r="AH35" i="9"/>
  <c r="AI35" i="9"/>
  <c r="AJ35" i="9"/>
  <c r="AK35" i="9"/>
  <c r="AL35" i="9"/>
  <c r="AM35" i="9"/>
  <c r="AN35" i="9"/>
  <c r="X36" i="9"/>
  <c r="Y36" i="9"/>
  <c r="Z36" i="9"/>
  <c r="AA36" i="9"/>
  <c r="AB36" i="9"/>
  <c r="AC36" i="9"/>
  <c r="AD36" i="9"/>
  <c r="AE36" i="9"/>
  <c r="AF36" i="9"/>
  <c r="AG36" i="9"/>
  <c r="AH36" i="9"/>
  <c r="AI36" i="9"/>
  <c r="AJ36" i="9"/>
  <c r="AK36" i="9"/>
  <c r="AL36" i="9"/>
  <c r="AM36" i="9"/>
  <c r="AN36" i="9"/>
  <c r="X37" i="9"/>
  <c r="Y37" i="9"/>
  <c r="Z37" i="9"/>
  <c r="AA37" i="9"/>
  <c r="AB37" i="9"/>
  <c r="AC37" i="9"/>
  <c r="AD37" i="9"/>
  <c r="AE37" i="9"/>
  <c r="AF37" i="9"/>
  <c r="AG37" i="9"/>
  <c r="AH37" i="9"/>
  <c r="AI37" i="9"/>
  <c r="AJ37" i="9"/>
  <c r="AK37" i="9"/>
  <c r="AL37" i="9"/>
  <c r="AM37" i="9"/>
  <c r="AN37" i="9"/>
  <c r="X38" i="9"/>
  <c r="Y38" i="9"/>
  <c r="Z38" i="9"/>
  <c r="AA38" i="9"/>
  <c r="AB38" i="9"/>
  <c r="AC38" i="9"/>
  <c r="AD38" i="9"/>
  <c r="AE38" i="9"/>
  <c r="AF38" i="9"/>
  <c r="AG38" i="9"/>
  <c r="AH38" i="9"/>
  <c r="AI38" i="9"/>
  <c r="AJ38" i="9"/>
  <c r="AK38" i="9"/>
  <c r="AL38" i="9"/>
  <c r="AM38" i="9"/>
  <c r="AN38" i="9"/>
  <c r="X39" i="9"/>
  <c r="Y39" i="9"/>
  <c r="Z39" i="9"/>
  <c r="AA39" i="9"/>
  <c r="AB39" i="9"/>
  <c r="AC39" i="9"/>
  <c r="AD39" i="9"/>
  <c r="AE39" i="9"/>
  <c r="AF39" i="9"/>
  <c r="AG39" i="9"/>
  <c r="AH39" i="9"/>
  <c r="AI39" i="9"/>
  <c r="AJ39" i="9"/>
  <c r="AK39" i="9"/>
  <c r="AL39" i="9"/>
  <c r="AM39" i="9"/>
  <c r="AN39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AM40" i="9"/>
  <c r="AN40" i="9"/>
  <c r="X41" i="9"/>
  <c r="Y41" i="9"/>
  <c r="Z41" i="9"/>
  <c r="AA41" i="9"/>
  <c r="AB41" i="9"/>
  <c r="AC41" i="9"/>
  <c r="AD41" i="9"/>
  <c r="AE41" i="9"/>
  <c r="AF41" i="9"/>
  <c r="AG41" i="9"/>
  <c r="AH41" i="9"/>
  <c r="AI41" i="9"/>
  <c r="AJ41" i="9"/>
  <c r="AK41" i="9"/>
  <c r="AL41" i="9"/>
  <c r="AM41" i="9"/>
  <c r="AN41" i="9"/>
  <c r="X42" i="9"/>
  <c r="Y42" i="9"/>
  <c r="Z42" i="9"/>
  <c r="AA42" i="9"/>
  <c r="AB42" i="9"/>
  <c r="AC42" i="9"/>
  <c r="AD42" i="9"/>
  <c r="AE42" i="9"/>
  <c r="AF42" i="9"/>
  <c r="AG42" i="9"/>
  <c r="AH42" i="9"/>
  <c r="AI42" i="9"/>
  <c r="AJ42" i="9"/>
  <c r="AK42" i="9"/>
  <c r="AL42" i="9"/>
  <c r="AM42" i="9"/>
  <c r="AN42" i="9"/>
  <c r="X43" i="9"/>
  <c r="Y43" i="9"/>
  <c r="Z43" i="9"/>
  <c r="AA43" i="9"/>
  <c r="AB43" i="9"/>
  <c r="AC43" i="9"/>
  <c r="AD43" i="9"/>
  <c r="AE43" i="9"/>
  <c r="AF43" i="9"/>
  <c r="AG43" i="9"/>
  <c r="AH43" i="9"/>
  <c r="AI43" i="9"/>
  <c r="AJ43" i="9"/>
  <c r="AK43" i="9"/>
  <c r="AL43" i="9"/>
  <c r="AM43" i="9"/>
  <c r="AN43" i="9"/>
  <c r="X44" i="9"/>
  <c r="Y44" i="9"/>
  <c r="Z44" i="9"/>
  <c r="AA44" i="9"/>
  <c r="AB44" i="9"/>
  <c r="AC44" i="9"/>
  <c r="AD44" i="9"/>
  <c r="AE44" i="9"/>
  <c r="AF44" i="9"/>
  <c r="AG44" i="9"/>
  <c r="AH44" i="9"/>
  <c r="AI44" i="9"/>
  <c r="AJ44" i="9"/>
  <c r="AK44" i="9"/>
  <c r="AL44" i="9"/>
  <c r="AM44" i="9"/>
  <c r="AN44" i="9"/>
  <c r="X45" i="9"/>
  <c r="Y45" i="9"/>
  <c r="Z45" i="9"/>
  <c r="AA45" i="9"/>
  <c r="AB45" i="9"/>
  <c r="AC45" i="9"/>
  <c r="AD45" i="9"/>
  <c r="AE45" i="9"/>
  <c r="AF45" i="9"/>
  <c r="AG45" i="9"/>
  <c r="AH45" i="9"/>
  <c r="AI45" i="9"/>
  <c r="AJ45" i="9"/>
  <c r="AK45" i="9"/>
  <c r="AL45" i="9"/>
  <c r="AM45" i="9"/>
  <c r="AN45" i="9"/>
  <c r="X46" i="9"/>
  <c r="Y46" i="9"/>
  <c r="Z46" i="9"/>
  <c r="AA46" i="9"/>
  <c r="AB46" i="9"/>
  <c r="AC46" i="9"/>
  <c r="AD46" i="9"/>
  <c r="AE46" i="9"/>
  <c r="AF46" i="9"/>
  <c r="AG46" i="9"/>
  <c r="AH46" i="9"/>
  <c r="AI46" i="9"/>
  <c r="AJ46" i="9"/>
  <c r="AK46" i="9"/>
  <c r="AL46" i="9"/>
  <c r="AM46" i="9"/>
  <c r="AN46" i="9"/>
  <c r="X47" i="9"/>
  <c r="Y47" i="9"/>
  <c r="Z47" i="9"/>
  <c r="AA47" i="9"/>
  <c r="AB47" i="9"/>
  <c r="AC47" i="9"/>
  <c r="AD47" i="9"/>
  <c r="AE47" i="9"/>
  <c r="AF47" i="9"/>
  <c r="AG47" i="9"/>
  <c r="AH47" i="9"/>
  <c r="AI47" i="9"/>
  <c r="AJ47" i="9"/>
  <c r="AK47" i="9"/>
  <c r="AL47" i="9"/>
  <c r="AM47" i="9"/>
  <c r="AN47" i="9"/>
  <c r="X48" i="9"/>
  <c r="Y48" i="9"/>
  <c r="Z48" i="9"/>
  <c r="AA48" i="9"/>
  <c r="AB48" i="9"/>
  <c r="AC48" i="9"/>
  <c r="AD48" i="9"/>
  <c r="AE48" i="9"/>
  <c r="AF48" i="9"/>
  <c r="AG48" i="9"/>
  <c r="AH48" i="9"/>
  <c r="AI48" i="9"/>
  <c r="AJ48" i="9"/>
  <c r="AK48" i="9"/>
  <c r="AL48" i="9"/>
  <c r="AM48" i="9"/>
  <c r="AN48" i="9"/>
  <c r="X49" i="9"/>
  <c r="Y49" i="9"/>
  <c r="Z49" i="9"/>
  <c r="AA49" i="9"/>
  <c r="AB49" i="9"/>
  <c r="AC49" i="9"/>
  <c r="AD49" i="9"/>
  <c r="AE49" i="9"/>
  <c r="AF49" i="9"/>
  <c r="AG49" i="9"/>
  <c r="AH49" i="9"/>
  <c r="AI49" i="9"/>
  <c r="AJ49" i="9"/>
  <c r="AK49" i="9"/>
  <c r="AL49" i="9"/>
  <c r="AM49" i="9"/>
  <c r="AN49" i="9"/>
  <c r="X50" i="9"/>
  <c r="Y50" i="9"/>
  <c r="Z50" i="9"/>
  <c r="AA50" i="9"/>
  <c r="AB50" i="9"/>
  <c r="AC50" i="9"/>
  <c r="AD50" i="9"/>
  <c r="AE50" i="9"/>
  <c r="AF50" i="9"/>
  <c r="AG50" i="9"/>
  <c r="AH50" i="9"/>
  <c r="AI50" i="9"/>
  <c r="AJ50" i="9"/>
  <c r="AK50" i="9"/>
  <c r="AL50" i="9"/>
  <c r="AM50" i="9"/>
  <c r="AN50" i="9"/>
  <c r="X51" i="9"/>
  <c r="Y51" i="9"/>
  <c r="Z51" i="9"/>
  <c r="AA51" i="9"/>
  <c r="AB51" i="9"/>
  <c r="AC51" i="9"/>
  <c r="AD51" i="9"/>
  <c r="AE51" i="9"/>
  <c r="AF51" i="9"/>
  <c r="AG51" i="9"/>
  <c r="AH51" i="9"/>
  <c r="AI51" i="9"/>
  <c r="AJ51" i="9"/>
  <c r="AK51" i="9"/>
  <c r="AL51" i="9"/>
  <c r="AM51" i="9"/>
  <c r="AN51" i="9"/>
  <c r="X52" i="9"/>
  <c r="Y52" i="9"/>
  <c r="Z52" i="9"/>
  <c r="AA52" i="9"/>
  <c r="AB52" i="9"/>
  <c r="AC52" i="9"/>
  <c r="AD52" i="9"/>
  <c r="AE52" i="9"/>
  <c r="AF52" i="9"/>
  <c r="AG52" i="9"/>
  <c r="AH52" i="9"/>
  <c r="AI52" i="9"/>
  <c r="AJ52" i="9"/>
  <c r="AK52" i="9"/>
  <c r="AL52" i="9"/>
  <c r="AM52" i="9"/>
  <c r="AN52" i="9"/>
  <c r="X53" i="9"/>
  <c r="Y53" i="9"/>
  <c r="Z53" i="9"/>
  <c r="AA53" i="9"/>
  <c r="AB53" i="9"/>
  <c r="AC53" i="9"/>
  <c r="AD53" i="9"/>
  <c r="AE53" i="9"/>
  <c r="AF53" i="9"/>
  <c r="AG53" i="9"/>
  <c r="AH53" i="9"/>
  <c r="AI53" i="9"/>
  <c r="AJ53" i="9"/>
  <c r="AK53" i="9"/>
  <c r="AL53" i="9"/>
  <c r="AM53" i="9"/>
  <c r="AN53" i="9"/>
  <c r="X54" i="9"/>
  <c r="Y54" i="9"/>
  <c r="Z54" i="9"/>
  <c r="AA54" i="9"/>
  <c r="AB54" i="9"/>
  <c r="AC54" i="9"/>
  <c r="AD54" i="9"/>
  <c r="AE54" i="9"/>
  <c r="AF54" i="9"/>
  <c r="AG54" i="9"/>
  <c r="AH54" i="9"/>
  <c r="AI54" i="9"/>
  <c r="AJ54" i="9"/>
  <c r="AK54" i="9"/>
  <c r="AL54" i="9"/>
  <c r="AM54" i="9"/>
  <c r="AN54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X56" i="9"/>
  <c r="Y56" i="9"/>
  <c r="Z56" i="9"/>
  <c r="AA56" i="9"/>
  <c r="AB56" i="9"/>
  <c r="AC56" i="9"/>
  <c r="AD56" i="9"/>
  <c r="AE56" i="9"/>
  <c r="AF56" i="9"/>
  <c r="AG56" i="9"/>
  <c r="AH56" i="9"/>
  <c r="AI56" i="9"/>
  <c r="AJ56" i="9"/>
  <c r="AK56" i="9"/>
  <c r="AL56" i="9"/>
  <c r="AM56" i="9"/>
  <c r="AN56" i="9"/>
  <c r="X57" i="9"/>
  <c r="Y57" i="9"/>
  <c r="Z57" i="9"/>
  <c r="AA57" i="9"/>
  <c r="AB57" i="9"/>
  <c r="AC57" i="9"/>
  <c r="AD57" i="9"/>
  <c r="AE57" i="9"/>
  <c r="AF57" i="9"/>
  <c r="AG57" i="9"/>
  <c r="AH57" i="9"/>
  <c r="AI57" i="9"/>
  <c r="AJ57" i="9"/>
  <c r="AK57" i="9"/>
  <c r="AL57" i="9"/>
  <c r="AM57" i="9"/>
  <c r="AN57" i="9"/>
  <c r="X58" i="9"/>
  <c r="Y58" i="9"/>
  <c r="Z58" i="9"/>
  <c r="AA58" i="9"/>
  <c r="AB58" i="9"/>
  <c r="AC58" i="9"/>
  <c r="AD58" i="9"/>
  <c r="AE58" i="9"/>
  <c r="AF58" i="9"/>
  <c r="AG58" i="9"/>
  <c r="AH58" i="9"/>
  <c r="AI58" i="9"/>
  <c r="AJ58" i="9"/>
  <c r="AK58" i="9"/>
  <c r="AL58" i="9"/>
  <c r="AM58" i="9"/>
  <c r="AN58" i="9"/>
  <c r="X59" i="9"/>
  <c r="Y59" i="9"/>
  <c r="Z59" i="9"/>
  <c r="AA59" i="9"/>
  <c r="AB59" i="9"/>
  <c r="AC59" i="9"/>
  <c r="AD59" i="9"/>
  <c r="AE59" i="9"/>
  <c r="AF59" i="9"/>
  <c r="AG59" i="9"/>
  <c r="AH59" i="9"/>
  <c r="AI59" i="9"/>
  <c r="AJ59" i="9"/>
  <c r="AK59" i="9"/>
  <c r="AL59" i="9"/>
  <c r="AM59" i="9"/>
  <c r="AN59" i="9"/>
  <c r="X60" i="9"/>
  <c r="Y60" i="9"/>
  <c r="Z60" i="9"/>
  <c r="AA60" i="9"/>
  <c r="AB60" i="9"/>
  <c r="AC60" i="9"/>
  <c r="AD60" i="9"/>
  <c r="AE60" i="9"/>
  <c r="AF60" i="9"/>
  <c r="AG60" i="9"/>
  <c r="AH60" i="9"/>
  <c r="AI60" i="9"/>
  <c r="AJ60" i="9"/>
  <c r="AK60" i="9"/>
  <c r="AL60" i="9"/>
  <c r="AM60" i="9"/>
  <c r="AN60" i="9"/>
  <c r="X61" i="9"/>
  <c r="Y61" i="9"/>
  <c r="Z61" i="9"/>
  <c r="AA61" i="9"/>
  <c r="AB61" i="9"/>
  <c r="AC61" i="9"/>
  <c r="AD61" i="9"/>
  <c r="AE61" i="9"/>
  <c r="AF61" i="9"/>
  <c r="AG61" i="9"/>
  <c r="AH61" i="9"/>
  <c r="AI61" i="9"/>
  <c r="AJ61" i="9"/>
  <c r="AK61" i="9"/>
  <c r="AL61" i="9"/>
  <c r="AM61" i="9"/>
  <c r="AN61" i="9"/>
  <c r="X62" i="9"/>
  <c r="Y62" i="9"/>
  <c r="Z62" i="9"/>
  <c r="AA62" i="9"/>
  <c r="AB62" i="9"/>
  <c r="AC62" i="9"/>
  <c r="AD62" i="9"/>
  <c r="AE62" i="9"/>
  <c r="AF62" i="9"/>
  <c r="AG62" i="9"/>
  <c r="AH62" i="9"/>
  <c r="AI62" i="9"/>
  <c r="AJ62" i="9"/>
  <c r="AK62" i="9"/>
  <c r="AL62" i="9"/>
  <c r="AM62" i="9"/>
  <c r="AN62" i="9"/>
  <c r="X63" i="9"/>
  <c r="Y63" i="9"/>
  <c r="Z63" i="9"/>
  <c r="AA63" i="9"/>
  <c r="AB63" i="9"/>
  <c r="AC63" i="9"/>
  <c r="AD63" i="9"/>
  <c r="AE63" i="9"/>
  <c r="AF63" i="9"/>
  <c r="AG63" i="9"/>
  <c r="AH63" i="9"/>
  <c r="AI63" i="9"/>
  <c r="AJ63" i="9"/>
  <c r="AK63" i="9"/>
  <c r="AL63" i="9"/>
  <c r="AM63" i="9"/>
  <c r="AN63" i="9"/>
  <c r="X64" i="9"/>
  <c r="Y64" i="9"/>
  <c r="Z64" i="9"/>
  <c r="AA64" i="9"/>
  <c r="AB64" i="9"/>
  <c r="AC64" i="9"/>
  <c r="AD64" i="9"/>
  <c r="AE64" i="9"/>
  <c r="AF64" i="9"/>
  <c r="AG64" i="9"/>
  <c r="AH64" i="9"/>
  <c r="AI64" i="9"/>
  <c r="AJ64" i="9"/>
  <c r="AK64" i="9"/>
  <c r="AL64" i="9"/>
  <c r="AM64" i="9"/>
  <c r="AN64" i="9"/>
  <c r="X65" i="9"/>
  <c r="Y65" i="9"/>
  <c r="Z65" i="9"/>
  <c r="AA65" i="9"/>
  <c r="AB65" i="9"/>
  <c r="AC65" i="9"/>
  <c r="AD65" i="9"/>
  <c r="AE65" i="9"/>
  <c r="AF65" i="9"/>
  <c r="AG65" i="9"/>
  <c r="AH65" i="9"/>
  <c r="AI65" i="9"/>
  <c r="AJ65" i="9"/>
  <c r="AK65" i="9"/>
  <c r="AL65" i="9"/>
  <c r="AM65" i="9"/>
  <c r="AN65" i="9"/>
  <c r="X66" i="9"/>
  <c r="Y66" i="9"/>
  <c r="Z66" i="9"/>
  <c r="AA66" i="9"/>
  <c r="AB66" i="9"/>
  <c r="AC66" i="9"/>
  <c r="AD66" i="9"/>
  <c r="AE66" i="9"/>
  <c r="AF66" i="9"/>
  <c r="AG66" i="9"/>
  <c r="AH66" i="9"/>
  <c r="AI66" i="9"/>
  <c r="AJ66" i="9"/>
  <c r="AK66" i="9"/>
  <c r="AL66" i="9"/>
  <c r="AM66" i="9"/>
  <c r="AN66" i="9"/>
  <c r="X67" i="9"/>
  <c r="Y67" i="9"/>
  <c r="Z67" i="9"/>
  <c r="AA67" i="9"/>
  <c r="AB67" i="9"/>
  <c r="AC67" i="9"/>
  <c r="AD67" i="9"/>
  <c r="AE67" i="9"/>
  <c r="AF67" i="9"/>
  <c r="AG67" i="9"/>
  <c r="AH67" i="9"/>
  <c r="AI67" i="9"/>
  <c r="AJ67" i="9"/>
  <c r="AK67" i="9"/>
  <c r="AL67" i="9"/>
  <c r="AM67" i="9"/>
  <c r="AN67" i="9"/>
  <c r="X68" i="9"/>
  <c r="Y68" i="9"/>
  <c r="Z68" i="9"/>
  <c r="AA68" i="9"/>
  <c r="AB68" i="9"/>
  <c r="AC68" i="9"/>
  <c r="AD68" i="9"/>
  <c r="AE68" i="9"/>
  <c r="AF68" i="9"/>
  <c r="AG68" i="9"/>
  <c r="AH68" i="9"/>
  <c r="AI68" i="9"/>
  <c r="AJ68" i="9"/>
  <c r="AK68" i="9"/>
  <c r="AL68" i="9"/>
  <c r="AM68" i="9"/>
  <c r="AN68" i="9"/>
  <c r="X69" i="9"/>
  <c r="Y69" i="9"/>
  <c r="Z69" i="9"/>
  <c r="AA69" i="9"/>
  <c r="AB69" i="9"/>
  <c r="AC69" i="9"/>
  <c r="AD69" i="9"/>
  <c r="AE69" i="9"/>
  <c r="AF69" i="9"/>
  <c r="AG69" i="9"/>
  <c r="AH69" i="9"/>
  <c r="AI69" i="9"/>
  <c r="AJ69" i="9"/>
  <c r="AK69" i="9"/>
  <c r="AL69" i="9"/>
  <c r="AM69" i="9"/>
  <c r="AN69" i="9"/>
  <c r="X70" i="9"/>
  <c r="Y70" i="9"/>
  <c r="Z70" i="9"/>
  <c r="AA70" i="9"/>
  <c r="AB70" i="9"/>
  <c r="AC70" i="9"/>
  <c r="AD70" i="9"/>
  <c r="AE70" i="9"/>
  <c r="AF70" i="9"/>
  <c r="AG70" i="9"/>
  <c r="AH70" i="9"/>
  <c r="AI70" i="9"/>
  <c r="AJ70" i="9"/>
  <c r="AK70" i="9"/>
  <c r="AL70" i="9"/>
  <c r="AM70" i="9"/>
  <c r="AN70" i="9"/>
  <c r="X71" i="9"/>
  <c r="Y71" i="9"/>
  <c r="Z71" i="9"/>
  <c r="AA71" i="9"/>
  <c r="AB71" i="9"/>
  <c r="AC71" i="9"/>
  <c r="AD71" i="9"/>
  <c r="AE71" i="9"/>
  <c r="AF71" i="9"/>
  <c r="AG71" i="9"/>
  <c r="AH71" i="9"/>
  <c r="AI71" i="9"/>
  <c r="AJ71" i="9"/>
  <c r="AK71" i="9"/>
  <c r="AL71" i="9"/>
  <c r="AM71" i="9"/>
  <c r="AN71" i="9"/>
  <c r="X72" i="9"/>
  <c r="Y72" i="9"/>
  <c r="Z72" i="9"/>
  <c r="AA72" i="9"/>
  <c r="AB72" i="9"/>
  <c r="AC72" i="9"/>
  <c r="AD72" i="9"/>
  <c r="AE72" i="9"/>
  <c r="AF72" i="9"/>
  <c r="AG72" i="9"/>
  <c r="AH72" i="9"/>
  <c r="AI72" i="9"/>
  <c r="AJ72" i="9"/>
  <c r="AK72" i="9"/>
  <c r="AL72" i="9"/>
  <c r="AM72" i="9"/>
  <c r="AN72" i="9"/>
  <c r="X73" i="9"/>
  <c r="Y73" i="9"/>
  <c r="Z73" i="9"/>
  <c r="AA73" i="9"/>
  <c r="AB73" i="9"/>
  <c r="AC73" i="9"/>
  <c r="AD73" i="9"/>
  <c r="AE73" i="9"/>
  <c r="AF73" i="9"/>
  <c r="AG73" i="9"/>
  <c r="AH73" i="9"/>
  <c r="AI73" i="9"/>
  <c r="AJ73" i="9"/>
  <c r="AK73" i="9"/>
  <c r="AL73" i="9"/>
  <c r="AM73" i="9"/>
  <c r="AN73" i="9"/>
  <c r="X74" i="9"/>
  <c r="Y74" i="9"/>
  <c r="Z74" i="9"/>
  <c r="AA74" i="9"/>
  <c r="AB74" i="9"/>
  <c r="AC74" i="9"/>
  <c r="AD74" i="9"/>
  <c r="AE74" i="9"/>
  <c r="AF74" i="9"/>
  <c r="AG74" i="9"/>
  <c r="AH74" i="9"/>
  <c r="AI74" i="9"/>
  <c r="AJ74" i="9"/>
  <c r="AK74" i="9"/>
  <c r="AL74" i="9"/>
  <c r="AM74" i="9"/>
  <c r="AN74" i="9"/>
  <c r="X75" i="9"/>
  <c r="Y75" i="9"/>
  <c r="Z75" i="9"/>
  <c r="AA75" i="9"/>
  <c r="AB75" i="9"/>
  <c r="AC75" i="9"/>
  <c r="AD75" i="9"/>
  <c r="AE75" i="9"/>
  <c r="AF75" i="9"/>
  <c r="AG75" i="9"/>
  <c r="AH75" i="9"/>
  <c r="AI75" i="9"/>
  <c r="AJ75" i="9"/>
  <c r="AK75" i="9"/>
  <c r="AL75" i="9"/>
  <c r="AM75" i="9"/>
  <c r="AN75" i="9"/>
  <c r="X76" i="9"/>
  <c r="Y76" i="9"/>
  <c r="Z76" i="9"/>
  <c r="AA76" i="9"/>
  <c r="AB76" i="9"/>
  <c r="AC76" i="9"/>
  <c r="AD76" i="9"/>
  <c r="AE76" i="9"/>
  <c r="AF76" i="9"/>
  <c r="AG76" i="9"/>
  <c r="AH76" i="9"/>
  <c r="AI76" i="9"/>
  <c r="AJ76" i="9"/>
  <c r="AK76" i="9"/>
  <c r="AL76" i="9"/>
  <c r="AM76" i="9"/>
  <c r="AN76" i="9"/>
  <c r="X77" i="9"/>
  <c r="Y77" i="9"/>
  <c r="Z77" i="9"/>
  <c r="AA77" i="9"/>
  <c r="AB77" i="9"/>
  <c r="AC77" i="9"/>
  <c r="AD77" i="9"/>
  <c r="AE77" i="9"/>
  <c r="AF77" i="9"/>
  <c r="AG77" i="9"/>
  <c r="AH77" i="9"/>
  <c r="AI77" i="9"/>
  <c r="AJ77" i="9"/>
  <c r="AK77" i="9"/>
  <c r="AL77" i="9"/>
  <c r="AM77" i="9"/>
  <c r="AN77" i="9"/>
  <c r="X78" i="9"/>
  <c r="Y78" i="9"/>
  <c r="Z78" i="9"/>
  <c r="AA78" i="9"/>
  <c r="AB78" i="9"/>
  <c r="AC78" i="9"/>
  <c r="AD78" i="9"/>
  <c r="AE78" i="9"/>
  <c r="AF78" i="9"/>
  <c r="AG78" i="9"/>
  <c r="AH78" i="9"/>
  <c r="AI78" i="9"/>
  <c r="AJ78" i="9"/>
  <c r="AK78" i="9"/>
  <c r="AL78" i="9"/>
  <c r="AM78" i="9"/>
  <c r="AN78" i="9"/>
  <c r="X79" i="9"/>
  <c r="Y79" i="9"/>
  <c r="Z79" i="9"/>
  <c r="AA79" i="9"/>
  <c r="AB79" i="9"/>
  <c r="AC79" i="9"/>
  <c r="AD79" i="9"/>
  <c r="AE79" i="9"/>
  <c r="AF79" i="9"/>
  <c r="AG79" i="9"/>
  <c r="AH79" i="9"/>
  <c r="AI79" i="9"/>
  <c r="AJ79" i="9"/>
  <c r="AK79" i="9"/>
  <c r="AL79" i="9"/>
  <c r="AM79" i="9"/>
  <c r="AN79" i="9"/>
  <c r="X80" i="9"/>
  <c r="Y80" i="9"/>
  <c r="Z80" i="9"/>
  <c r="AA80" i="9"/>
  <c r="AB80" i="9"/>
  <c r="AC80" i="9"/>
  <c r="AD80" i="9"/>
  <c r="AE80" i="9"/>
  <c r="AF80" i="9"/>
  <c r="AG80" i="9"/>
  <c r="AH80" i="9"/>
  <c r="AI80" i="9"/>
  <c r="AJ80" i="9"/>
  <c r="AK80" i="9"/>
  <c r="AL80" i="9"/>
  <c r="AM80" i="9"/>
  <c r="AN80" i="9"/>
  <c r="X81" i="9"/>
  <c r="Y81" i="9"/>
  <c r="Z81" i="9"/>
  <c r="AA81" i="9"/>
  <c r="AB81" i="9"/>
  <c r="AC81" i="9"/>
  <c r="AD81" i="9"/>
  <c r="AE81" i="9"/>
  <c r="AF81" i="9"/>
  <c r="AG81" i="9"/>
  <c r="AH81" i="9"/>
  <c r="AI81" i="9"/>
  <c r="AJ81" i="9"/>
  <c r="AK81" i="9"/>
  <c r="AL81" i="9"/>
  <c r="AM81" i="9"/>
  <c r="AN81" i="9"/>
  <c r="X82" i="9"/>
  <c r="Y82" i="9"/>
  <c r="Z82" i="9"/>
  <c r="AA82" i="9"/>
  <c r="AB82" i="9"/>
  <c r="AC82" i="9"/>
  <c r="AD82" i="9"/>
  <c r="AE82" i="9"/>
  <c r="AF82" i="9"/>
  <c r="AG82" i="9"/>
  <c r="AH82" i="9"/>
  <c r="AI82" i="9"/>
  <c r="AJ82" i="9"/>
  <c r="AK82" i="9"/>
  <c r="AL82" i="9"/>
  <c r="AM82" i="9"/>
  <c r="AN82" i="9"/>
  <c r="X83" i="9"/>
  <c r="Y83" i="9"/>
  <c r="Z83" i="9"/>
  <c r="AA83" i="9"/>
  <c r="AB83" i="9"/>
  <c r="AC83" i="9"/>
  <c r="AD83" i="9"/>
  <c r="AE83" i="9"/>
  <c r="AF83" i="9"/>
  <c r="AG83" i="9"/>
  <c r="AH83" i="9"/>
  <c r="AI83" i="9"/>
  <c r="AJ83" i="9"/>
  <c r="AK83" i="9"/>
  <c r="AL83" i="9"/>
  <c r="AM83" i="9"/>
  <c r="AN83" i="9"/>
  <c r="X84" i="9"/>
  <c r="Y84" i="9"/>
  <c r="Z84" i="9"/>
  <c r="AA84" i="9"/>
  <c r="AB84" i="9"/>
  <c r="AC84" i="9"/>
  <c r="AD84" i="9"/>
  <c r="AE84" i="9"/>
  <c r="AF84" i="9"/>
  <c r="AG84" i="9"/>
  <c r="AH84" i="9"/>
  <c r="AI84" i="9"/>
  <c r="AJ84" i="9"/>
  <c r="AK84" i="9"/>
  <c r="AL84" i="9"/>
  <c r="AM84" i="9"/>
  <c r="AN84" i="9"/>
  <c r="X85" i="9"/>
  <c r="Y85" i="9"/>
  <c r="Z85" i="9"/>
  <c r="AA85" i="9"/>
  <c r="AB85" i="9"/>
  <c r="AC85" i="9"/>
  <c r="AD85" i="9"/>
  <c r="AE85" i="9"/>
  <c r="AF85" i="9"/>
  <c r="AG85" i="9"/>
  <c r="AH85" i="9"/>
  <c r="AI85" i="9"/>
  <c r="AJ85" i="9"/>
  <c r="AK85" i="9"/>
  <c r="AL85" i="9"/>
  <c r="AM85" i="9"/>
  <c r="AN85" i="9"/>
  <c r="X86" i="9"/>
  <c r="Y86" i="9"/>
  <c r="Z86" i="9"/>
  <c r="AA86" i="9"/>
  <c r="AB86" i="9"/>
  <c r="AC86" i="9"/>
  <c r="AD86" i="9"/>
  <c r="AE86" i="9"/>
  <c r="AF86" i="9"/>
  <c r="AG86" i="9"/>
  <c r="AH86" i="9"/>
  <c r="AI86" i="9"/>
  <c r="AJ86" i="9"/>
  <c r="AK86" i="9"/>
  <c r="AL86" i="9"/>
  <c r="AM86" i="9"/>
  <c r="AN86" i="9"/>
  <c r="X87" i="9"/>
  <c r="Y87" i="9"/>
  <c r="Z87" i="9"/>
  <c r="AA87" i="9"/>
  <c r="AB87" i="9"/>
  <c r="AC87" i="9"/>
  <c r="AD87" i="9"/>
  <c r="AE87" i="9"/>
  <c r="AF87" i="9"/>
  <c r="AG87" i="9"/>
  <c r="AH87" i="9"/>
  <c r="AI87" i="9"/>
  <c r="AJ87" i="9"/>
  <c r="AK87" i="9"/>
  <c r="AL87" i="9"/>
  <c r="AM87" i="9"/>
  <c r="AN87" i="9"/>
  <c r="X88" i="9"/>
  <c r="Y88" i="9"/>
  <c r="Z88" i="9"/>
  <c r="AA88" i="9"/>
  <c r="AB88" i="9"/>
  <c r="AC88" i="9"/>
  <c r="AD88" i="9"/>
  <c r="AE88" i="9"/>
  <c r="AF88" i="9"/>
  <c r="AG88" i="9"/>
  <c r="AH88" i="9"/>
  <c r="AI88" i="9"/>
  <c r="AJ88" i="9"/>
  <c r="AK88" i="9"/>
  <c r="AL88" i="9"/>
  <c r="AM88" i="9"/>
  <c r="AN88" i="9"/>
  <c r="X89" i="9"/>
  <c r="Y89" i="9"/>
  <c r="Z89" i="9"/>
  <c r="AA89" i="9"/>
  <c r="AB89" i="9"/>
  <c r="AC89" i="9"/>
  <c r="AD89" i="9"/>
  <c r="AE89" i="9"/>
  <c r="AF89" i="9"/>
  <c r="AG89" i="9"/>
  <c r="AH89" i="9"/>
  <c r="AI89" i="9"/>
  <c r="AJ89" i="9"/>
  <c r="AK89" i="9"/>
  <c r="AL89" i="9"/>
  <c r="AM89" i="9"/>
  <c r="AN89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L90" i="9"/>
  <c r="AM90" i="9"/>
  <c r="AN90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L91" i="9"/>
  <c r="AM91" i="9"/>
  <c r="AN91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L92" i="9"/>
  <c r="AM92" i="9"/>
  <c r="AN92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L93" i="9"/>
  <c r="AM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L94" i="9"/>
  <c r="AM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L95" i="9"/>
  <c r="AM95" i="9"/>
  <c r="AN95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L96" i="9"/>
  <c r="AM96" i="9"/>
  <c r="AN96" i="9"/>
  <c r="X97" i="9"/>
  <c r="Y97" i="9"/>
  <c r="Z97" i="9"/>
  <c r="AA97" i="9"/>
  <c r="AB97" i="9"/>
  <c r="AC97" i="9"/>
  <c r="AD97" i="9"/>
  <c r="AE97" i="9"/>
  <c r="AF97" i="9"/>
  <c r="AG97" i="9"/>
  <c r="AH97" i="9"/>
  <c r="AI97" i="9"/>
  <c r="AJ97" i="9"/>
  <c r="AK97" i="9"/>
  <c r="AL97" i="9"/>
  <c r="AM97" i="9"/>
  <c r="AN97" i="9"/>
  <c r="X98" i="9"/>
  <c r="Y98" i="9"/>
  <c r="Z98" i="9"/>
  <c r="AA98" i="9"/>
  <c r="AB98" i="9"/>
  <c r="AC98" i="9"/>
  <c r="AD98" i="9"/>
  <c r="AE98" i="9"/>
  <c r="AF98" i="9"/>
  <c r="AG98" i="9"/>
  <c r="AH98" i="9"/>
  <c r="AI98" i="9"/>
  <c r="AJ98" i="9"/>
  <c r="AK98" i="9"/>
  <c r="AL98" i="9"/>
  <c r="AM98" i="9"/>
  <c r="AN98" i="9"/>
  <c r="X99" i="9"/>
  <c r="Y99" i="9"/>
  <c r="Z99" i="9"/>
  <c r="AA99" i="9"/>
  <c r="AB99" i="9"/>
  <c r="AC99" i="9"/>
  <c r="AD99" i="9"/>
  <c r="AE99" i="9"/>
  <c r="AF99" i="9"/>
  <c r="AG99" i="9"/>
  <c r="AH99" i="9"/>
  <c r="AI99" i="9"/>
  <c r="AJ99" i="9"/>
  <c r="AK99" i="9"/>
  <c r="AL99" i="9"/>
  <c r="AM99" i="9"/>
  <c r="AN99" i="9"/>
  <c r="X100" i="9"/>
  <c r="Y100" i="9"/>
  <c r="Z100" i="9"/>
  <c r="AA100" i="9"/>
  <c r="AB100" i="9"/>
  <c r="AC100" i="9"/>
  <c r="AD100" i="9"/>
  <c r="AE100" i="9"/>
  <c r="AF100" i="9"/>
  <c r="AG100" i="9"/>
  <c r="AH100" i="9"/>
  <c r="AI100" i="9"/>
  <c r="AJ100" i="9"/>
  <c r="AK100" i="9"/>
  <c r="AL100" i="9"/>
  <c r="AM100" i="9"/>
  <c r="AN100" i="9"/>
  <c r="X101" i="9"/>
  <c r="Y101" i="9"/>
  <c r="Z101" i="9"/>
  <c r="AA101" i="9"/>
  <c r="AB101" i="9"/>
  <c r="AC101" i="9"/>
  <c r="AD101" i="9"/>
  <c r="AE101" i="9"/>
  <c r="AF101" i="9"/>
  <c r="AG101" i="9"/>
  <c r="AH101" i="9"/>
  <c r="AI101" i="9"/>
  <c r="AJ101" i="9"/>
  <c r="AK101" i="9"/>
  <c r="AL101" i="9"/>
  <c r="AM101" i="9"/>
  <c r="AN101" i="9"/>
  <c r="X102" i="9"/>
  <c r="Y102" i="9"/>
  <c r="Z102" i="9"/>
  <c r="AA102" i="9"/>
  <c r="AB102" i="9"/>
  <c r="AC102" i="9"/>
  <c r="AD102" i="9"/>
  <c r="AE102" i="9"/>
  <c r="AF102" i="9"/>
  <c r="AG102" i="9"/>
  <c r="AH102" i="9"/>
  <c r="AI102" i="9"/>
  <c r="AJ102" i="9"/>
  <c r="AK102" i="9"/>
  <c r="AL102" i="9"/>
  <c r="AM102" i="9"/>
  <c r="AN102" i="9"/>
  <c r="X103" i="9"/>
  <c r="Y103" i="9"/>
  <c r="Z103" i="9"/>
  <c r="AA103" i="9"/>
  <c r="AB103" i="9"/>
  <c r="AC103" i="9"/>
  <c r="AD103" i="9"/>
  <c r="AE103" i="9"/>
  <c r="AF103" i="9"/>
  <c r="AG103" i="9"/>
  <c r="AH103" i="9"/>
  <c r="AI103" i="9"/>
  <c r="AJ103" i="9"/>
  <c r="AK103" i="9"/>
  <c r="AL103" i="9"/>
  <c r="AM103" i="9"/>
  <c r="AN103" i="9"/>
  <c r="X104" i="9"/>
  <c r="Y104" i="9"/>
  <c r="Z104" i="9"/>
  <c r="AA104" i="9"/>
  <c r="AB104" i="9"/>
  <c r="AC104" i="9"/>
  <c r="AD104" i="9"/>
  <c r="AE104" i="9"/>
  <c r="AF104" i="9"/>
  <c r="AG104" i="9"/>
  <c r="AH104" i="9"/>
  <c r="AI104" i="9"/>
  <c r="AJ104" i="9"/>
  <c r="AK104" i="9"/>
  <c r="AL104" i="9"/>
  <c r="AM104" i="9"/>
  <c r="AN104" i="9"/>
  <c r="X105" i="9"/>
  <c r="Y105" i="9"/>
  <c r="Z105" i="9"/>
  <c r="AA105" i="9"/>
  <c r="AB105" i="9"/>
  <c r="AC105" i="9"/>
  <c r="AD105" i="9"/>
  <c r="AE105" i="9"/>
  <c r="AF105" i="9"/>
  <c r="AG105" i="9"/>
  <c r="AH105" i="9"/>
  <c r="AI105" i="9"/>
  <c r="AJ105" i="9"/>
  <c r="AK105" i="9"/>
  <c r="AL105" i="9"/>
  <c r="AM105" i="9"/>
  <c r="AN105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L106" i="9"/>
  <c r="AM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L107" i="9"/>
  <c r="AM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L108" i="9"/>
  <c r="AM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L109" i="9"/>
  <c r="AM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L110" i="9"/>
  <c r="AM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L111" i="9"/>
  <c r="AM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L112" i="9"/>
  <c r="AM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L113" i="9"/>
  <c r="AM113" i="9"/>
  <c r="AN113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L114" i="9"/>
  <c r="AM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L115" i="9"/>
  <c r="AM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L116" i="9"/>
  <c r="AM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L117" i="9"/>
  <c r="AM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L118" i="9"/>
  <c r="AM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L119" i="9"/>
  <c r="AM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L120" i="9"/>
  <c r="AM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L121" i="9"/>
  <c r="AM121" i="9"/>
  <c r="AN121" i="9"/>
  <c r="X122" i="9"/>
  <c r="Y122" i="9"/>
  <c r="Z122" i="9"/>
  <c r="AA122" i="9"/>
  <c r="AB122" i="9"/>
  <c r="AC122" i="9"/>
  <c r="AD122" i="9"/>
  <c r="AE122" i="9"/>
  <c r="AF122" i="9"/>
  <c r="AG122" i="9"/>
  <c r="AH122" i="9"/>
  <c r="AI122" i="9"/>
  <c r="AJ122" i="9"/>
  <c r="AK122" i="9"/>
  <c r="AL122" i="9"/>
  <c r="AM122" i="9"/>
  <c r="AN122" i="9"/>
  <c r="X123" i="9"/>
  <c r="Y123" i="9"/>
  <c r="Z123" i="9"/>
  <c r="AA123" i="9"/>
  <c r="AB123" i="9"/>
  <c r="AC123" i="9"/>
  <c r="AD123" i="9"/>
  <c r="AE123" i="9"/>
  <c r="AF123" i="9"/>
  <c r="AG123" i="9"/>
  <c r="AH123" i="9"/>
  <c r="AI123" i="9"/>
  <c r="AJ123" i="9"/>
  <c r="AK123" i="9"/>
  <c r="AL123" i="9"/>
  <c r="AM123" i="9"/>
  <c r="AN123" i="9"/>
  <c r="X124" i="9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L124" i="9"/>
  <c r="AM124" i="9"/>
  <c r="AN124" i="9"/>
  <c r="X125" i="9"/>
  <c r="Y125" i="9"/>
  <c r="Z125" i="9"/>
  <c r="AA125" i="9"/>
  <c r="AB125" i="9"/>
  <c r="AC125" i="9"/>
  <c r="AD125" i="9"/>
  <c r="AE125" i="9"/>
  <c r="AF125" i="9"/>
  <c r="AG125" i="9"/>
  <c r="AH125" i="9"/>
  <c r="AI125" i="9"/>
  <c r="AJ125" i="9"/>
  <c r="AK125" i="9"/>
  <c r="AL125" i="9"/>
  <c r="AM125" i="9"/>
  <c r="AN125" i="9"/>
  <c r="X126" i="9"/>
  <c r="Y126" i="9"/>
  <c r="Z126" i="9"/>
  <c r="AA126" i="9"/>
  <c r="AB126" i="9"/>
  <c r="AC126" i="9"/>
  <c r="AD126" i="9"/>
  <c r="AE126" i="9"/>
  <c r="AF126" i="9"/>
  <c r="AG126" i="9"/>
  <c r="AH126" i="9"/>
  <c r="AI126" i="9"/>
  <c r="AJ126" i="9"/>
  <c r="AK126" i="9"/>
  <c r="AL126" i="9"/>
  <c r="AM126" i="9"/>
  <c r="AN126" i="9"/>
  <c r="X127" i="9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L127" i="9"/>
  <c r="AM127" i="9"/>
  <c r="AN127" i="9"/>
  <c r="X128" i="9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L128" i="9"/>
  <c r="AM128" i="9"/>
  <c r="AN128" i="9"/>
  <c r="X129" i="9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L129" i="9"/>
  <c r="AM129" i="9"/>
  <c r="AN129" i="9"/>
  <c r="X130" i="9"/>
  <c r="Y130" i="9"/>
  <c r="Z130" i="9"/>
  <c r="AA130" i="9"/>
  <c r="AB130" i="9"/>
  <c r="AC130" i="9"/>
  <c r="AD130" i="9"/>
  <c r="AE130" i="9"/>
  <c r="AF130" i="9"/>
  <c r="AG130" i="9"/>
  <c r="AH130" i="9"/>
  <c r="AI130" i="9"/>
  <c r="AJ130" i="9"/>
  <c r="AK130" i="9"/>
  <c r="AL130" i="9"/>
  <c r="AM130" i="9"/>
  <c r="AN130" i="9"/>
  <c r="X131" i="9"/>
  <c r="Y131" i="9"/>
  <c r="Z131" i="9"/>
  <c r="AA131" i="9"/>
  <c r="AB131" i="9"/>
  <c r="AC131" i="9"/>
  <c r="AD131" i="9"/>
  <c r="AE131" i="9"/>
  <c r="AF131" i="9"/>
  <c r="AG131" i="9"/>
  <c r="AH131" i="9"/>
  <c r="AI131" i="9"/>
  <c r="AJ131" i="9"/>
  <c r="AK131" i="9"/>
  <c r="AL131" i="9"/>
  <c r="AM131" i="9"/>
  <c r="AN131" i="9"/>
  <c r="X132" i="9"/>
  <c r="Y132" i="9"/>
  <c r="Z132" i="9"/>
  <c r="AA132" i="9"/>
  <c r="AB132" i="9"/>
  <c r="AC132" i="9"/>
  <c r="AD132" i="9"/>
  <c r="AE132" i="9"/>
  <c r="AF132" i="9"/>
  <c r="AG132" i="9"/>
  <c r="AH132" i="9"/>
  <c r="AI132" i="9"/>
  <c r="AJ132" i="9"/>
  <c r="AK132" i="9"/>
  <c r="AL132" i="9"/>
  <c r="AM132" i="9"/>
  <c r="AN132" i="9"/>
  <c r="X133" i="9"/>
  <c r="Y133" i="9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L133" i="9"/>
  <c r="AM133" i="9"/>
  <c r="AN133" i="9"/>
  <c r="X134" i="9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L134" i="9"/>
  <c r="AM134" i="9"/>
  <c r="AN134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L135" i="9"/>
  <c r="AM135" i="9"/>
  <c r="AN135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AJ136" i="9"/>
  <c r="AK136" i="9"/>
  <c r="AL136" i="9"/>
  <c r="AM136" i="9"/>
  <c r="AN136" i="9"/>
  <c r="X137" i="9"/>
  <c r="Y137" i="9"/>
  <c r="Z137" i="9"/>
  <c r="AA137" i="9"/>
  <c r="AB137" i="9"/>
  <c r="AC137" i="9"/>
  <c r="AD137" i="9"/>
  <c r="AE137" i="9"/>
  <c r="AF137" i="9"/>
  <c r="AG137" i="9"/>
  <c r="AH137" i="9"/>
  <c r="AI137" i="9"/>
  <c r="AJ137" i="9"/>
  <c r="AK137" i="9"/>
  <c r="AL137" i="9"/>
  <c r="AM137" i="9"/>
  <c r="AN137" i="9"/>
  <c r="X138" i="9"/>
  <c r="Y138" i="9"/>
  <c r="Z138" i="9"/>
  <c r="AA138" i="9"/>
  <c r="AB138" i="9"/>
  <c r="AC138" i="9"/>
  <c r="AD138" i="9"/>
  <c r="AE138" i="9"/>
  <c r="AF138" i="9"/>
  <c r="AG138" i="9"/>
  <c r="AH138" i="9"/>
  <c r="AI138" i="9"/>
  <c r="AJ138" i="9"/>
  <c r="AK138" i="9"/>
  <c r="AL138" i="9"/>
  <c r="AM138" i="9"/>
  <c r="AN138" i="9"/>
  <c r="X139" i="9"/>
  <c r="Y139" i="9"/>
  <c r="Z139" i="9"/>
  <c r="AA139" i="9"/>
  <c r="AB139" i="9"/>
  <c r="AC139" i="9"/>
  <c r="AD139" i="9"/>
  <c r="AE139" i="9"/>
  <c r="AF139" i="9"/>
  <c r="AG139" i="9"/>
  <c r="AH139" i="9"/>
  <c r="AI139" i="9"/>
  <c r="AJ139" i="9"/>
  <c r="AK139" i="9"/>
  <c r="AL139" i="9"/>
  <c r="AM139" i="9"/>
  <c r="AN139" i="9"/>
  <c r="X140" i="9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L140" i="9"/>
  <c r="AM140" i="9"/>
  <c r="AN140" i="9"/>
  <c r="X141" i="9"/>
  <c r="Y141" i="9"/>
  <c r="Z141" i="9"/>
  <c r="AA141" i="9"/>
  <c r="AB141" i="9"/>
  <c r="AC141" i="9"/>
  <c r="AD141" i="9"/>
  <c r="AE141" i="9"/>
  <c r="AF141" i="9"/>
  <c r="AG141" i="9"/>
  <c r="AH141" i="9"/>
  <c r="AI141" i="9"/>
  <c r="AJ141" i="9"/>
  <c r="AK141" i="9"/>
  <c r="AL141" i="9"/>
  <c r="AM141" i="9"/>
  <c r="AN141" i="9"/>
  <c r="X142" i="9"/>
  <c r="Y142" i="9"/>
  <c r="Z142" i="9"/>
  <c r="AA142" i="9"/>
  <c r="AB142" i="9"/>
  <c r="AC142" i="9"/>
  <c r="AD142" i="9"/>
  <c r="AE142" i="9"/>
  <c r="AF142" i="9"/>
  <c r="AG142" i="9"/>
  <c r="AH142" i="9"/>
  <c r="AI142" i="9"/>
  <c r="AJ142" i="9"/>
  <c r="AK142" i="9"/>
  <c r="AL142" i="9"/>
  <c r="AM142" i="9"/>
  <c r="AN142" i="9"/>
  <c r="X143" i="9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L143" i="9"/>
  <c r="AM143" i="9"/>
  <c r="AN143" i="9"/>
  <c r="X144" i="9"/>
  <c r="Y144" i="9"/>
  <c r="Z144" i="9"/>
  <c r="AA144" i="9"/>
  <c r="AB144" i="9"/>
  <c r="AC144" i="9"/>
  <c r="AD144" i="9"/>
  <c r="AE144" i="9"/>
  <c r="AF144" i="9"/>
  <c r="AG144" i="9"/>
  <c r="AH144" i="9"/>
  <c r="AI144" i="9"/>
  <c r="AJ144" i="9"/>
  <c r="AK144" i="9"/>
  <c r="AL144" i="9"/>
  <c r="AM144" i="9"/>
  <c r="AN144" i="9"/>
  <c r="X145" i="9"/>
  <c r="Y145" i="9"/>
  <c r="Z145" i="9"/>
  <c r="AA145" i="9"/>
  <c r="AB145" i="9"/>
  <c r="AC145" i="9"/>
  <c r="AD145" i="9"/>
  <c r="AE145" i="9"/>
  <c r="AF145" i="9"/>
  <c r="AG145" i="9"/>
  <c r="AH145" i="9"/>
  <c r="AI145" i="9"/>
  <c r="AJ145" i="9"/>
  <c r="AK145" i="9"/>
  <c r="AL145" i="9"/>
  <c r="AM145" i="9"/>
  <c r="AN145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X2" i="9"/>
  <c r="D148" i="9"/>
  <c r="E148" i="9"/>
  <c r="F148" i="9"/>
  <c r="G148" i="9"/>
  <c r="H148" i="9"/>
  <c r="I148" i="9"/>
  <c r="J148" i="9"/>
  <c r="K148" i="9"/>
  <c r="L148" i="9"/>
  <c r="M148" i="9"/>
  <c r="N148" i="9"/>
  <c r="O148" i="9"/>
  <c r="P148" i="9"/>
  <c r="Q148" i="9"/>
  <c r="R148" i="9"/>
  <c r="S148" i="9"/>
  <c r="V148" i="9"/>
  <c r="W148" i="9"/>
  <c r="Y148" i="9"/>
  <c r="AD148" i="9"/>
  <c r="AI148" i="9"/>
  <c r="C148" i="9"/>
  <c r="D148" i="8"/>
  <c r="E148" i="8"/>
  <c r="F148" i="8"/>
  <c r="G148" i="8"/>
  <c r="H148" i="8"/>
  <c r="I148" i="8"/>
  <c r="J148" i="8"/>
  <c r="K148" i="8"/>
  <c r="L148" i="8"/>
  <c r="M148" i="8"/>
  <c r="N148" i="8"/>
  <c r="O148" i="8"/>
  <c r="P148" i="8"/>
  <c r="Q148" i="8"/>
  <c r="R148" i="8"/>
  <c r="S148" i="8"/>
  <c r="C148" i="8"/>
  <c r="D147" i="8"/>
  <c r="E147" i="8"/>
  <c r="F147" i="8"/>
  <c r="G147" i="8"/>
  <c r="H147" i="8"/>
  <c r="I147" i="8"/>
  <c r="J147" i="8"/>
  <c r="K147" i="8"/>
  <c r="L147" i="8"/>
  <c r="M147" i="8"/>
  <c r="N147" i="8"/>
  <c r="O147" i="8"/>
  <c r="P147" i="8"/>
  <c r="Q147" i="8"/>
  <c r="R147" i="8"/>
  <c r="S147" i="8"/>
  <c r="C147" i="8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C121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C120" i="2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20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C119" i="1"/>
  <c r="AN148" i="9" l="1"/>
  <c r="AJ148" i="9"/>
  <c r="AF148" i="9"/>
  <c r="AB148" i="9"/>
  <c r="V122" i="2"/>
  <c r="V149" i="9"/>
  <c r="B127" i="15"/>
  <c r="T123" i="18"/>
  <c r="Y10" i="17" l="1"/>
  <c r="B122" i="17" l="1"/>
  <c r="B121" i="17"/>
  <c r="B125" i="14"/>
  <c r="B148" i="9"/>
  <c r="B147" i="9"/>
  <c r="B148" i="8"/>
  <c r="B147" i="8"/>
  <c r="AG119" i="18"/>
  <c r="AF119" i="18"/>
  <c r="AE119" i="18"/>
  <c r="AD119" i="18"/>
  <c r="AC119" i="18"/>
  <c r="AB119" i="18"/>
  <c r="AA119" i="18"/>
  <c r="Z119" i="18"/>
  <c r="Y119" i="18"/>
  <c r="X119" i="18"/>
  <c r="W119" i="18"/>
  <c r="V119" i="18"/>
  <c r="U119" i="18"/>
  <c r="P119" i="18"/>
  <c r="O119" i="18"/>
  <c r="AG118" i="18"/>
  <c r="AF118" i="18"/>
  <c r="AE118" i="18"/>
  <c r="AD118" i="18"/>
  <c r="AC118" i="18"/>
  <c r="AB118" i="18"/>
  <c r="AA118" i="18"/>
  <c r="Z118" i="18"/>
  <c r="AH118" i="18" s="1"/>
  <c r="Y118" i="18"/>
  <c r="X118" i="18"/>
  <c r="W118" i="18"/>
  <c r="V118" i="18"/>
  <c r="U118" i="18"/>
  <c r="P118" i="18"/>
  <c r="O118" i="18"/>
  <c r="AG117" i="18"/>
  <c r="AF117" i="18"/>
  <c r="AE117" i="18"/>
  <c r="AD117" i="18"/>
  <c r="AC117" i="18"/>
  <c r="AB117" i="18"/>
  <c r="AA117" i="18"/>
  <c r="Z117" i="18"/>
  <c r="Y117" i="18"/>
  <c r="AH117" i="18" s="1"/>
  <c r="X117" i="18"/>
  <c r="W117" i="18"/>
  <c r="V117" i="18"/>
  <c r="U117" i="18"/>
  <c r="P117" i="18"/>
  <c r="O117" i="18"/>
  <c r="AG116" i="18"/>
  <c r="AF116" i="18"/>
  <c r="AE116" i="18"/>
  <c r="AD116" i="18"/>
  <c r="AC116" i="18"/>
  <c r="AB116" i="18"/>
  <c r="AA116" i="18"/>
  <c r="Z116" i="18"/>
  <c r="Y116" i="18"/>
  <c r="X116" i="18"/>
  <c r="W116" i="18"/>
  <c r="V116" i="18"/>
  <c r="U116" i="18"/>
  <c r="P116" i="18"/>
  <c r="O116" i="18"/>
  <c r="AG115" i="18"/>
  <c r="AF115" i="18"/>
  <c r="AE115" i="18"/>
  <c r="AD115" i="18"/>
  <c r="AC115" i="18"/>
  <c r="AB115" i="18"/>
  <c r="AA115" i="18"/>
  <c r="Z115" i="18"/>
  <c r="Y115" i="18"/>
  <c r="AH115" i="18" s="1"/>
  <c r="X115" i="18"/>
  <c r="W115" i="18"/>
  <c r="V115" i="18"/>
  <c r="U115" i="18"/>
  <c r="P115" i="18"/>
  <c r="O115" i="18"/>
  <c r="AG114" i="18"/>
  <c r="AF114" i="18"/>
  <c r="AE114" i="18"/>
  <c r="AD114" i="18"/>
  <c r="AC114" i="18"/>
  <c r="AB114" i="18"/>
  <c r="AA114" i="18"/>
  <c r="Z114" i="18"/>
  <c r="Y114" i="18"/>
  <c r="X114" i="18"/>
  <c r="W114" i="18"/>
  <c r="V114" i="18"/>
  <c r="U114" i="18"/>
  <c r="P114" i="18"/>
  <c r="O114" i="18"/>
  <c r="AG113" i="18"/>
  <c r="AF113" i="18"/>
  <c r="AE113" i="18"/>
  <c r="AD113" i="18"/>
  <c r="AC113" i="18"/>
  <c r="AB113" i="18"/>
  <c r="AA113" i="18"/>
  <c r="Z113" i="18"/>
  <c r="Y113" i="18"/>
  <c r="X113" i="18"/>
  <c r="W113" i="18"/>
  <c r="V113" i="18"/>
  <c r="U113" i="18"/>
  <c r="P113" i="18"/>
  <c r="O113" i="18"/>
  <c r="AG112" i="18"/>
  <c r="AF112" i="18"/>
  <c r="AE112" i="18"/>
  <c r="AD112" i="18"/>
  <c r="AC112" i="18"/>
  <c r="AB112" i="18"/>
  <c r="AA112" i="18"/>
  <c r="Z112" i="18"/>
  <c r="Y112" i="18"/>
  <c r="X112" i="18"/>
  <c r="W112" i="18"/>
  <c r="V112" i="18"/>
  <c r="U112" i="18"/>
  <c r="P112" i="18"/>
  <c r="O112" i="18"/>
  <c r="AG111" i="18"/>
  <c r="AF111" i="18"/>
  <c r="AE111" i="18"/>
  <c r="AD111" i="18"/>
  <c r="AC111" i="18"/>
  <c r="AB111" i="18"/>
  <c r="AA111" i="18"/>
  <c r="Z111" i="18"/>
  <c r="Y111" i="18"/>
  <c r="AH111" i="18" s="1"/>
  <c r="X111" i="18"/>
  <c r="W111" i="18"/>
  <c r="V111" i="18"/>
  <c r="U111" i="18"/>
  <c r="P111" i="18"/>
  <c r="O111" i="18"/>
  <c r="AG110" i="18"/>
  <c r="AF110" i="18"/>
  <c r="AE110" i="18"/>
  <c r="AD110" i="18"/>
  <c r="AC110" i="18"/>
  <c r="AB110" i="18"/>
  <c r="AA110" i="18"/>
  <c r="Z110" i="18"/>
  <c r="AH110" i="18" s="1"/>
  <c r="Y110" i="18"/>
  <c r="X110" i="18"/>
  <c r="W110" i="18"/>
  <c r="V110" i="18"/>
  <c r="U110" i="18"/>
  <c r="P110" i="18"/>
  <c r="O110" i="18"/>
  <c r="AG109" i="18"/>
  <c r="AF109" i="18"/>
  <c r="AE109" i="18"/>
  <c r="AD109" i="18"/>
  <c r="AC109" i="18"/>
  <c r="AB109" i="18"/>
  <c r="AA109" i="18"/>
  <c r="Z109" i="18"/>
  <c r="Y109" i="18"/>
  <c r="AH109" i="18" s="1"/>
  <c r="X109" i="18"/>
  <c r="W109" i="18"/>
  <c r="V109" i="18"/>
  <c r="U109" i="18"/>
  <c r="P109" i="18"/>
  <c r="O109" i="18"/>
  <c r="AG108" i="18"/>
  <c r="AF108" i="18"/>
  <c r="AE108" i="18"/>
  <c r="AD108" i="18"/>
  <c r="AC108" i="18"/>
  <c r="AB108" i="18"/>
  <c r="AA108" i="18"/>
  <c r="Z108" i="18"/>
  <c r="Y108" i="18"/>
  <c r="X108" i="18"/>
  <c r="W108" i="18"/>
  <c r="V108" i="18"/>
  <c r="U108" i="18"/>
  <c r="P108" i="18"/>
  <c r="O108" i="18"/>
  <c r="AG107" i="18"/>
  <c r="AF107" i="18"/>
  <c r="AE107" i="18"/>
  <c r="AD107" i="18"/>
  <c r="AC107" i="18"/>
  <c r="AB107" i="18"/>
  <c r="AA107" i="18"/>
  <c r="Z107" i="18"/>
  <c r="Y107" i="18"/>
  <c r="X107" i="18"/>
  <c r="W107" i="18"/>
  <c r="V107" i="18"/>
  <c r="U107" i="18"/>
  <c r="P107" i="18"/>
  <c r="O107" i="18"/>
  <c r="AG106" i="18"/>
  <c r="AF106" i="18"/>
  <c r="AE106" i="18"/>
  <c r="AD106" i="18"/>
  <c r="AC106" i="18"/>
  <c r="AB106" i="18"/>
  <c r="AA106" i="18"/>
  <c r="Z106" i="18"/>
  <c r="Y106" i="18"/>
  <c r="X106" i="18"/>
  <c r="W106" i="18"/>
  <c r="V106" i="18"/>
  <c r="U106" i="18"/>
  <c r="P106" i="18"/>
  <c r="O106" i="18"/>
  <c r="AG105" i="18"/>
  <c r="AF105" i="18"/>
  <c r="AE105" i="18"/>
  <c r="AD105" i="18"/>
  <c r="AC105" i="18"/>
  <c r="AB105" i="18"/>
  <c r="AA105" i="18"/>
  <c r="Z105" i="18"/>
  <c r="Y105" i="18"/>
  <c r="X105" i="18"/>
  <c r="W105" i="18"/>
  <c r="V105" i="18"/>
  <c r="U105" i="18"/>
  <c r="P105" i="18"/>
  <c r="O105" i="18"/>
  <c r="AG104" i="18"/>
  <c r="AF104" i="18"/>
  <c r="AE104" i="18"/>
  <c r="AD104" i="18"/>
  <c r="AC104" i="18"/>
  <c r="AB104" i="18"/>
  <c r="AA104" i="18"/>
  <c r="Z104" i="18"/>
  <c r="Y104" i="18"/>
  <c r="X104" i="18"/>
  <c r="W104" i="18"/>
  <c r="V104" i="18"/>
  <c r="U104" i="18"/>
  <c r="P104" i="18"/>
  <c r="O104" i="18"/>
  <c r="AG103" i="18"/>
  <c r="AF103" i="18"/>
  <c r="AE103" i="18"/>
  <c r="AD103" i="18"/>
  <c r="AC103" i="18"/>
  <c r="AB103" i="18"/>
  <c r="AA103" i="18"/>
  <c r="Z103" i="18"/>
  <c r="Y103" i="18"/>
  <c r="AH103" i="18" s="1"/>
  <c r="X103" i="18"/>
  <c r="W103" i="18"/>
  <c r="V103" i="18"/>
  <c r="U103" i="18"/>
  <c r="P103" i="18"/>
  <c r="O103" i="18"/>
  <c r="AG102" i="18"/>
  <c r="AF102" i="18"/>
  <c r="AE102" i="18"/>
  <c r="AD102" i="18"/>
  <c r="AC102" i="18"/>
  <c r="AB102" i="18"/>
  <c r="AA102" i="18"/>
  <c r="Z102" i="18"/>
  <c r="AH102" i="18" s="1"/>
  <c r="Y102" i="18"/>
  <c r="X102" i="18"/>
  <c r="W102" i="18"/>
  <c r="V102" i="18"/>
  <c r="U102" i="18"/>
  <c r="P102" i="18"/>
  <c r="O102" i="18"/>
  <c r="AG101" i="18"/>
  <c r="AF101" i="18"/>
  <c r="AE101" i="18"/>
  <c r="AD101" i="18"/>
  <c r="AC101" i="18"/>
  <c r="AB101" i="18"/>
  <c r="AA101" i="18"/>
  <c r="Z101" i="18"/>
  <c r="Y101" i="18"/>
  <c r="AH101" i="18" s="1"/>
  <c r="X101" i="18"/>
  <c r="W101" i="18"/>
  <c r="V101" i="18"/>
  <c r="U101" i="18"/>
  <c r="P101" i="18"/>
  <c r="O101" i="18"/>
  <c r="AG100" i="18"/>
  <c r="AF100" i="18"/>
  <c r="AE100" i="18"/>
  <c r="AD100" i="18"/>
  <c r="AC100" i="18"/>
  <c r="AB100" i="18"/>
  <c r="AA100" i="18"/>
  <c r="Z100" i="18"/>
  <c r="Y100" i="18"/>
  <c r="X100" i="18"/>
  <c r="W100" i="18"/>
  <c r="V100" i="18"/>
  <c r="U100" i="18"/>
  <c r="P100" i="18"/>
  <c r="O100" i="18"/>
  <c r="AG99" i="18"/>
  <c r="AF99" i="18"/>
  <c r="AE99" i="18"/>
  <c r="AD99" i="18"/>
  <c r="AC99" i="18"/>
  <c r="AB99" i="18"/>
  <c r="AA99" i="18"/>
  <c r="Z99" i="18"/>
  <c r="Y99" i="18"/>
  <c r="X99" i="18"/>
  <c r="W99" i="18"/>
  <c r="V99" i="18"/>
  <c r="U99" i="18"/>
  <c r="P99" i="18"/>
  <c r="O99" i="18"/>
  <c r="AG98" i="18"/>
  <c r="AF98" i="18"/>
  <c r="AE98" i="18"/>
  <c r="AD98" i="18"/>
  <c r="AC98" i="18"/>
  <c r="AB98" i="18"/>
  <c r="AA98" i="18"/>
  <c r="Z98" i="18"/>
  <c r="Y98" i="18"/>
  <c r="X98" i="18"/>
  <c r="W98" i="18"/>
  <c r="V98" i="18"/>
  <c r="U98" i="18"/>
  <c r="P98" i="18"/>
  <c r="O98" i="18"/>
  <c r="AG97" i="18"/>
  <c r="AF97" i="18"/>
  <c r="AE97" i="18"/>
  <c r="AD97" i="18"/>
  <c r="AC97" i="18"/>
  <c r="AB97" i="18"/>
  <c r="AA97" i="18"/>
  <c r="Z97" i="18"/>
  <c r="Y97" i="18"/>
  <c r="X97" i="18"/>
  <c r="W97" i="18"/>
  <c r="V97" i="18"/>
  <c r="U97" i="18"/>
  <c r="P97" i="18"/>
  <c r="O97" i="18"/>
  <c r="AG96" i="18"/>
  <c r="AF96" i="18"/>
  <c r="AE96" i="18"/>
  <c r="AD96" i="18"/>
  <c r="AC96" i="18"/>
  <c r="AB96" i="18"/>
  <c r="AA96" i="18"/>
  <c r="Z96" i="18"/>
  <c r="Y96" i="18"/>
  <c r="X96" i="18"/>
  <c r="W96" i="18"/>
  <c r="V96" i="18"/>
  <c r="U96" i="18"/>
  <c r="P96" i="18"/>
  <c r="O96" i="18"/>
  <c r="AG95" i="18"/>
  <c r="AF95" i="18"/>
  <c r="AE95" i="18"/>
  <c r="AD95" i="18"/>
  <c r="AC95" i="18"/>
  <c r="AB95" i="18"/>
  <c r="AA95" i="18"/>
  <c r="Z95" i="18"/>
  <c r="Y95" i="18"/>
  <c r="AH95" i="18" s="1"/>
  <c r="X95" i="18"/>
  <c r="W95" i="18"/>
  <c r="V95" i="18"/>
  <c r="U95" i="18"/>
  <c r="P95" i="18"/>
  <c r="O95" i="18"/>
  <c r="AG94" i="18"/>
  <c r="AF94" i="18"/>
  <c r="AE94" i="18"/>
  <c r="AD94" i="18"/>
  <c r="AC94" i="18"/>
  <c r="AB94" i="18"/>
  <c r="AA94" i="18"/>
  <c r="Z94" i="18"/>
  <c r="AH94" i="18" s="1"/>
  <c r="Y94" i="18"/>
  <c r="X94" i="18"/>
  <c r="W94" i="18"/>
  <c r="V94" i="18"/>
  <c r="U94" i="18"/>
  <c r="P94" i="18"/>
  <c r="O94" i="18"/>
  <c r="AG93" i="18"/>
  <c r="AF93" i="18"/>
  <c r="AE93" i="18"/>
  <c r="AD93" i="18"/>
  <c r="AC93" i="18"/>
  <c r="AB93" i="18"/>
  <c r="AA93" i="18"/>
  <c r="Z93" i="18"/>
  <c r="Y93" i="18"/>
  <c r="AH93" i="18" s="1"/>
  <c r="X93" i="18"/>
  <c r="W93" i="18"/>
  <c r="V93" i="18"/>
  <c r="U93" i="18"/>
  <c r="P93" i="18"/>
  <c r="O93" i="18"/>
  <c r="AG92" i="18"/>
  <c r="AF92" i="18"/>
  <c r="AE92" i="18"/>
  <c r="AD92" i="18"/>
  <c r="AC92" i="18"/>
  <c r="AB92" i="18"/>
  <c r="AA92" i="18"/>
  <c r="Z92" i="18"/>
  <c r="Y92" i="18"/>
  <c r="X92" i="18"/>
  <c r="W92" i="18"/>
  <c r="V92" i="18"/>
  <c r="U92" i="18"/>
  <c r="P92" i="18"/>
  <c r="O92" i="18"/>
  <c r="AG91" i="18"/>
  <c r="AF91" i="18"/>
  <c r="AE91" i="18"/>
  <c r="AD91" i="18"/>
  <c r="AC91" i="18"/>
  <c r="AB91" i="18"/>
  <c r="AA91" i="18"/>
  <c r="Z91" i="18"/>
  <c r="Y91" i="18"/>
  <c r="X91" i="18"/>
  <c r="W91" i="18"/>
  <c r="V91" i="18"/>
  <c r="U91" i="18"/>
  <c r="P91" i="18"/>
  <c r="O91" i="18"/>
  <c r="AG90" i="18"/>
  <c r="AF90" i="18"/>
  <c r="AE90" i="18"/>
  <c r="AD90" i="18"/>
  <c r="AC90" i="18"/>
  <c r="AB90" i="18"/>
  <c r="AA90" i="18"/>
  <c r="Z90" i="18"/>
  <c r="Y90" i="18"/>
  <c r="X90" i="18"/>
  <c r="W90" i="18"/>
  <c r="V90" i="18"/>
  <c r="U90" i="18"/>
  <c r="P90" i="18"/>
  <c r="O90" i="18"/>
  <c r="AG89" i="18"/>
  <c r="AF89" i="18"/>
  <c r="AE89" i="18"/>
  <c r="AD89" i="18"/>
  <c r="AC89" i="18"/>
  <c r="AB89" i="18"/>
  <c r="AA89" i="18"/>
  <c r="Z89" i="18"/>
  <c r="Y89" i="18"/>
  <c r="X89" i="18"/>
  <c r="W89" i="18"/>
  <c r="V89" i="18"/>
  <c r="U89" i="18"/>
  <c r="P89" i="18"/>
  <c r="O89" i="18"/>
  <c r="AG88" i="18"/>
  <c r="AF88" i="18"/>
  <c r="AE88" i="18"/>
  <c r="AD88" i="18"/>
  <c r="AC88" i="18"/>
  <c r="AB88" i="18"/>
  <c r="AA88" i="18"/>
  <c r="Z88" i="18"/>
  <c r="Y88" i="18"/>
  <c r="X88" i="18"/>
  <c r="W88" i="18"/>
  <c r="V88" i="18"/>
  <c r="U88" i="18"/>
  <c r="P88" i="18"/>
  <c r="O88" i="18"/>
  <c r="AG87" i="18"/>
  <c r="AF87" i="18"/>
  <c r="AE87" i="18"/>
  <c r="AD87" i="18"/>
  <c r="AC87" i="18"/>
  <c r="AB87" i="18"/>
  <c r="AA87" i="18"/>
  <c r="Z87" i="18"/>
  <c r="Y87" i="18"/>
  <c r="AH87" i="18" s="1"/>
  <c r="X87" i="18"/>
  <c r="W87" i="18"/>
  <c r="V87" i="18"/>
  <c r="U87" i="18"/>
  <c r="P87" i="18"/>
  <c r="O87" i="18"/>
  <c r="AG86" i="18"/>
  <c r="AF86" i="18"/>
  <c r="AE86" i="18"/>
  <c r="AD86" i="18"/>
  <c r="AC86" i="18"/>
  <c r="AB86" i="18"/>
  <c r="AA86" i="18"/>
  <c r="Z86" i="18"/>
  <c r="AH86" i="18" s="1"/>
  <c r="Y86" i="18"/>
  <c r="X86" i="18"/>
  <c r="W86" i="18"/>
  <c r="V86" i="18"/>
  <c r="U86" i="18"/>
  <c r="P86" i="18"/>
  <c r="O86" i="18"/>
  <c r="AG85" i="18"/>
  <c r="AF85" i="18"/>
  <c r="AE85" i="18"/>
  <c r="AD85" i="18"/>
  <c r="AC85" i="18"/>
  <c r="AB85" i="18"/>
  <c r="AA85" i="18"/>
  <c r="Z85" i="18"/>
  <c r="Y85" i="18"/>
  <c r="AH85" i="18" s="1"/>
  <c r="X85" i="18"/>
  <c r="W85" i="18"/>
  <c r="V85" i="18"/>
  <c r="U85" i="18"/>
  <c r="P85" i="18"/>
  <c r="O85" i="18"/>
  <c r="AG84" i="18"/>
  <c r="AF84" i="18"/>
  <c r="AE84" i="18"/>
  <c r="AD84" i="18"/>
  <c r="AC84" i="18"/>
  <c r="AB84" i="18"/>
  <c r="AA84" i="18"/>
  <c r="Z84" i="18"/>
  <c r="Y84" i="18"/>
  <c r="X84" i="18"/>
  <c r="W84" i="18"/>
  <c r="V84" i="18"/>
  <c r="U84" i="18"/>
  <c r="P84" i="18"/>
  <c r="O84" i="18"/>
  <c r="AG83" i="18"/>
  <c r="AF83" i="18"/>
  <c r="AE83" i="18"/>
  <c r="AD83" i="18"/>
  <c r="AC83" i="18"/>
  <c r="AB83" i="18"/>
  <c r="AA83" i="18"/>
  <c r="Z83" i="18"/>
  <c r="Y83" i="18"/>
  <c r="X83" i="18"/>
  <c r="W83" i="18"/>
  <c r="V83" i="18"/>
  <c r="U83" i="18"/>
  <c r="P83" i="18"/>
  <c r="O83" i="18"/>
  <c r="AG82" i="18"/>
  <c r="AF82" i="18"/>
  <c r="AE82" i="18"/>
  <c r="AD82" i="18"/>
  <c r="AC82" i="18"/>
  <c r="AB82" i="18"/>
  <c r="AA82" i="18"/>
  <c r="Z82" i="18"/>
  <c r="Y82" i="18"/>
  <c r="X82" i="18"/>
  <c r="W82" i="18"/>
  <c r="V82" i="18"/>
  <c r="U82" i="18"/>
  <c r="P82" i="18"/>
  <c r="O82" i="18"/>
  <c r="AG81" i="18"/>
  <c r="AF81" i="18"/>
  <c r="AE81" i="18"/>
  <c r="AD81" i="18"/>
  <c r="AC81" i="18"/>
  <c r="AB81" i="18"/>
  <c r="AA81" i="18"/>
  <c r="Z81" i="18"/>
  <c r="Y81" i="18"/>
  <c r="X81" i="18"/>
  <c r="W81" i="18"/>
  <c r="V81" i="18"/>
  <c r="U81" i="18"/>
  <c r="P81" i="18"/>
  <c r="O81" i="18"/>
  <c r="AG80" i="18"/>
  <c r="AF80" i="18"/>
  <c r="AE80" i="18"/>
  <c r="AD80" i="18"/>
  <c r="AC80" i="18"/>
  <c r="AB80" i="18"/>
  <c r="AA80" i="18"/>
  <c r="Z80" i="18"/>
  <c r="Y80" i="18"/>
  <c r="X80" i="18"/>
  <c r="W80" i="18"/>
  <c r="V80" i="18"/>
  <c r="U80" i="18"/>
  <c r="P80" i="18"/>
  <c r="O80" i="18"/>
  <c r="AG79" i="18"/>
  <c r="AF79" i="18"/>
  <c r="AE79" i="18"/>
  <c r="AD79" i="18"/>
  <c r="AC79" i="18"/>
  <c r="AB79" i="18"/>
  <c r="AA79" i="18"/>
  <c r="Z79" i="18"/>
  <c r="Y79" i="18"/>
  <c r="AH79" i="18" s="1"/>
  <c r="X79" i="18"/>
  <c r="W79" i="18"/>
  <c r="V79" i="18"/>
  <c r="U79" i="18"/>
  <c r="P79" i="18"/>
  <c r="O79" i="18"/>
  <c r="AG78" i="18"/>
  <c r="AF78" i="18"/>
  <c r="AE78" i="18"/>
  <c r="AD78" i="18"/>
  <c r="AC78" i="18"/>
  <c r="AB78" i="18"/>
  <c r="AA78" i="18"/>
  <c r="Z78" i="18"/>
  <c r="AH78" i="18" s="1"/>
  <c r="Y78" i="18"/>
  <c r="X78" i="18"/>
  <c r="W78" i="18"/>
  <c r="V78" i="18"/>
  <c r="U78" i="18"/>
  <c r="P78" i="18"/>
  <c r="O78" i="18"/>
  <c r="AG77" i="18"/>
  <c r="AF77" i="18"/>
  <c r="AE77" i="18"/>
  <c r="AD77" i="18"/>
  <c r="AC77" i="18"/>
  <c r="AB77" i="18"/>
  <c r="AA77" i="18"/>
  <c r="Z77" i="18"/>
  <c r="Y77" i="18"/>
  <c r="AH77" i="18" s="1"/>
  <c r="X77" i="18"/>
  <c r="W77" i="18"/>
  <c r="V77" i="18"/>
  <c r="U77" i="18"/>
  <c r="P77" i="18"/>
  <c r="O77" i="18"/>
  <c r="AG76" i="18"/>
  <c r="AF76" i="18"/>
  <c r="AE76" i="18"/>
  <c r="AD76" i="18"/>
  <c r="AC76" i="18"/>
  <c r="AB76" i="18"/>
  <c r="AA76" i="18"/>
  <c r="Z76" i="18"/>
  <c r="Y76" i="18"/>
  <c r="X76" i="18"/>
  <c r="W76" i="18"/>
  <c r="V76" i="18"/>
  <c r="U76" i="18"/>
  <c r="P76" i="18"/>
  <c r="O76" i="18"/>
  <c r="AG75" i="18"/>
  <c r="AF75" i="18"/>
  <c r="AE75" i="18"/>
  <c r="AD75" i="18"/>
  <c r="AC75" i="18"/>
  <c r="AB75" i="18"/>
  <c r="AA75" i="18"/>
  <c r="Z75" i="18"/>
  <c r="Y75" i="18"/>
  <c r="X75" i="18"/>
  <c r="W75" i="18"/>
  <c r="V75" i="18"/>
  <c r="U75" i="18"/>
  <c r="P75" i="18"/>
  <c r="O75" i="18"/>
  <c r="AG74" i="18"/>
  <c r="AF74" i="18"/>
  <c r="AE74" i="18"/>
  <c r="AD74" i="18"/>
  <c r="AC74" i="18"/>
  <c r="AB74" i="18"/>
  <c r="AA74" i="18"/>
  <c r="Z74" i="18"/>
  <c r="Y74" i="18"/>
  <c r="X74" i="18"/>
  <c r="W74" i="18"/>
  <c r="V74" i="18"/>
  <c r="U74" i="18"/>
  <c r="P74" i="18"/>
  <c r="O74" i="18"/>
  <c r="AG73" i="18"/>
  <c r="AF73" i="18"/>
  <c r="AE73" i="18"/>
  <c r="AD73" i="18"/>
  <c r="AC73" i="18"/>
  <c r="AB73" i="18"/>
  <c r="AA73" i="18"/>
  <c r="Z73" i="18"/>
  <c r="Y73" i="18"/>
  <c r="X73" i="18"/>
  <c r="W73" i="18"/>
  <c r="V73" i="18"/>
  <c r="U73" i="18"/>
  <c r="P73" i="18"/>
  <c r="O73" i="18"/>
  <c r="AG72" i="18"/>
  <c r="AF72" i="18"/>
  <c r="AE72" i="18"/>
  <c r="AD72" i="18"/>
  <c r="AC72" i="18"/>
  <c r="AB72" i="18"/>
  <c r="AA72" i="18"/>
  <c r="Z72" i="18"/>
  <c r="Y72" i="18"/>
  <c r="X72" i="18"/>
  <c r="W72" i="18"/>
  <c r="V72" i="18"/>
  <c r="U72" i="18"/>
  <c r="P72" i="18"/>
  <c r="O72" i="18"/>
  <c r="AG71" i="18"/>
  <c r="AF71" i="18"/>
  <c r="AE71" i="18"/>
  <c r="AD71" i="18"/>
  <c r="AC71" i="18"/>
  <c r="AB71" i="18"/>
  <c r="AA71" i="18"/>
  <c r="Z71" i="18"/>
  <c r="Y71" i="18"/>
  <c r="AH71" i="18" s="1"/>
  <c r="X71" i="18"/>
  <c r="W71" i="18"/>
  <c r="V71" i="18"/>
  <c r="U71" i="18"/>
  <c r="P71" i="18"/>
  <c r="O71" i="18"/>
  <c r="AG70" i="18"/>
  <c r="AF70" i="18"/>
  <c r="AE70" i="18"/>
  <c r="AD70" i="18"/>
  <c r="AC70" i="18"/>
  <c r="AB70" i="18"/>
  <c r="AA70" i="18"/>
  <c r="Z70" i="18"/>
  <c r="AH70" i="18" s="1"/>
  <c r="Y70" i="18"/>
  <c r="X70" i="18"/>
  <c r="W70" i="18"/>
  <c r="V70" i="18"/>
  <c r="U70" i="18"/>
  <c r="P70" i="18"/>
  <c r="O70" i="18"/>
  <c r="AG69" i="18"/>
  <c r="AF69" i="18"/>
  <c r="AE69" i="18"/>
  <c r="AD69" i="18"/>
  <c r="AC69" i="18"/>
  <c r="AB69" i="18"/>
  <c r="AA69" i="18"/>
  <c r="Z69" i="18"/>
  <c r="Y69" i="18"/>
  <c r="AH69" i="18" s="1"/>
  <c r="X69" i="18"/>
  <c r="W69" i="18"/>
  <c r="V69" i="18"/>
  <c r="U69" i="18"/>
  <c r="P69" i="18"/>
  <c r="O69" i="18"/>
  <c r="AG68" i="18"/>
  <c r="AF68" i="18"/>
  <c r="AE68" i="18"/>
  <c r="AD68" i="18"/>
  <c r="AC68" i="18"/>
  <c r="AB68" i="18"/>
  <c r="AA68" i="18"/>
  <c r="Z68" i="18"/>
  <c r="Y68" i="18"/>
  <c r="X68" i="18"/>
  <c r="W68" i="18"/>
  <c r="V68" i="18"/>
  <c r="U68" i="18"/>
  <c r="P68" i="18"/>
  <c r="O68" i="18"/>
  <c r="AG67" i="18"/>
  <c r="AF67" i="18"/>
  <c r="AE67" i="18"/>
  <c r="AD67" i="18"/>
  <c r="AC67" i="18"/>
  <c r="AB67" i="18"/>
  <c r="AA67" i="18"/>
  <c r="Z67" i="18"/>
  <c r="Y67" i="18"/>
  <c r="X67" i="18"/>
  <c r="W67" i="18"/>
  <c r="V67" i="18"/>
  <c r="U67" i="18"/>
  <c r="P67" i="18"/>
  <c r="O67" i="18"/>
  <c r="AG66" i="18"/>
  <c r="AF66" i="18"/>
  <c r="AE66" i="18"/>
  <c r="AD66" i="18"/>
  <c r="AC66" i="18"/>
  <c r="AB66" i="18"/>
  <c r="AA66" i="18"/>
  <c r="Z66" i="18"/>
  <c r="Y66" i="18"/>
  <c r="X66" i="18"/>
  <c r="W66" i="18"/>
  <c r="V66" i="18"/>
  <c r="U66" i="18"/>
  <c r="P66" i="18"/>
  <c r="O66" i="18"/>
  <c r="AG65" i="18"/>
  <c r="AF65" i="18"/>
  <c r="AE65" i="18"/>
  <c r="AD65" i="18"/>
  <c r="AC65" i="18"/>
  <c r="AB65" i="18"/>
  <c r="AA65" i="18"/>
  <c r="Z65" i="18"/>
  <c r="Y65" i="18"/>
  <c r="X65" i="18"/>
  <c r="W65" i="18"/>
  <c r="V65" i="18"/>
  <c r="U65" i="18"/>
  <c r="P65" i="18"/>
  <c r="O65" i="18"/>
  <c r="AG64" i="18"/>
  <c r="AF64" i="18"/>
  <c r="AE64" i="18"/>
  <c r="AD64" i="18"/>
  <c r="AC64" i="18"/>
  <c r="AB64" i="18"/>
  <c r="AA64" i="18"/>
  <c r="Z64" i="18"/>
  <c r="Y64" i="18"/>
  <c r="X64" i="18"/>
  <c r="W64" i="18"/>
  <c r="V64" i="18"/>
  <c r="U64" i="18"/>
  <c r="P64" i="18"/>
  <c r="O64" i="18"/>
  <c r="AG63" i="18"/>
  <c r="AF63" i="18"/>
  <c r="AE63" i="18"/>
  <c r="AD63" i="18"/>
  <c r="AC63" i="18"/>
  <c r="AB63" i="18"/>
  <c r="AA63" i="18"/>
  <c r="Z63" i="18"/>
  <c r="Y63" i="18"/>
  <c r="AH63" i="18" s="1"/>
  <c r="X63" i="18"/>
  <c r="W63" i="18"/>
  <c r="V63" i="18"/>
  <c r="U63" i="18"/>
  <c r="P63" i="18"/>
  <c r="O63" i="18"/>
  <c r="AG62" i="18"/>
  <c r="AF62" i="18"/>
  <c r="AE62" i="18"/>
  <c r="AD62" i="18"/>
  <c r="AC62" i="18"/>
  <c r="AB62" i="18"/>
  <c r="AA62" i="18"/>
  <c r="Z62" i="18"/>
  <c r="AH62" i="18" s="1"/>
  <c r="Y62" i="18"/>
  <c r="X62" i="18"/>
  <c r="W62" i="18"/>
  <c r="V62" i="18"/>
  <c r="U62" i="18"/>
  <c r="P62" i="18"/>
  <c r="O62" i="18"/>
  <c r="AG61" i="18"/>
  <c r="AF61" i="18"/>
  <c r="AE61" i="18"/>
  <c r="AD61" i="18"/>
  <c r="AC61" i="18"/>
  <c r="AB61" i="18"/>
  <c r="AA61" i="18"/>
  <c r="Z61" i="18"/>
  <c r="Y61" i="18"/>
  <c r="AH61" i="18" s="1"/>
  <c r="X61" i="18"/>
  <c r="W61" i="18"/>
  <c r="V61" i="18"/>
  <c r="U61" i="18"/>
  <c r="P61" i="18"/>
  <c r="O61" i="18"/>
  <c r="AG60" i="18"/>
  <c r="AF60" i="18"/>
  <c r="AE60" i="18"/>
  <c r="AD60" i="18"/>
  <c r="AC60" i="18"/>
  <c r="AB60" i="18"/>
  <c r="AA60" i="18"/>
  <c r="Z60" i="18"/>
  <c r="Y60" i="18"/>
  <c r="X60" i="18"/>
  <c r="W60" i="18"/>
  <c r="V60" i="18"/>
  <c r="U60" i="18"/>
  <c r="P60" i="18"/>
  <c r="O60" i="18"/>
  <c r="AG59" i="18"/>
  <c r="AF59" i="18"/>
  <c r="AE59" i="18"/>
  <c r="AD59" i="18"/>
  <c r="AC59" i="18"/>
  <c r="AB59" i="18"/>
  <c r="AA59" i="18"/>
  <c r="Z59" i="18"/>
  <c r="Y59" i="18"/>
  <c r="X59" i="18"/>
  <c r="W59" i="18"/>
  <c r="V59" i="18"/>
  <c r="U59" i="18"/>
  <c r="P59" i="18"/>
  <c r="O59" i="18"/>
  <c r="AG58" i="18"/>
  <c r="AF58" i="18"/>
  <c r="AE58" i="18"/>
  <c r="AD58" i="18"/>
  <c r="AC58" i="18"/>
  <c r="AB58" i="18"/>
  <c r="AA58" i="18"/>
  <c r="Z58" i="18"/>
  <c r="Y58" i="18"/>
  <c r="X58" i="18"/>
  <c r="W58" i="18"/>
  <c r="V58" i="18"/>
  <c r="U58" i="18"/>
  <c r="P58" i="18"/>
  <c r="O58" i="18"/>
  <c r="AG57" i="18"/>
  <c r="AF57" i="18"/>
  <c r="AE57" i="18"/>
  <c r="AD57" i="18"/>
  <c r="AC57" i="18"/>
  <c r="AB57" i="18"/>
  <c r="AA57" i="18"/>
  <c r="Z57" i="18"/>
  <c r="Y57" i="18"/>
  <c r="X57" i="18"/>
  <c r="W57" i="18"/>
  <c r="V57" i="18"/>
  <c r="U57" i="18"/>
  <c r="P57" i="18"/>
  <c r="O57" i="18"/>
  <c r="AG56" i="18"/>
  <c r="AF56" i="18"/>
  <c r="AE56" i="18"/>
  <c r="AD56" i="18"/>
  <c r="AC56" i="18"/>
  <c r="AB56" i="18"/>
  <c r="AA56" i="18"/>
  <c r="Z56" i="18"/>
  <c r="Y56" i="18"/>
  <c r="X56" i="18"/>
  <c r="W56" i="18"/>
  <c r="V56" i="18"/>
  <c r="U56" i="18"/>
  <c r="P56" i="18"/>
  <c r="O56" i="18"/>
  <c r="AG55" i="18"/>
  <c r="AF55" i="18"/>
  <c r="AE55" i="18"/>
  <c r="AD55" i="18"/>
  <c r="AC55" i="18"/>
  <c r="AB55" i="18"/>
  <c r="AA55" i="18"/>
  <c r="Z55" i="18"/>
  <c r="Y55" i="18"/>
  <c r="AH55" i="18" s="1"/>
  <c r="X55" i="18"/>
  <c r="W55" i="18"/>
  <c r="V55" i="18"/>
  <c r="U55" i="18"/>
  <c r="P55" i="18"/>
  <c r="O55" i="18"/>
  <c r="AG54" i="18"/>
  <c r="AF54" i="18"/>
  <c r="AE54" i="18"/>
  <c r="AD54" i="18"/>
  <c r="AC54" i="18"/>
  <c r="AB54" i="18"/>
  <c r="AA54" i="18"/>
  <c r="Z54" i="18"/>
  <c r="AH54" i="18" s="1"/>
  <c r="Y54" i="18"/>
  <c r="X54" i="18"/>
  <c r="W54" i="18"/>
  <c r="V54" i="18"/>
  <c r="U54" i="18"/>
  <c r="P54" i="18"/>
  <c r="O54" i="18"/>
  <c r="AG53" i="18"/>
  <c r="AF53" i="18"/>
  <c r="AE53" i="18"/>
  <c r="AD53" i="18"/>
  <c r="AC53" i="18"/>
  <c r="AB53" i="18"/>
  <c r="AA53" i="18"/>
  <c r="Z53" i="18"/>
  <c r="Y53" i="18"/>
  <c r="AH53" i="18" s="1"/>
  <c r="X53" i="18"/>
  <c r="W53" i="18"/>
  <c r="V53" i="18"/>
  <c r="U53" i="18"/>
  <c r="P53" i="18"/>
  <c r="O53" i="18"/>
  <c r="AG52" i="18"/>
  <c r="AF52" i="18"/>
  <c r="AE52" i="18"/>
  <c r="AD52" i="18"/>
  <c r="AC52" i="18"/>
  <c r="AB52" i="18"/>
  <c r="AA52" i="18"/>
  <c r="Z52" i="18"/>
  <c r="Y52" i="18"/>
  <c r="X52" i="18"/>
  <c r="W52" i="18"/>
  <c r="V52" i="18"/>
  <c r="U52" i="18"/>
  <c r="P52" i="18"/>
  <c r="O52" i="18"/>
  <c r="AG51" i="18"/>
  <c r="AF51" i="18"/>
  <c r="AE51" i="18"/>
  <c r="AD51" i="18"/>
  <c r="AC51" i="18"/>
  <c r="AB51" i="18"/>
  <c r="AA51" i="18"/>
  <c r="Z51" i="18"/>
  <c r="Y51" i="18"/>
  <c r="X51" i="18"/>
  <c r="W51" i="18"/>
  <c r="V51" i="18"/>
  <c r="U51" i="18"/>
  <c r="P51" i="18"/>
  <c r="O51" i="18"/>
  <c r="AG50" i="18"/>
  <c r="AF50" i="18"/>
  <c r="AE50" i="18"/>
  <c r="AD50" i="18"/>
  <c r="AC50" i="18"/>
  <c r="AB50" i="18"/>
  <c r="AA50" i="18"/>
  <c r="Z50" i="18"/>
  <c r="Y50" i="18"/>
  <c r="X50" i="18"/>
  <c r="W50" i="18"/>
  <c r="V50" i="18"/>
  <c r="U50" i="18"/>
  <c r="P50" i="18"/>
  <c r="O50" i="18"/>
  <c r="AG49" i="18"/>
  <c r="AF49" i="18"/>
  <c r="AE49" i="18"/>
  <c r="AD49" i="18"/>
  <c r="AC49" i="18"/>
  <c r="AB49" i="18"/>
  <c r="AA49" i="18"/>
  <c r="Z49" i="18"/>
  <c r="Y49" i="18"/>
  <c r="X49" i="18"/>
  <c r="W49" i="18"/>
  <c r="V49" i="18"/>
  <c r="U49" i="18"/>
  <c r="P49" i="18"/>
  <c r="O49" i="18"/>
  <c r="AG48" i="18"/>
  <c r="AF48" i="18"/>
  <c r="AE48" i="18"/>
  <c r="AD48" i="18"/>
  <c r="AC48" i="18"/>
  <c r="AB48" i="18"/>
  <c r="AA48" i="18"/>
  <c r="Z48" i="18"/>
  <c r="Y48" i="18"/>
  <c r="X48" i="18"/>
  <c r="W48" i="18"/>
  <c r="V48" i="18"/>
  <c r="U48" i="18"/>
  <c r="P48" i="18"/>
  <c r="O48" i="18"/>
  <c r="AG47" i="18"/>
  <c r="AF47" i="18"/>
  <c r="AE47" i="18"/>
  <c r="AD47" i="18"/>
  <c r="AC47" i="18"/>
  <c r="AB47" i="18"/>
  <c r="AA47" i="18"/>
  <c r="Z47" i="18"/>
  <c r="Y47" i="18"/>
  <c r="AH47" i="18" s="1"/>
  <c r="X47" i="18"/>
  <c r="W47" i="18"/>
  <c r="V47" i="18"/>
  <c r="U47" i="18"/>
  <c r="P47" i="18"/>
  <c r="O47" i="18"/>
  <c r="AG46" i="18"/>
  <c r="AF46" i="18"/>
  <c r="AE46" i="18"/>
  <c r="AD46" i="18"/>
  <c r="AC46" i="18"/>
  <c r="AB46" i="18"/>
  <c r="AA46" i="18"/>
  <c r="Z46" i="18"/>
  <c r="AH46" i="18" s="1"/>
  <c r="Y46" i="18"/>
  <c r="X46" i="18"/>
  <c r="W46" i="18"/>
  <c r="V46" i="18"/>
  <c r="U46" i="18"/>
  <c r="P46" i="18"/>
  <c r="O46" i="18"/>
  <c r="AG45" i="18"/>
  <c r="AF45" i="18"/>
  <c r="AE45" i="18"/>
  <c r="AD45" i="18"/>
  <c r="AC45" i="18"/>
  <c r="AB45" i="18"/>
  <c r="AA45" i="18"/>
  <c r="Z45" i="18"/>
  <c r="Y45" i="18"/>
  <c r="AH45" i="18" s="1"/>
  <c r="X45" i="18"/>
  <c r="W45" i="18"/>
  <c r="V45" i="18"/>
  <c r="U45" i="18"/>
  <c r="P45" i="18"/>
  <c r="O45" i="18"/>
  <c r="AG44" i="18"/>
  <c r="AF44" i="18"/>
  <c r="AE44" i="18"/>
  <c r="AD44" i="18"/>
  <c r="AC44" i="18"/>
  <c r="AB44" i="18"/>
  <c r="AA44" i="18"/>
  <c r="Z44" i="18"/>
  <c r="Y44" i="18"/>
  <c r="X44" i="18"/>
  <c r="W44" i="18"/>
  <c r="V44" i="18"/>
  <c r="U44" i="18"/>
  <c r="P44" i="18"/>
  <c r="O44" i="18"/>
  <c r="AG43" i="18"/>
  <c r="AF43" i="18"/>
  <c r="AE43" i="18"/>
  <c r="AD43" i="18"/>
  <c r="AC43" i="18"/>
  <c r="AB43" i="18"/>
  <c r="AA43" i="18"/>
  <c r="Z43" i="18"/>
  <c r="Y43" i="18"/>
  <c r="X43" i="18"/>
  <c r="W43" i="18"/>
  <c r="V43" i="18"/>
  <c r="U43" i="18"/>
  <c r="P43" i="18"/>
  <c r="O43" i="18"/>
  <c r="AG42" i="18"/>
  <c r="AF42" i="18"/>
  <c r="AE42" i="18"/>
  <c r="AD42" i="18"/>
  <c r="AC42" i="18"/>
  <c r="AB42" i="18"/>
  <c r="AA42" i="18"/>
  <c r="Z42" i="18"/>
  <c r="Y42" i="18"/>
  <c r="X42" i="18"/>
  <c r="W42" i="18"/>
  <c r="V42" i="18"/>
  <c r="U42" i="18"/>
  <c r="P42" i="18"/>
  <c r="O42" i="18"/>
  <c r="AG41" i="18"/>
  <c r="AF41" i="18"/>
  <c r="AE41" i="18"/>
  <c r="AD41" i="18"/>
  <c r="AC41" i="18"/>
  <c r="AB41" i="18"/>
  <c r="AA41" i="18"/>
  <c r="Z41" i="18"/>
  <c r="Y41" i="18"/>
  <c r="X41" i="18"/>
  <c r="W41" i="18"/>
  <c r="V41" i="18"/>
  <c r="U41" i="18"/>
  <c r="P41" i="18"/>
  <c r="O41" i="18"/>
  <c r="AG40" i="18"/>
  <c r="AF40" i="18"/>
  <c r="AE40" i="18"/>
  <c r="AD40" i="18"/>
  <c r="AC40" i="18"/>
  <c r="AB40" i="18"/>
  <c r="AA40" i="18"/>
  <c r="Z40" i="18"/>
  <c r="Y40" i="18"/>
  <c r="X40" i="18"/>
  <c r="W40" i="18"/>
  <c r="V40" i="18"/>
  <c r="U40" i="18"/>
  <c r="P40" i="18"/>
  <c r="O40" i="18"/>
  <c r="AG39" i="18"/>
  <c r="AF39" i="18"/>
  <c r="AE39" i="18"/>
  <c r="AD39" i="18"/>
  <c r="AC39" i="18"/>
  <c r="AB39" i="18"/>
  <c r="AA39" i="18"/>
  <c r="Z39" i="18"/>
  <c r="Y39" i="18"/>
  <c r="AH39" i="18" s="1"/>
  <c r="X39" i="18"/>
  <c r="W39" i="18"/>
  <c r="V39" i="18"/>
  <c r="U39" i="18"/>
  <c r="P39" i="18"/>
  <c r="O39" i="18"/>
  <c r="AG38" i="18"/>
  <c r="AF38" i="18"/>
  <c r="AE38" i="18"/>
  <c r="AD38" i="18"/>
  <c r="AC38" i="18"/>
  <c r="AB38" i="18"/>
  <c r="AA38" i="18"/>
  <c r="Z38" i="18"/>
  <c r="AH38" i="18" s="1"/>
  <c r="Y38" i="18"/>
  <c r="X38" i="18"/>
  <c r="W38" i="18"/>
  <c r="V38" i="18"/>
  <c r="U38" i="18"/>
  <c r="P38" i="18"/>
  <c r="O38" i="18"/>
  <c r="AG37" i="18"/>
  <c r="AF37" i="18"/>
  <c r="AE37" i="18"/>
  <c r="AD37" i="18"/>
  <c r="AC37" i="18"/>
  <c r="AB37" i="18"/>
  <c r="AA37" i="18"/>
  <c r="Z37" i="18"/>
  <c r="Y37" i="18"/>
  <c r="AH37" i="18" s="1"/>
  <c r="X37" i="18"/>
  <c r="W37" i="18"/>
  <c r="V37" i="18"/>
  <c r="U37" i="18"/>
  <c r="P37" i="18"/>
  <c r="O37" i="18"/>
  <c r="AG36" i="18"/>
  <c r="AF36" i="18"/>
  <c r="AE36" i="18"/>
  <c r="AD36" i="18"/>
  <c r="AC36" i="18"/>
  <c r="AB36" i="18"/>
  <c r="AA36" i="18"/>
  <c r="Z36" i="18"/>
  <c r="Y36" i="18"/>
  <c r="X36" i="18"/>
  <c r="W36" i="18"/>
  <c r="V36" i="18"/>
  <c r="U36" i="18"/>
  <c r="P36" i="18"/>
  <c r="O36" i="18"/>
  <c r="AG35" i="18"/>
  <c r="AF35" i="18"/>
  <c r="AE35" i="18"/>
  <c r="AD35" i="18"/>
  <c r="AC35" i="18"/>
  <c r="AB35" i="18"/>
  <c r="AA35" i="18"/>
  <c r="Z35" i="18"/>
  <c r="Y35" i="18"/>
  <c r="X35" i="18"/>
  <c r="W35" i="18"/>
  <c r="V35" i="18"/>
  <c r="U35" i="18"/>
  <c r="P35" i="18"/>
  <c r="O35" i="18"/>
  <c r="AG34" i="18"/>
  <c r="AF34" i="18"/>
  <c r="AE34" i="18"/>
  <c r="AD34" i="18"/>
  <c r="AC34" i="18"/>
  <c r="AB34" i="18"/>
  <c r="AA34" i="18"/>
  <c r="Z34" i="18"/>
  <c r="Y34" i="18"/>
  <c r="X34" i="18"/>
  <c r="W34" i="18"/>
  <c r="V34" i="18"/>
  <c r="U34" i="18"/>
  <c r="P34" i="18"/>
  <c r="O34" i="18"/>
  <c r="AG33" i="18"/>
  <c r="AF33" i="18"/>
  <c r="AE33" i="18"/>
  <c r="AD33" i="18"/>
  <c r="AC33" i="18"/>
  <c r="AB33" i="18"/>
  <c r="AA33" i="18"/>
  <c r="Z33" i="18"/>
  <c r="Y33" i="18"/>
  <c r="X33" i="18"/>
  <c r="W33" i="18"/>
  <c r="V33" i="18"/>
  <c r="U33" i="18"/>
  <c r="P33" i="18"/>
  <c r="O33" i="18"/>
  <c r="AG32" i="18"/>
  <c r="AF32" i="18"/>
  <c r="AE32" i="18"/>
  <c r="AD32" i="18"/>
  <c r="AC32" i="18"/>
  <c r="AB32" i="18"/>
  <c r="AA32" i="18"/>
  <c r="Z32" i="18"/>
  <c r="Y32" i="18"/>
  <c r="X32" i="18"/>
  <c r="W32" i="18"/>
  <c r="V32" i="18"/>
  <c r="U32" i="18"/>
  <c r="P32" i="18"/>
  <c r="O32" i="18"/>
  <c r="AG31" i="18"/>
  <c r="AF31" i="18"/>
  <c r="AE31" i="18"/>
  <c r="AD31" i="18"/>
  <c r="AC31" i="18"/>
  <c r="AB31" i="18"/>
  <c r="AA31" i="18"/>
  <c r="Z31" i="18"/>
  <c r="Y31" i="18"/>
  <c r="X31" i="18"/>
  <c r="W31" i="18"/>
  <c r="V31" i="18"/>
  <c r="U31" i="18"/>
  <c r="P31" i="18"/>
  <c r="O31" i="18"/>
  <c r="AG30" i="18"/>
  <c r="AF30" i="18"/>
  <c r="AE30" i="18"/>
  <c r="AD30" i="18"/>
  <c r="AC30" i="18"/>
  <c r="AB30" i="18"/>
  <c r="AA30" i="18"/>
  <c r="Z30" i="18"/>
  <c r="Y30" i="18"/>
  <c r="X30" i="18"/>
  <c r="W30" i="18"/>
  <c r="V30" i="18"/>
  <c r="U30" i="18"/>
  <c r="P30" i="18"/>
  <c r="O30" i="18"/>
  <c r="AG29" i="18"/>
  <c r="AF29" i="18"/>
  <c r="AE29" i="18"/>
  <c r="AD29" i="18"/>
  <c r="AC29" i="18"/>
  <c r="AB29" i="18"/>
  <c r="AA29" i="18"/>
  <c r="Z29" i="18"/>
  <c r="Y29" i="18"/>
  <c r="X29" i="18"/>
  <c r="W29" i="18"/>
  <c r="V29" i="18"/>
  <c r="U29" i="18"/>
  <c r="P29" i="18"/>
  <c r="O29" i="18"/>
  <c r="AG28" i="18"/>
  <c r="AF28" i="18"/>
  <c r="AE28" i="18"/>
  <c r="AD28" i="18"/>
  <c r="AC28" i="18"/>
  <c r="AB28" i="18"/>
  <c r="AA28" i="18"/>
  <c r="Z28" i="18"/>
  <c r="Y28" i="18"/>
  <c r="AH28" i="18" s="1"/>
  <c r="X28" i="18"/>
  <c r="W28" i="18"/>
  <c r="V28" i="18"/>
  <c r="U28" i="18"/>
  <c r="P28" i="18"/>
  <c r="O28" i="18"/>
  <c r="AG27" i="18"/>
  <c r="AF27" i="18"/>
  <c r="AE27" i="18"/>
  <c r="AD27" i="18"/>
  <c r="AC27" i="18"/>
  <c r="AB27" i="18"/>
  <c r="AA27" i="18"/>
  <c r="Z27" i="18"/>
  <c r="Y27" i="18"/>
  <c r="X27" i="18"/>
  <c r="W27" i="18"/>
  <c r="V27" i="18"/>
  <c r="U27" i="18"/>
  <c r="P27" i="18"/>
  <c r="O27" i="18"/>
  <c r="AG26" i="18"/>
  <c r="AF26" i="18"/>
  <c r="AE26" i="18"/>
  <c r="AD26" i="18"/>
  <c r="AC26" i="18"/>
  <c r="AB26" i="18"/>
  <c r="AA26" i="18"/>
  <c r="Z26" i="18"/>
  <c r="Y26" i="18"/>
  <c r="X26" i="18"/>
  <c r="W26" i="18"/>
  <c r="V26" i="18"/>
  <c r="U26" i="18"/>
  <c r="P26" i="18"/>
  <c r="O26" i="18"/>
  <c r="AG25" i="18"/>
  <c r="AF25" i="18"/>
  <c r="AE25" i="18"/>
  <c r="AD25" i="18"/>
  <c r="AC25" i="18"/>
  <c r="AB25" i="18"/>
  <c r="AA25" i="18"/>
  <c r="Z25" i="18"/>
  <c r="Y25" i="18"/>
  <c r="AH25" i="18" s="1"/>
  <c r="X25" i="18"/>
  <c r="W25" i="18"/>
  <c r="V25" i="18"/>
  <c r="U25" i="18"/>
  <c r="P25" i="18"/>
  <c r="O25" i="18"/>
  <c r="AG24" i="18"/>
  <c r="AF24" i="18"/>
  <c r="AE24" i="18"/>
  <c r="AD24" i="18"/>
  <c r="AC24" i="18"/>
  <c r="AB24" i="18"/>
  <c r="AA24" i="18"/>
  <c r="Z24" i="18"/>
  <c r="Y24" i="18"/>
  <c r="X24" i="18"/>
  <c r="W24" i="18"/>
  <c r="V24" i="18"/>
  <c r="U24" i="18"/>
  <c r="P24" i="18"/>
  <c r="O24" i="18"/>
  <c r="AG23" i="18"/>
  <c r="AF23" i="18"/>
  <c r="AE23" i="18"/>
  <c r="AD23" i="18"/>
  <c r="AC23" i="18"/>
  <c r="AB23" i="18"/>
  <c r="AA23" i="18"/>
  <c r="Z23" i="18"/>
  <c r="Y23" i="18"/>
  <c r="X23" i="18"/>
  <c r="W23" i="18"/>
  <c r="V23" i="18"/>
  <c r="U23" i="18"/>
  <c r="P23" i="18"/>
  <c r="O23" i="18"/>
  <c r="AG22" i="18"/>
  <c r="AF22" i="18"/>
  <c r="AE22" i="18"/>
  <c r="AD22" i="18"/>
  <c r="AC22" i="18"/>
  <c r="AB22" i="18"/>
  <c r="AA22" i="18"/>
  <c r="Z22" i="18"/>
  <c r="AH22" i="18" s="1"/>
  <c r="Y22" i="18"/>
  <c r="X22" i="18"/>
  <c r="W22" i="18"/>
  <c r="V22" i="18"/>
  <c r="U22" i="18"/>
  <c r="P22" i="18"/>
  <c r="O22" i="18"/>
  <c r="AG21" i="18"/>
  <c r="AF21" i="18"/>
  <c r="AE21" i="18"/>
  <c r="AD21" i="18"/>
  <c r="AC21" i="18"/>
  <c r="AB21" i="18"/>
  <c r="AA21" i="18"/>
  <c r="Z21" i="18"/>
  <c r="Y21" i="18"/>
  <c r="X21" i="18"/>
  <c r="W21" i="18"/>
  <c r="V21" i="18"/>
  <c r="U21" i="18"/>
  <c r="P21" i="18"/>
  <c r="O21" i="18"/>
  <c r="AG20" i="18"/>
  <c r="AF20" i="18"/>
  <c r="AE20" i="18"/>
  <c r="AD20" i="18"/>
  <c r="AC20" i="18"/>
  <c r="AB20" i="18"/>
  <c r="AA20" i="18"/>
  <c r="Z20" i="18"/>
  <c r="Y20" i="18"/>
  <c r="AH20" i="18" s="1"/>
  <c r="X20" i="18"/>
  <c r="W20" i="18"/>
  <c r="V20" i="18"/>
  <c r="U20" i="18"/>
  <c r="P20" i="18"/>
  <c r="O20" i="18"/>
  <c r="AG19" i="18"/>
  <c r="AF19" i="18"/>
  <c r="AE19" i="18"/>
  <c r="AD19" i="18"/>
  <c r="AC19" i="18"/>
  <c r="AB19" i="18"/>
  <c r="AA19" i="18"/>
  <c r="Z19" i="18"/>
  <c r="Y19" i="18"/>
  <c r="X19" i="18"/>
  <c r="W19" i="18"/>
  <c r="V19" i="18"/>
  <c r="U19" i="18"/>
  <c r="P19" i="18"/>
  <c r="O19" i="18"/>
  <c r="AG18" i="18"/>
  <c r="AF18" i="18"/>
  <c r="AE18" i="18"/>
  <c r="AD18" i="18"/>
  <c r="AC18" i="18"/>
  <c r="AB18" i="18"/>
  <c r="AA18" i="18"/>
  <c r="Z18" i="18"/>
  <c r="Y18" i="18"/>
  <c r="X18" i="18"/>
  <c r="W18" i="18"/>
  <c r="V18" i="18"/>
  <c r="U18" i="18"/>
  <c r="P18" i="18"/>
  <c r="O18" i="18"/>
  <c r="AG17" i="18"/>
  <c r="AF17" i="18"/>
  <c r="AE17" i="18"/>
  <c r="AD17" i="18"/>
  <c r="AC17" i="18"/>
  <c r="AB17" i="18"/>
  <c r="AA17" i="18"/>
  <c r="Z17" i="18"/>
  <c r="Y17" i="18"/>
  <c r="X17" i="18"/>
  <c r="W17" i="18"/>
  <c r="V17" i="18"/>
  <c r="U17" i="18"/>
  <c r="P17" i="18"/>
  <c r="O17" i="18"/>
  <c r="AG16" i="18"/>
  <c r="AF16" i="18"/>
  <c r="AE16" i="18"/>
  <c r="AD16" i="18"/>
  <c r="AC16" i="18"/>
  <c r="AB16" i="18"/>
  <c r="AA16" i="18"/>
  <c r="Z16" i="18"/>
  <c r="Y16" i="18"/>
  <c r="X16" i="18"/>
  <c r="W16" i="18"/>
  <c r="V16" i="18"/>
  <c r="U16" i="18"/>
  <c r="P16" i="18"/>
  <c r="O16" i="18"/>
  <c r="AG15" i="18"/>
  <c r="AF15" i="18"/>
  <c r="AE15" i="18"/>
  <c r="AD15" i="18"/>
  <c r="AC15" i="18"/>
  <c r="AB15" i="18"/>
  <c r="AA15" i="18"/>
  <c r="Z15" i="18"/>
  <c r="Y15" i="18"/>
  <c r="X15" i="18"/>
  <c r="W15" i="18"/>
  <c r="V15" i="18"/>
  <c r="U15" i="18"/>
  <c r="P15" i="18"/>
  <c r="O15" i="18"/>
  <c r="AG14" i="18"/>
  <c r="AF14" i="18"/>
  <c r="AE14" i="18"/>
  <c r="AD14" i="18"/>
  <c r="AC14" i="18"/>
  <c r="AB14" i="18"/>
  <c r="AA14" i="18"/>
  <c r="Z14" i="18"/>
  <c r="AH14" i="18" s="1"/>
  <c r="Y14" i="18"/>
  <c r="X14" i="18"/>
  <c r="W14" i="18"/>
  <c r="V14" i="18"/>
  <c r="U14" i="18"/>
  <c r="P14" i="18"/>
  <c r="O14" i="18"/>
  <c r="AG13" i="18"/>
  <c r="AF13" i="18"/>
  <c r="AE13" i="18"/>
  <c r="AD13" i="18"/>
  <c r="AC13" i="18"/>
  <c r="AB13" i="18"/>
  <c r="AA13" i="18"/>
  <c r="Z13" i="18"/>
  <c r="Y13" i="18"/>
  <c r="X13" i="18"/>
  <c r="W13" i="18"/>
  <c r="V13" i="18"/>
  <c r="U13" i="18"/>
  <c r="P13" i="18"/>
  <c r="O13" i="18"/>
  <c r="AG12" i="18"/>
  <c r="AF12" i="18"/>
  <c r="AE12" i="18"/>
  <c r="AD12" i="18"/>
  <c r="AC12" i="18"/>
  <c r="AB12" i="18"/>
  <c r="AA12" i="18"/>
  <c r="Z12" i="18"/>
  <c r="Y12" i="18"/>
  <c r="AH12" i="18" s="1"/>
  <c r="X12" i="18"/>
  <c r="W12" i="18"/>
  <c r="V12" i="18"/>
  <c r="U12" i="18"/>
  <c r="P12" i="18"/>
  <c r="O12" i="18"/>
  <c r="AG11" i="18"/>
  <c r="AF11" i="18"/>
  <c r="AE11" i="18"/>
  <c r="AD11" i="18"/>
  <c r="AC11" i="18"/>
  <c r="AB11" i="18"/>
  <c r="AA11" i="18"/>
  <c r="Z11" i="18"/>
  <c r="Y11" i="18"/>
  <c r="X11" i="18"/>
  <c r="W11" i="18"/>
  <c r="V11" i="18"/>
  <c r="U11" i="18"/>
  <c r="P11" i="18"/>
  <c r="O11" i="18"/>
  <c r="AG10" i="18"/>
  <c r="AF10" i="18"/>
  <c r="AE10" i="18"/>
  <c r="AD10" i="18"/>
  <c r="AC10" i="18"/>
  <c r="AB10" i="18"/>
  <c r="AA10" i="18"/>
  <c r="Z10" i="18"/>
  <c r="Y10" i="18"/>
  <c r="X10" i="18"/>
  <c r="W10" i="18"/>
  <c r="V10" i="18"/>
  <c r="U10" i="18"/>
  <c r="P10" i="18"/>
  <c r="O10" i="18"/>
  <c r="AG9" i="18"/>
  <c r="AF9" i="18"/>
  <c r="AE9" i="18"/>
  <c r="AD9" i="18"/>
  <c r="AC9" i="18"/>
  <c r="AB9" i="18"/>
  <c r="AA9" i="18"/>
  <c r="Z9" i="18"/>
  <c r="Y9" i="18"/>
  <c r="X9" i="18"/>
  <c r="W9" i="18"/>
  <c r="V9" i="18"/>
  <c r="U9" i="18"/>
  <c r="P9" i="18"/>
  <c r="O9" i="18"/>
  <c r="AG8" i="18"/>
  <c r="AF8" i="18"/>
  <c r="AE8" i="18"/>
  <c r="AD8" i="18"/>
  <c r="AC8" i="18"/>
  <c r="AB8" i="18"/>
  <c r="AA8" i="18"/>
  <c r="Z8" i="18"/>
  <c r="Y8" i="18"/>
  <c r="X8" i="18"/>
  <c r="W8" i="18"/>
  <c r="V8" i="18"/>
  <c r="U8" i="18"/>
  <c r="P8" i="18"/>
  <c r="O8" i="18"/>
  <c r="AG7" i="18"/>
  <c r="AF7" i="18"/>
  <c r="AE7" i="18"/>
  <c r="AD7" i="18"/>
  <c r="AC7" i="18"/>
  <c r="AB7" i="18"/>
  <c r="AA7" i="18"/>
  <c r="Z7" i="18"/>
  <c r="Y7" i="18"/>
  <c r="X7" i="18"/>
  <c r="W7" i="18"/>
  <c r="V7" i="18"/>
  <c r="U7" i="18"/>
  <c r="P7" i="18"/>
  <c r="O7" i="18"/>
  <c r="AG6" i="18"/>
  <c r="AF6" i="18"/>
  <c r="AE6" i="18"/>
  <c r="AD6" i="18"/>
  <c r="AC6" i="18"/>
  <c r="AB6" i="18"/>
  <c r="AA6" i="18"/>
  <c r="Z6" i="18"/>
  <c r="AH6" i="18" s="1"/>
  <c r="Y6" i="18"/>
  <c r="X6" i="18"/>
  <c r="W6" i="18"/>
  <c r="V6" i="18"/>
  <c r="U6" i="18"/>
  <c r="P6" i="18"/>
  <c r="O6" i="18"/>
  <c r="AG5" i="18"/>
  <c r="AF5" i="18"/>
  <c r="AE5" i="18"/>
  <c r="AD5" i="18"/>
  <c r="AC5" i="18"/>
  <c r="AB5" i="18"/>
  <c r="AA5" i="18"/>
  <c r="Z5" i="18"/>
  <c r="Y5" i="18"/>
  <c r="X5" i="18"/>
  <c r="W5" i="18"/>
  <c r="V5" i="18"/>
  <c r="U5" i="18"/>
  <c r="P5" i="18"/>
  <c r="O5" i="18"/>
  <c r="AG4" i="18"/>
  <c r="AF4" i="18"/>
  <c r="AE4" i="18"/>
  <c r="AD4" i="18"/>
  <c r="AC4" i="18"/>
  <c r="AB4" i="18"/>
  <c r="AA4" i="18"/>
  <c r="Z4" i="18"/>
  <c r="Y4" i="18"/>
  <c r="AH4" i="18" s="1"/>
  <c r="X4" i="18"/>
  <c r="W4" i="18"/>
  <c r="V4" i="18"/>
  <c r="U4" i="18"/>
  <c r="P4" i="18"/>
  <c r="O4" i="18"/>
  <c r="AG3" i="18"/>
  <c r="AF3" i="18"/>
  <c r="AE3" i="18"/>
  <c r="AD3" i="18"/>
  <c r="AC3" i="18"/>
  <c r="AB3" i="18"/>
  <c r="AA3" i="18"/>
  <c r="Z3" i="18"/>
  <c r="Y3" i="18"/>
  <c r="AH3" i="18" s="1"/>
  <c r="X3" i="18"/>
  <c r="W3" i="18"/>
  <c r="V3" i="18"/>
  <c r="U3" i="18"/>
  <c r="P3" i="18"/>
  <c r="O3" i="18"/>
  <c r="AG2" i="18"/>
  <c r="AF2" i="18"/>
  <c r="AE2" i="18"/>
  <c r="AD2" i="18"/>
  <c r="AC2" i="18"/>
  <c r="AB2" i="18"/>
  <c r="AA2" i="18"/>
  <c r="Z2" i="18"/>
  <c r="Y2" i="18"/>
  <c r="X2" i="18"/>
  <c r="W2" i="18"/>
  <c r="V2" i="18"/>
  <c r="P2" i="18"/>
  <c r="O2" i="18"/>
  <c r="Q119" i="17"/>
  <c r="P119" i="17"/>
  <c r="Q118" i="17"/>
  <c r="P118" i="17"/>
  <c r="Q117" i="17"/>
  <c r="P117" i="17"/>
  <c r="Q116" i="17"/>
  <c r="P116" i="17"/>
  <c r="Q115" i="17"/>
  <c r="P115" i="17"/>
  <c r="Q114" i="17"/>
  <c r="P114" i="17"/>
  <c r="Q113" i="17"/>
  <c r="P113" i="17"/>
  <c r="Q112" i="17"/>
  <c r="P112" i="17"/>
  <c r="Q111" i="17"/>
  <c r="P111" i="17"/>
  <c r="Q110" i="17"/>
  <c r="P110" i="17"/>
  <c r="Q109" i="17"/>
  <c r="P109" i="17"/>
  <c r="Q108" i="17"/>
  <c r="P108" i="17"/>
  <c r="Q107" i="17"/>
  <c r="P107" i="17"/>
  <c r="Q106" i="17"/>
  <c r="P106" i="17"/>
  <c r="Q105" i="17"/>
  <c r="P105" i="17"/>
  <c r="Q104" i="17"/>
  <c r="P104" i="17"/>
  <c r="Q103" i="17"/>
  <c r="P103" i="17"/>
  <c r="Q102" i="17"/>
  <c r="P102" i="17"/>
  <c r="Q101" i="17"/>
  <c r="P101" i="17"/>
  <c r="Q100" i="17"/>
  <c r="P100" i="17"/>
  <c r="Q99" i="17"/>
  <c r="P99" i="17"/>
  <c r="Q98" i="17"/>
  <c r="P98" i="17"/>
  <c r="Q97" i="17"/>
  <c r="P97" i="17"/>
  <c r="Q96" i="17"/>
  <c r="P96" i="17"/>
  <c r="Q95" i="17"/>
  <c r="P95" i="17"/>
  <c r="Q94" i="17"/>
  <c r="P94" i="17"/>
  <c r="Q93" i="17"/>
  <c r="P93" i="17"/>
  <c r="Q92" i="17"/>
  <c r="P92" i="17"/>
  <c r="Q91" i="17"/>
  <c r="P91" i="17"/>
  <c r="Q90" i="17"/>
  <c r="Q121" i="17" s="1"/>
  <c r="P90" i="17"/>
  <c r="Q89" i="17"/>
  <c r="P89" i="17"/>
  <c r="Q88" i="17"/>
  <c r="P88" i="17"/>
  <c r="Q87" i="17"/>
  <c r="P87" i="17"/>
  <c r="Q86" i="17"/>
  <c r="P86" i="17"/>
  <c r="Q85" i="17"/>
  <c r="P85" i="17"/>
  <c r="Q84" i="17"/>
  <c r="P84" i="17"/>
  <c r="Q83" i="17"/>
  <c r="P83" i="17"/>
  <c r="Q82" i="17"/>
  <c r="P82" i="17"/>
  <c r="Q81" i="17"/>
  <c r="P81" i="17"/>
  <c r="Q80" i="17"/>
  <c r="P80" i="17"/>
  <c r="Q79" i="17"/>
  <c r="P79" i="17"/>
  <c r="Q78" i="17"/>
  <c r="P78" i="17"/>
  <c r="Q77" i="17"/>
  <c r="P77" i="17"/>
  <c r="Q76" i="17"/>
  <c r="P76" i="17"/>
  <c r="Q75" i="17"/>
  <c r="P75" i="17"/>
  <c r="Q74" i="17"/>
  <c r="P74" i="17"/>
  <c r="Q73" i="17"/>
  <c r="P73" i="17"/>
  <c r="Q72" i="17"/>
  <c r="P72" i="17"/>
  <c r="Q71" i="17"/>
  <c r="P71" i="17"/>
  <c r="Q70" i="17"/>
  <c r="P70" i="17"/>
  <c r="Q69" i="17"/>
  <c r="P69" i="17"/>
  <c r="Q68" i="17"/>
  <c r="P68" i="17"/>
  <c r="Q67" i="17"/>
  <c r="P67" i="17"/>
  <c r="Q66" i="17"/>
  <c r="P66" i="17"/>
  <c r="Q65" i="17"/>
  <c r="P65" i="17"/>
  <c r="Q64" i="17"/>
  <c r="P64" i="17"/>
  <c r="Q63" i="17"/>
  <c r="P63" i="17"/>
  <c r="Q62" i="17"/>
  <c r="P62" i="17"/>
  <c r="Q61" i="17"/>
  <c r="P61" i="17"/>
  <c r="Q60" i="17"/>
  <c r="P60" i="17"/>
  <c r="Q59" i="17"/>
  <c r="P59" i="17"/>
  <c r="Q58" i="17"/>
  <c r="P58" i="17"/>
  <c r="Q57" i="17"/>
  <c r="P57" i="17"/>
  <c r="Q56" i="17"/>
  <c r="P56" i="17"/>
  <c r="Q55" i="17"/>
  <c r="P55" i="17"/>
  <c r="Q54" i="17"/>
  <c r="P54" i="17"/>
  <c r="Q53" i="17"/>
  <c r="P53" i="17"/>
  <c r="Q52" i="17"/>
  <c r="P52" i="17"/>
  <c r="Q51" i="17"/>
  <c r="P51" i="17"/>
  <c r="Q50" i="17"/>
  <c r="P50" i="17"/>
  <c r="Q49" i="17"/>
  <c r="P49" i="17"/>
  <c r="Q48" i="17"/>
  <c r="P48" i="17"/>
  <c r="Q47" i="17"/>
  <c r="P47" i="17"/>
  <c r="Q46" i="17"/>
  <c r="P46" i="17"/>
  <c r="Q45" i="17"/>
  <c r="P45" i="17"/>
  <c r="Q44" i="17"/>
  <c r="P44" i="17"/>
  <c r="Q43" i="17"/>
  <c r="P43" i="17"/>
  <c r="Q42" i="17"/>
  <c r="P42" i="17"/>
  <c r="Q41" i="17"/>
  <c r="P41" i="17"/>
  <c r="Q40" i="17"/>
  <c r="P40" i="17"/>
  <c r="Q39" i="17"/>
  <c r="P39" i="17"/>
  <c r="Q38" i="17"/>
  <c r="P38" i="17"/>
  <c r="Q37" i="17"/>
  <c r="P37" i="17"/>
  <c r="Q36" i="17"/>
  <c r="P36" i="17"/>
  <c r="Q35" i="17"/>
  <c r="P35" i="17"/>
  <c r="Q34" i="17"/>
  <c r="P34" i="17"/>
  <c r="Q33" i="17"/>
  <c r="P33" i="17"/>
  <c r="Q32" i="17"/>
  <c r="P32" i="17"/>
  <c r="Q31" i="17"/>
  <c r="P31" i="17"/>
  <c r="Q30" i="17"/>
  <c r="P30" i="17"/>
  <c r="Q29" i="17"/>
  <c r="P29" i="17"/>
  <c r="Q28" i="17"/>
  <c r="P28" i="17"/>
  <c r="Q27" i="17"/>
  <c r="P27" i="17"/>
  <c r="Q26" i="17"/>
  <c r="P26" i="17"/>
  <c r="Q25" i="17"/>
  <c r="P25" i="17"/>
  <c r="Q24" i="17"/>
  <c r="P24" i="17"/>
  <c r="Q23" i="17"/>
  <c r="P23" i="17"/>
  <c r="Q22" i="17"/>
  <c r="P22" i="17"/>
  <c r="Q21" i="17"/>
  <c r="P21" i="17"/>
  <c r="Q20" i="17"/>
  <c r="P20" i="17"/>
  <c r="Q19" i="17"/>
  <c r="P19" i="17"/>
  <c r="Q18" i="17"/>
  <c r="P18" i="17"/>
  <c r="Q17" i="17"/>
  <c r="P17" i="17"/>
  <c r="Q16" i="17"/>
  <c r="P16" i="17"/>
  <c r="Q15" i="17"/>
  <c r="P15" i="17"/>
  <c r="Q14" i="17"/>
  <c r="P14" i="17"/>
  <c r="Q13" i="17"/>
  <c r="P13" i="17"/>
  <c r="Q12" i="17"/>
  <c r="P12" i="17"/>
  <c r="Q11" i="17"/>
  <c r="P11" i="17"/>
  <c r="Q10" i="17"/>
  <c r="P10" i="17"/>
  <c r="Q9" i="17"/>
  <c r="P9" i="17"/>
  <c r="Q8" i="17"/>
  <c r="P8" i="17"/>
  <c r="Q7" i="17"/>
  <c r="P7" i="17"/>
  <c r="Q6" i="17"/>
  <c r="P6" i="17"/>
  <c r="Q5" i="17"/>
  <c r="P5" i="17"/>
  <c r="Q4" i="17"/>
  <c r="P4" i="17"/>
  <c r="Q3" i="17"/>
  <c r="P3" i="17"/>
  <c r="Q2" i="17"/>
  <c r="P2" i="17"/>
  <c r="P121" i="17" l="1"/>
  <c r="AH9" i="18"/>
  <c r="AI18" i="18"/>
  <c r="AH33" i="18"/>
  <c r="AH41" i="18"/>
  <c r="AH57" i="18"/>
  <c r="AH65" i="18"/>
  <c r="AH73" i="18"/>
  <c r="AH81" i="18"/>
  <c r="AH97" i="18"/>
  <c r="AH105" i="18"/>
  <c r="AI37" i="18"/>
  <c r="AH40" i="18"/>
  <c r="AI45" i="18"/>
  <c r="AH48" i="18"/>
  <c r="AI53" i="18"/>
  <c r="AH56" i="18"/>
  <c r="AI61" i="18"/>
  <c r="AH64" i="18"/>
  <c r="AI69" i="18"/>
  <c r="AH72" i="18"/>
  <c r="AI77" i="18"/>
  <c r="AH80" i="18"/>
  <c r="AI85" i="18"/>
  <c r="AH96" i="18"/>
  <c r="AH104" i="18"/>
  <c r="AI109" i="18"/>
  <c r="AH112" i="18"/>
  <c r="AI10" i="18"/>
  <c r="AH17" i="18"/>
  <c r="AH49" i="18"/>
  <c r="AH89" i="18"/>
  <c r="AH113" i="18"/>
  <c r="AH32" i="18"/>
  <c r="AH88" i="18"/>
  <c r="AI93" i="18"/>
  <c r="AI101" i="18"/>
  <c r="AI117" i="18"/>
  <c r="AH10" i="18"/>
  <c r="AH11" i="18"/>
  <c r="AH18" i="18"/>
  <c r="AH19" i="18"/>
  <c r="AI24" i="18"/>
  <c r="AH26" i="18"/>
  <c r="AH27" i="18"/>
  <c r="AI28" i="18"/>
  <c r="AH119" i="18"/>
  <c r="AH7" i="18"/>
  <c r="AH8" i="18"/>
  <c r="AI9" i="18"/>
  <c r="AH15" i="18"/>
  <c r="AH16" i="18"/>
  <c r="AI17" i="18"/>
  <c r="AH23" i="18"/>
  <c r="AH24" i="18"/>
  <c r="AI27" i="18"/>
  <c r="AH34" i="18"/>
  <c r="AH35" i="18"/>
  <c r="AI36" i="18"/>
  <c r="AH42" i="18"/>
  <c r="AH43" i="18"/>
  <c r="AI44" i="18"/>
  <c r="AH50" i="18"/>
  <c r="AH51" i="18"/>
  <c r="AI52" i="18"/>
  <c r="AH58" i="18"/>
  <c r="AH59" i="18"/>
  <c r="AI60" i="18"/>
  <c r="AH66" i="18"/>
  <c r="AH67" i="18"/>
  <c r="AI68" i="18"/>
  <c r="AH74" i="18"/>
  <c r="AH75" i="18"/>
  <c r="AI76" i="18"/>
  <c r="AH82" i="18"/>
  <c r="AH83" i="18"/>
  <c r="AI84" i="18"/>
  <c r="AH90" i="18"/>
  <c r="AH91" i="18"/>
  <c r="AI92" i="18"/>
  <c r="AH98" i="18"/>
  <c r="AH99" i="18"/>
  <c r="AI100" i="18"/>
  <c r="AH106" i="18"/>
  <c r="AH107" i="18"/>
  <c r="AI108" i="18"/>
  <c r="AH114" i="18"/>
  <c r="AI116" i="18"/>
  <c r="AI8" i="18"/>
  <c r="AI16" i="18"/>
  <c r="AI25" i="18"/>
  <c r="AI26" i="18"/>
  <c r="AI35" i="18"/>
  <c r="AI43" i="18"/>
  <c r="AI51" i="18"/>
  <c r="AI59" i="18"/>
  <c r="AI67" i="18"/>
  <c r="AI75" i="18"/>
  <c r="AI83" i="18"/>
  <c r="AI91" i="18"/>
  <c r="AI99" i="18"/>
  <c r="AI107" i="18"/>
  <c r="AI115" i="18"/>
  <c r="AH5" i="18"/>
  <c r="AI7" i="18"/>
  <c r="AH13" i="18"/>
  <c r="AI15" i="18"/>
  <c r="AH21" i="18"/>
  <c r="AI23" i="18"/>
  <c r="AH31" i="18"/>
  <c r="AI33" i="18"/>
  <c r="AI34" i="18"/>
  <c r="AI42" i="18"/>
  <c r="AI50" i="18"/>
  <c r="AI58" i="18"/>
  <c r="AI66" i="18"/>
  <c r="AI74" i="18"/>
  <c r="AI82" i="18"/>
  <c r="AI90" i="18"/>
  <c r="AI98" i="18"/>
  <c r="AI106" i="18"/>
  <c r="AI114" i="18"/>
  <c r="AI6" i="18"/>
  <c r="AI14" i="18"/>
  <c r="AI22" i="18"/>
  <c r="AI32" i="18"/>
  <c r="AI41" i="18"/>
  <c r="AI49" i="18"/>
  <c r="AI57" i="18"/>
  <c r="AI65" i="18"/>
  <c r="AI73" i="18"/>
  <c r="AI81" i="18"/>
  <c r="AI89" i="18"/>
  <c r="AI97" i="18"/>
  <c r="AI105" i="18"/>
  <c r="AI113" i="18"/>
  <c r="AH2" i="18"/>
  <c r="AI5" i="18"/>
  <c r="AI13" i="18"/>
  <c r="AI21" i="18"/>
  <c r="AH29" i="18"/>
  <c r="AH30" i="18"/>
  <c r="AI31" i="18"/>
  <c r="AI40" i="18"/>
  <c r="AI48" i="18"/>
  <c r="AI56" i="18"/>
  <c r="AI64" i="18"/>
  <c r="AI72" i="18"/>
  <c r="AI80" i="18"/>
  <c r="AI88" i="18"/>
  <c r="AI96" i="18"/>
  <c r="AI104" i="18"/>
  <c r="AI112" i="18"/>
  <c r="AI3" i="18"/>
  <c r="AI12" i="18"/>
  <c r="AI20" i="18"/>
  <c r="AI30" i="18"/>
  <c r="AI39" i="18"/>
  <c r="AI47" i="18"/>
  <c r="AI55" i="18"/>
  <c r="AI63" i="18"/>
  <c r="AI71" i="18"/>
  <c r="AI79" i="18"/>
  <c r="AI87" i="18"/>
  <c r="AI95" i="18"/>
  <c r="AI103" i="18"/>
  <c r="AI111" i="18"/>
  <c r="AI119" i="18"/>
  <c r="AI4" i="18"/>
  <c r="AI2" i="18"/>
  <c r="AI11" i="18"/>
  <c r="AI19" i="18"/>
  <c r="AI29" i="18"/>
  <c r="AH36" i="18"/>
  <c r="AI38" i="18"/>
  <c r="AH44" i="18"/>
  <c r="AI46" i="18"/>
  <c r="AH52" i="18"/>
  <c r="AI54" i="18"/>
  <c r="AH60" i="18"/>
  <c r="AI62" i="18"/>
  <c r="AH68" i="18"/>
  <c r="AI70" i="18"/>
  <c r="AH76" i="18"/>
  <c r="AI78" i="18"/>
  <c r="AH84" i="18"/>
  <c r="AI86" i="18"/>
  <c r="AH92" i="18"/>
  <c r="AI94" i="18"/>
  <c r="AH100" i="18"/>
  <c r="AI102" i="18"/>
  <c r="AH108" i="18"/>
  <c r="AI110" i="18"/>
  <c r="AH116" i="18"/>
  <c r="AI118" i="18"/>
  <c r="AG123" i="15"/>
  <c r="AF123" i="15"/>
  <c r="AE123" i="15"/>
  <c r="AD123" i="15"/>
  <c r="AC123" i="15"/>
  <c r="AB123" i="15"/>
  <c r="AA123" i="15"/>
  <c r="Z123" i="15"/>
  <c r="AH123" i="15" s="1"/>
  <c r="Y123" i="15"/>
  <c r="X123" i="15"/>
  <c r="W123" i="15"/>
  <c r="V123" i="15"/>
  <c r="U123" i="15"/>
  <c r="R123" i="15"/>
  <c r="Q123" i="15"/>
  <c r="P123" i="15"/>
  <c r="AG122" i="15"/>
  <c r="AF122" i="15"/>
  <c r="AE122" i="15"/>
  <c r="AD122" i="15"/>
  <c r="AC122" i="15"/>
  <c r="AB122" i="15"/>
  <c r="AA122" i="15"/>
  <c r="Z122" i="15"/>
  <c r="AH122" i="15" s="1"/>
  <c r="Y122" i="15"/>
  <c r="X122" i="15"/>
  <c r="W122" i="15"/>
  <c r="V122" i="15"/>
  <c r="U122" i="15"/>
  <c r="R122" i="15"/>
  <c r="Q122" i="15"/>
  <c r="P122" i="15"/>
  <c r="AG121" i="15"/>
  <c r="AF121" i="15"/>
  <c r="AE121" i="15"/>
  <c r="AD121" i="15"/>
  <c r="AC121" i="15"/>
  <c r="AB121" i="15"/>
  <c r="AA121" i="15"/>
  <c r="Z121" i="15"/>
  <c r="AH121" i="15" s="1"/>
  <c r="Y121" i="15"/>
  <c r="X121" i="15"/>
  <c r="W121" i="15"/>
  <c r="V121" i="15"/>
  <c r="U121" i="15"/>
  <c r="R121" i="15"/>
  <c r="Q121" i="15"/>
  <c r="S121" i="15" s="1"/>
  <c r="P121" i="15"/>
  <c r="AG120" i="15"/>
  <c r="AF120" i="15"/>
  <c r="AE120" i="15"/>
  <c r="AD120" i="15"/>
  <c r="AC120" i="15"/>
  <c r="AB120" i="15"/>
  <c r="AA120" i="15"/>
  <c r="Z120" i="15"/>
  <c r="Y120" i="15"/>
  <c r="X120" i="15"/>
  <c r="W120" i="15"/>
  <c r="V120" i="15"/>
  <c r="U120" i="15"/>
  <c r="R120" i="15"/>
  <c r="Q120" i="15"/>
  <c r="S120" i="15" s="1"/>
  <c r="P120" i="15"/>
  <c r="AG119" i="15"/>
  <c r="AF119" i="15"/>
  <c r="AE119" i="15"/>
  <c r="AD119" i="15"/>
  <c r="AC119" i="15"/>
  <c r="AB119" i="15"/>
  <c r="AA119" i="15"/>
  <c r="Z119" i="15"/>
  <c r="Y119" i="15"/>
  <c r="AH119" i="15" s="1"/>
  <c r="X119" i="15"/>
  <c r="W119" i="15"/>
  <c r="V119" i="15"/>
  <c r="U119" i="15"/>
  <c r="R119" i="15"/>
  <c r="Q119" i="15"/>
  <c r="S119" i="15" s="1"/>
  <c r="P119" i="15"/>
  <c r="AG118" i="15"/>
  <c r="AF118" i="15"/>
  <c r="AE118" i="15"/>
  <c r="AD118" i="15"/>
  <c r="AC118" i="15"/>
  <c r="AB118" i="15"/>
  <c r="AA118" i="15"/>
  <c r="Z118" i="15"/>
  <c r="Y118" i="15"/>
  <c r="AH118" i="15" s="1"/>
  <c r="X118" i="15"/>
  <c r="W118" i="15"/>
  <c r="V118" i="15"/>
  <c r="U118" i="15"/>
  <c r="R118" i="15"/>
  <c r="Q118" i="15"/>
  <c r="S118" i="15" s="1"/>
  <c r="P118" i="15"/>
  <c r="AG117" i="15"/>
  <c r="AF117" i="15"/>
  <c r="AE117" i="15"/>
  <c r="AD117" i="15"/>
  <c r="AC117" i="15"/>
  <c r="AB117" i="15"/>
  <c r="AA117" i="15"/>
  <c r="Z117" i="15"/>
  <c r="Y117" i="15"/>
  <c r="AH117" i="15" s="1"/>
  <c r="X117" i="15"/>
  <c r="W117" i="15"/>
  <c r="V117" i="15"/>
  <c r="U117" i="15"/>
  <c r="R117" i="15"/>
  <c r="Q117" i="15"/>
  <c r="P117" i="15"/>
  <c r="AG116" i="15"/>
  <c r="AF116" i="15"/>
  <c r="AE116" i="15"/>
  <c r="AD116" i="15"/>
  <c r="AC116" i="15"/>
  <c r="AB116" i="15"/>
  <c r="AA116" i="15"/>
  <c r="Z116" i="15"/>
  <c r="Y116" i="15"/>
  <c r="X116" i="15"/>
  <c r="W116" i="15"/>
  <c r="V116" i="15"/>
  <c r="U116" i="15"/>
  <c r="R116" i="15"/>
  <c r="Q116" i="15"/>
  <c r="P116" i="15"/>
  <c r="AG115" i="15"/>
  <c r="AF115" i="15"/>
  <c r="AE115" i="15"/>
  <c r="AD115" i="15"/>
  <c r="AC115" i="15"/>
  <c r="AB115" i="15"/>
  <c r="AA115" i="15"/>
  <c r="Z115" i="15"/>
  <c r="Y115" i="15"/>
  <c r="X115" i="15"/>
  <c r="W115" i="15"/>
  <c r="V115" i="15"/>
  <c r="U115" i="15"/>
  <c r="R115" i="15"/>
  <c r="Q115" i="15"/>
  <c r="P115" i="15"/>
  <c r="AG114" i="15"/>
  <c r="AF114" i="15"/>
  <c r="AE114" i="15"/>
  <c r="AD114" i="15"/>
  <c r="AC114" i="15"/>
  <c r="AB114" i="15"/>
  <c r="AA114" i="15"/>
  <c r="Z114" i="15"/>
  <c r="Y114" i="15"/>
  <c r="X114" i="15"/>
  <c r="W114" i="15"/>
  <c r="V114" i="15"/>
  <c r="U114" i="15"/>
  <c r="R114" i="15"/>
  <c r="Q114" i="15"/>
  <c r="P114" i="15"/>
  <c r="AG113" i="15"/>
  <c r="AF113" i="15"/>
  <c r="AE113" i="15"/>
  <c r="AD113" i="15"/>
  <c r="AC113" i="15"/>
  <c r="AB113" i="15"/>
  <c r="AA113" i="15"/>
  <c r="Z113" i="15"/>
  <c r="Y113" i="15"/>
  <c r="X113" i="15"/>
  <c r="W113" i="15"/>
  <c r="V113" i="15"/>
  <c r="U113" i="15"/>
  <c r="R113" i="15"/>
  <c r="Q113" i="15"/>
  <c r="P113" i="15"/>
  <c r="AG112" i="15"/>
  <c r="AF112" i="15"/>
  <c r="AE112" i="15"/>
  <c r="AD112" i="15"/>
  <c r="AC112" i="15"/>
  <c r="AB112" i="15"/>
  <c r="AA112" i="15"/>
  <c r="Z112" i="15"/>
  <c r="Y112" i="15"/>
  <c r="AH112" i="15" s="1"/>
  <c r="X112" i="15"/>
  <c r="W112" i="15"/>
  <c r="V112" i="15"/>
  <c r="U112" i="15"/>
  <c r="R112" i="15"/>
  <c r="Q112" i="15"/>
  <c r="P112" i="15"/>
  <c r="AG111" i="15"/>
  <c r="AF111" i="15"/>
  <c r="AE111" i="15"/>
  <c r="AD111" i="15"/>
  <c r="AC111" i="15"/>
  <c r="AB111" i="15"/>
  <c r="AA111" i="15"/>
  <c r="Z111" i="15"/>
  <c r="Y111" i="15"/>
  <c r="X111" i="15"/>
  <c r="W111" i="15"/>
  <c r="V111" i="15"/>
  <c r="U111" i="15"/>
  <c r="R111" i="15"/>
  <c r="Q111" i="15"/>
  <c r="P111" i="15"/>
  <c r="AG110" i="15"/>
  <c r="AF110" i="15"/>
  <c r="AE110" i="15"/>
  <c r="AD110" i="15"/>
  <c r="AC110" i="15"/>
  <c r="AB110" i="15"/>
  <c r="AA110" i="15"/>
  <c r="Z110" i="15"/>
  <c r="Y110" i="15"/>
  <c r="X110" i="15"/>
  <c r="W110" i="15"/>
  <c r="V110" i="15"/>
  <c r="U110" i="15"/>
  <c r="R110" i="15"/>
  <c r="Q110" i="15"/>
  <c r="P110" i="15"/>
  <c r="AG109" i="15"/>
  <c r="AF109" i="15"/>
  <c r="AE109" i="15"/>
  <c r="AD109" i="15"/>
  <c r="AC109" i="15"/>
  <c r="AB109" i="15"/>
  <c r="AA109" i="15"/>
  <c r="Z109" i="15"/>
  <c r="Y109" i="15"/>
  <c r="X109" i="15"/>
  <c r="W109" i="15"/>
  <c r="V109" i="15"/>
  <c r="U109" i="15"/>
  <c r="R109" i="15"/>
  <c r="Q109" i="15"/>
  <c r="P109" i="15"/>
  <c r="AG108" i="15"/>
  <c r="AF108" i="15"/>
  <c r="AE108" i="15"/>
  <c r="AD108" i="15"/>
  <c r="AC108" i="15"/>
  <c r="AB108" i="15"/>
  <c r="AA108" i="15"/>
  <c r="Z108" i="15"/>
  <c r="Y108" i="15"/>
  <c r="X108" i="15"/>
  <c r="W108" i="15"/>
  <c r="V108" i="15"/>
  <c r="U108" i="15"/>
  <c r="R108" i="15"/>
  <c r="Q108" i="15"/>
  <c r="P108" i="15"/>
  <c r="AG107" i="15"/>
  <c r="AF107" i="15"/>
  <c r="AE107" i="15"/>
  <c r="AD107" i="15"/>
  <c r="AC107" i="15"/>
  <c r="AB107" i="15"/>
  <c r="AA107" i="15"/>
  <c r="Z107" i="15"/>
  <c r="Y107" i="15"/>
  <c r="X107" i="15"/>
  <c r="W107" i="15"/>
  <c r="V107" i="15"/>
  <c r="U107" i="15"/>
  <c r="R107" i="15"/>
  <c r="Q107" i="15"/>
  <c r="P107" i="15"/>
  <c r="AG106" i="15"/>
  <c r="AF106" i="15"/>
  <c r="AE106" i="15"/>
  <c r="AD106" i="15"/>
  <c r="AC106" i="15"/>
  <c r="AB106" i="15"/>
  <c r="AA106" i="15"/>
  <c r="Z106" i="15"/>
  <c r="Y106" i="15"/>
  <c r="X106" i="15"/>
  <c r="W106" i="15"/>
  <c r="V106" i="15"/>
  <c r="U106" i="15"/>
  <c r="R106" i="15"/>
  <c r="Q106" i="15"/>
  <c r="P106" i="15"/>
  <c r="AG105" i="15"/>
  <c r="AF105" i="15"/>
  <c r="AE105" i="15"/>
  <c r="AD105" i="15"/>
  <c r="AC105" i="15"/>
  <c r="AB105" i="15"/>
  <c r="AA105" i="15"/>
  <c r="Z105" i="15"/>
  <c r="Y105" i="15"/>
  <c r="X105" i="15"/>
  <c r="W105" i="15"/>
  <c r="V105" i="15"/>
  <c r="U105" i="15"/>
  <c r="R105" i="15"/>
  <c r="Q105" i="15"/>
  <c r="P105" i="15"/>
  <c r="AG104" i="15"/>
  <c r="AF104" i="15"/>
  <c r="AE104" i="15"/>
  <c r="AD104" i="15"/>
  <c r="AC104" i="15"/>
  <c r="AB104" i="15"/>
  <c r="AA104" i="15"/>
  <c r="Z104" i="15"/>
  <c r="Y104" i="15"/>
  <c r="X104" i="15"/>
  <c r="W104" i="15"/>
  <c r="V104" i="15"/>
  <c r="U104" i="15"/>
  <c r="R104" i="15"/>
  <c r="Q104" i="15"/>
  <c r="P104" i="15"/>
  <c r="AG103" i="15"/>
  <c r="AF103" i="15"/>
  <c r="AE103" i="15"/>
  <c r="AD103" i="15"/>
  <c r="AC103" i="15"/>
  <c r="AB103" i="15"/>
  <c r="AA103" i="15"/>
  <c r="Z103" i="15"/>
  <c r="Y103" i="15"/>
  <c r="X103" i="15"/>
  <c r="W103" i="15"/>
  <c r="V103" i="15"/>
  <c r="U103" i="15"/>
  <c r="R103" i="15"/>
  <c r="Q103" i="15"/>
  <c r="S103" i="15" s="1"/>
  <c r="P103" i="15"/>
  <c r="AG102" i="15"/>
  <c r="AF102" i="15"/>
  <c r="AE102" i="15"/>
  <c r="AD102" i="15"/>
  <c r="AC102" i="15"/>
  <c r="AB102" i="15"/>
  <c r="AA102" i="15"/>
  <c r="Z102" i="15"/>
  <c r="Y102" i="15"/>
  <c r="X102" i="15"/>
  <c r="W102" i="15"/>
  <c r="V102" i="15"/>
  <c r="U102" i="15"/>
  <c r="R102" i="15"/>
  <c r="Q102" i="15"/>
  <c r="P102" i="15"/>
  <c r="AG101" i="15"/>
  <c r="AF101" i="15"/>
  <c r="AE101" i="15"/>
  <c r="AD101" i="15"/>
  <c r="AC101" i="15"/>
  <c r="AB101" i="15"/>
  <c r="AA101" i="15"/>
  <c r="Z101" i="15"/>
  <c r="Y101" i="15"/>
  <c r="X101" i="15"/>
  <c r="W101" i="15"/>
  <c r="V101" i="15"/>
  <c r="U101" i="15"/>
  <c r="R101" i="15"/>
  <c r="Q101" i="15"/>
  <c r="P101" i="15"/>
  <c r="AG100" i="15"/>
  <c r="AF100" i="15"/>
  <c r="AE100" i="15"/>
  <c r="AD100" i="15"/>
  <c r="AC100" i="15"/>
  <c r="AB100" i="15"/>
  <c r="AA100" i="15"/>
  <c r="Z100" i="15"/>
  <c r="Y100" i="15"/>
  <c r="X100" i="15"/>
  <c r="W100" i="15"/>
  <c r="V100" i="15"/>
  <c r="U100" i="15"/>
  <c r="R100" i="15"/>
  <c r="Q100" i="15"/>
  <c r="P100" i="15"/>
  <c r="AG99" i="15"/>
  <c r="AF99" i="15"/>
  <c r="AE99" i="15"/>
  <c r="AD99" i="15"/>
  <c r="AC99" i="15"/>
  <c r="AB99" i="15"/>
  <c r="AA99" i="15"/>
  <c r="Z99" i="15"/>
  <c r="Y99" i="15"/>
  <c r="X99" i="15"/>
  <c r="W99" i="15"/>
  <c r="V99" i="15"/>
  <c r="U99" i="15"/>
  <c r="R99" i="15"/>
  <c r="Q99" i="15"/>
  <c r="P99" i="15"/>
  <c r="AG98" i="15"/>
  <c r="AF98" i="15"/>
  <c r="AE98" i="15"/>
  <c r="AD98" i="15"/>
  <c r="AC98" i="15"/>
  <c r="AB98" i="15"/>
  <c r="AA98" i="15"/>
  <c r="Z98" i="15"/>
  <c r="Y98" i="15"/>
  <c r="X98" i="15"/>
  <c r="W98" i="15"/>
  <c r="V98" i="15"/>
  <c r="U98" i="15"/>
  <c r="R98" i="15"/>
  <c r="Q98" i="15"/>
  <c r="P98" i="15"/>
  <c r="AG97" i="15"/>
  <c r="AF97" i="15"/>
  <c r="AE97" i="15"/>
  <c r="AD97" i="15"/>
  <c r="AC97" i="15"/>
  <c r="AB97" i="15"/>
  <c r="AA97" i="15"/>
  <c r="Z97" i="15"/>
  <c r="Y97" i="15"/>
  <c r="X97" i="15"/>
  <c r="W97" i="15"/>
  <c r="V97" i="15"/>
  <c r="U97" i="15"/>
  <c r="R97" i="15"/>
  <c r="Q97" i="15"/>
  <c r="P97" i="15"/>
  <c r="AG96" i="15"/>
  <c r="AF96" i="15"/>
  <c r="AE96" i="15"/>
  <c r="AD96" i="15"/>
  <c r="AC96" i="15"/>
  <c r="AB96" i="15"/>
  <c r="AA96" i="15"/>
  <c r="Z96" i="15"/>
  <c r="Y96" i="15"/>
  <c r="X96" i="15"/>
  <c r="W96" i="15"/>
  <c r="V96" i="15"/>
  <c r="U96" i="15"/>
  <c r="R96" i="15"/>
  <c r="Q96" i="15"/>
  <c r="P96" i="15"/>
  <c r="AG95" i="15"/>
  <c r="AF95" i="15"/>
  <c r="AE95" i="15"/>
  <c r="AD95" i="15"/>
  <c r="AC95" i="15"/>
  <c r="AB95" i="15"/>
  <c r="AA95" i="15"/>
  <c r="Z95" i="15"/>
  <c r="Y95" i="15"/>
  <c r="X95" i="15"/>
  <c r="W95" i="15"/>
  <c r="V95" i="15"/>
  <c r="U95" i="15"/>
  <c r="R95" i="15"/>
  <c r="Q95" i="15"/>
  <c r="P95" i="15"/>
  <c r="AG94" i="15"/>
  <c r="AF94" i="15"/>
  <c r="AE94" i="15"/>
  <c r="AD94" i="15"/>
  <c r="AC94" i="15"/>
  <c r="AB94" i="15"/>
  <c r="AA94" i="15"/>
  <c r="Z94" i="15"/>
  <c r="Y94" i="15"/>
  <c r="X94" i="15"/>
  <c r="W94" i="15"/>
  <c r="V94" i="15"/>
  <c r="U94" i="15"/>
  <c r="R94" i="15"/>
  <c r="Q94" i="15"/>
  <c r="P94" i="15"/>
  <c r="AG93" i="15"/>
  <c r="AF93" i="15"/>
  <c r="AE93" i="15"/>
  <c r="AD93" i="15"/>
  <c r="AC93" i="15"/>
  <c r="AB93" i="15"/>
  <c r="AA93" i="15"/>
  <c r="Z93" i="15"/>
  <c r="Y93" i="15"/>
  <c r="X93" i="15"/>
  <c r="W93" i="15"/>
  <c r="V93" i="15"/>
  <c r="U93" i="15"/>
  <c r="R93" i="15"/>
  <c r="Q93" i="15"/>
  <c r="P93" i="15"/>
  <c r="AG92" i="15"/>
  <c r="AF92" i="15"/>
  <c r="AE92" i="15"/>
  <c r="AD92" i="15"/>
  <c r="AC92" i="15"/>
  <c r="AB92" i="15"/>
  <c r="AA92" i="15"/>
  <c r="Z92" i="15"/>
  <c r="Y92" i="15"/>
  <c r="X92" i="15"/>
  <c r="W92" i="15"/>
  <c r="V92" i="15"/>
  <c r="U92" i="15"/>
  <c r="R92" i="15"/>
  <c r="Q92" i="15"/>
  <c r="P92" i="15"/>
  <c r="AG91" i="15"/>
  <c r="AF91" i="15"/>
  <c r="AE91" i="15"/>
  <c r="AD91" i="15"/>
  <c r="AC91" i="15"/>
  <c r="AB91" i="15"/>
  <c r="AA91" i="15"/>
  <c r="Z91" i="15"/>
  <c r="Y91" i="15"/>
  <c r="X91" i="15"/>
  <c r="W91" i="15"/>
  <c r="V91" i="15"/>
  <c r="U91" i="15"/>
  <c r="R91" i="15"/>
  <c r="Q91" i="15"/>
  <c r="P91" i="15"/>
  <c r="AG90" i="15"/>
  <c r="AF90" i="15"/>
  <c r="AE90" i="15"/>
  <c r="AD90" i="15"/>
  <c r="AC90" i="15"/>
  <c r="AB90" i="15"/>
  <c r="AA90" i="15"/>
  <c r="Z90" i="15"/>
  <c r="Y90" i="15"/>
  <c r="X90" i="15"/>
  <c r="W90" i="15"/>
  <c r="V90" i="15"/>
  <c r="U90" i="15"/>
  <c r="R90" i="15"/>
  <c r="Q90" i="15"/>
  <c r="P90" i="15"/>
  <c r="AG89" i="15"/>
  <c r="AF89" i="15"/>
  <c r="AE89" i="15"/>
  <c r="AD89" i="15"/>
  <c r="AC89" i="15"/>
  <c r="AB89" i="15"/>
  <c r="AA89" i="15"/>
  <c r="Z89" i="15"/>
  <c r="Y89" i="15"/>
  <c r="X89" i="15"/>
  <c r="W89" i="15"/>
  <c r="V89" i="15"/>
  <c r="U89" i="15"/>
  <c r="R89" i="15"/>
  <c r="Q89" i="15"/>
  <c r="P89" i="15"/>
  <c r="AG88" i="15"/>
  <c r="AF88" i="15"/>
  <c r="AE88" i="15"/>
  <c r="AD88" i="15"/>
  <c r="AC88" i="15"/>
  <c r="AB88" i="15"/>
  <c r="AA88" i="15"/>
  <c r="Z88" i="15"/>
  <c r="Y88" i="15"/>
  <c r="X88" i="15"/>
  <c r="W88" i="15"/>
  <c r="V88" i="15"/>
  <c r="U88" i="15"/>
  <c r="R88" i="15"/>
  <c r="Q88" i="15"/>
  <c r="S88" i="15" s="1"/>
  <c r="P88" i="15"/>
  <c r="AG87" i="15"/>
  <c r="AF87" i="15"/>
  <c r="AE87" i="15"/>
  <c r="AD87" i="15"/>
  <c r="AC87" i="15"/>
  <c r="AB87" i="15"/>
  <c r="AA87" i="15"/>
  <c r="Z87" i="15"/>
  <c r="Y87" i="15"/>
  <c r="X87" i="15"/>
  <c r="W87" i="15"/>
  <c r="V87" i="15"/>
  <c r="U87" i="15"/>
  <c r="R87" i="15"/>
  <c r="Q87" i="15"/>
  <c r="P87" i="15"/>
  <c r="AG86" i="15"/>
  <c r="AF86" i="15"/>
  <c r="AE86" i="15"/>
  <c r="AD86" i="15"/>
  <c r="AC86" i="15"/>
  <c r="AB86" i="15"/>
  <c r="AA86" i="15"/>
  <c r="Z86" i="15"/>
  <c r="Y86" i="15"/>
  <c r="AH86" i="15" s="1"/>
  <c r="X86" i="15"/>
  <c r="W86" i="15"/>
  <c r="V86" i="15"/>
  <c r="U86" i="15"/>
  <c r="R86" i="15"/>
  <c r="Q86" i="15"/>
  <c r="P86" i="15"/>
  <c r="AG85" i="15"/>
  <c r="AF85" i="15"/>
  <c r="AE85" i="15"/>
  <c r="AD85" i="15"/>
  <c r="AC85" i="15"/>
  <c r="AB85" i="15"/>
  <c r="AA85" i="15"/>
  <c r="Z85" i="15"/>
  <c r="Y85" i="15"/>
  <c r="AH85" i="15" s="1"/>
  <c r="X85" i="15"/>
  <c r="W85" i="15"/>
  <c r="V85" i="15"/>
  <c r="U85" i="15"/>
  <c r="R85" i="15"/>
  <c r="Q85" i="15"/>
  <c r="P85" i="15"/>
  <c r="AG84" i="15"/>
  <c r="AF84" i="15"/>
  <c r="AE84" i="15"/>
  <c r="AD84" i="15"/>
  <c r="AC84" i="15"/>
  <c r="AB84" i="15"/>
  <c r="AA84" i="15"/>
  <c r="Z84" i="15"/>
  <c r="Y84" i="15"/>
  <c r="X84" i="15"/>
  <c r="W84" i="15"/>
  <c r="V84" i="15"/>
  <c r="U84" i="15"/>
  <c r="R84" i="15"/>
  <c r="Q84" i="15"/>
  <c r="P84" i="15"/>
  <c r="AG83" i="15"/>
  <c r="AF83" i="15"/>
  <c r="AE83" i="15"/>
  <c r="AD83" i="15"/>
  <c r="AC83" i="15"/>
  <c r="AB83" i="15"/>
  <c r="AA83" i="15"/>
  <c r="Z83" i="15"/>
  <c r="Y83" i="15"/>
  <c r="X83" i="15"/>
  <c r="W83" i="15"/>
  <c r="V83" i="15"/>
  <c r="U83" i="15"/>
  <c r="R83" i="15"/>
  <c r="Q83" i="15"/>
  <c r="P83" i="15"/>
  <c r="AG82" i="15"/>
  <c r="AF82" i="15"/>
  <c r="AE82" i="15"/>
  <c r="AD82" i="15"/>
  <c r="AC82" i="15"/>
  <c r="AB82" i="15"/>
  <c r="AA82" i="15"/>
  <c r="Z82" i="15"/>
  <c r="Y82" i="15"/>
  <c r="X82" i="15"/>
  <c r="W82" i="15"/>
  <c r="V82" i="15"/>
  <c r="U82" i="15"/>
  <c r="R82" i="15"/>
  <c r="Q82" i="15"/>
  <c r="P82" i="15"/>
  <c r="AG81" i="15"/>
  <c r="AF81" i="15"/>
  <c r="AE81" i="15"/>
  <c r="AD81" i="15"/>
  <c r="AC81" i="15"/>
  <c r="AB81" i="15"/>
  <c r="AA81" i="15"/>
  <c r="Z81" i="15"/>
  <c r="Y81" i="15"/>
  <c r="X81" i="15"/>
  <c r="W81" i="15"/>
  <c r="V81" i="15"/>
  <c r="U81" i="15"/>
  <c r="R81" i="15"/>
  <c r="Q81" i="15"/>
  <c r="P81" i="15"/>
  <c r="AG80" i="15"/>
  <c r="AF80" i="15"/>
  <c r="AE80" i="15"/>
  <c r="AD80" i="15"/>
  <c r="AC80" i="15"/>
  <c r="AB80" i="15"/>
  <c r="AA80" i="15"/>
  <c r="Z80" i="15"/>
  <c r="Y80" i="15"/>
  <c r="X80" i="15"/>
  <c r="W80" i="15"/>
  <c r="V80" i="15"/>
  <c r="U80" i="15"/>
  <c r="R80" i="15"/>
  <c r="Q80" i="15"/>
  <c r="P80" i="15"/>
  <c r="AG79" i="15"/>
  <c r="AF79" i="15"/>
  <c r="AE79" i="15"/>
  <c r="AD79" i="15"/>
  <c r="AC79" i="15"/>
  <c r="AB79" i="15"/>
  <c r="AA79" i="15"/>
  <c r="Z79" i="15"/>
  <c r="Y79" i="15"/>
  <c r="X79" i="15"/>
  <c r="W79" i="15"/>
  <c r="V79" i="15"/>
  <c r="U79" i="15"/>
  <c r="R79" i="15"/>
  <c r="Q79" i="15"/>
  <c r="S79" i="15" s="1"/>
  <c r="P79" i="15"/>
  <c r="AG78" i="15"/>
  <c r="AF78" i="15"/>
  <c r="AE78" i="15"/>
  <c r="AD78" i="15"/>
  <c r="AC78" i="15"/>
  <c r="AB78" i="15"/>
  <c r="AA78" i="15"/>
  <c r="Z78" i="15"/>
  <c r="Y78" i="15"/>
  <c r="AH78" i="15" s="1"/>
  <c r="X78" i="15"/>
  <c r="W78" i="15"/>
  <c r="V78" i="15"/>
  <c r="U78" i="15"/>
  <c r="R78" i="15"/>
  <c r="Q78" i="15"/>
  <c r="P78" i="15"/>
  <c r="AG77" i="15"/>
  <c r="AF77" i="15"/>
  <c r="AE77" i="15"/>
  <c r="AD77" i="15"/>
  <c r="AC77" i="15"/>
  <c r="AB77" i="15"/>
  <c r="AA77" i="15"/>
  <c r="Z77" i="15"/>
  <c r="Y77" i="15"/>
  <c r="X77" i="15"/>
  <c r="W77" i="15"/>
  <c r="V77" i="15"/>
  <c r="U77" i="15"/>
  <c r="R77" i="15"/>
  <c r="Q77" i="15"/>
  <c r="P77" i="15"/>
  <c r="AG76" i="15"/>
  <c r="AF76" i="15"/>
  <c r="AE76" i="15"/>
  <c r="AD76" i="15"/>
  <c r="AC76" i="15"/>
  <c r="AB76" i="15"/>
  <c r="AA76" i="15"/>
  <c r="Z76" i="15"/>
  <c r="Y76" i="15"/>
  <c r="X76" i="15"/>
  <c r="W76" i="15"/>
  <c r="V76" i="15"/>
  <c r="U76" i="15"/>
  <c r="R76" i="15"/>
  <c r="Q76" i="15"/>
  <c r="P76" i="15"/>
  <c r="AG75" i="15"/>
  <c r="AF75" i="15"/>
  <c r="AE75" i="15"/>
  <c r="AD75" i="15"/>
  <c r="AC75" i="15"/>
  <c r="AB75" i="15"/>
  <c r="AA75" i="15"/>
  <c r="Z75" i="15"/>
  <c r="Y75" i="15"/>
  <c r="X75" i="15"/>
  <c r="W75" i="15"/>
  <c r="V75" i="15"/>
  <c r="U75" i="15"/>
  <c r="R75" i="15"/>
  <c r="Q75" i="15"/>
  <c r="P75" i="15"/>
  <c r="AG74" i="15"/>
  <c r="AF74" i="15"/>
  <c r="AE74" i="15"/>
  <c r="AD74" i="15"/>
  <c r="AC74" i="15"/>
  <c r="AB74" i="15"/>
  <c r="AA74" i="15"/>
  <c r="Z74" i="15"/>
  <c r="Y74" i="15"/>
  <c r="X74" i="15"/>
  <c r="W74" i="15"/>
  <c r="V74" i="15"/>
  <c r="U74" i="15"/>
  <c r="R74" i="15"/>
  <c r="Q74" i="15"/>
  <c r="P74" i="15"/>
  <c r="AG73" i="15"/>
  <c r="AF73" i="15"/>
  <c r="AE73" i="15"/>
  <c r="AD73" i="15"/>
  <c r="AC73" i="15"/>
  <c r="AB73" i="15"/>
  <c r="AA73" i="15"/>
  <c r="Z73" i="15"/>
  <c r="Y73" i="15"/>
  <c r="X73" i="15"/>
  <c r="W73" i="15"/>
  <c r="V73" i="15"/>
  <c r="U73" i="15"/>
  <c r="R73" i="15"/>
  <c r="Q73" i="15"/>
  <c r="P73" i="15"/>
  <c r="AG72" i="15"/>
  <c r="AF72" i="15"/>
  <c r="AE72" i="15"/>
  <c r="AD72" i="15"/>
  <c r="AC72" i="15"/>
  <c r="AB72" i="15"/>
  <c r="AA72" i="15"/>
  <c r="Z72" i="15"/>
  <c r="Y72" i="15"/>
  <c r="X72" i="15"/>
  <c r="W72" i="15"/>
  <c r="V72" i="15"/>
  <c r="U72" i="15"/>
  <c r="R72" i="15"/>
  <c r="Q72" i="15"/>
  <c r="P72" i="15"/>
  <c r="AG71" i="15"/>
  <c r="AF71" i="15"/>
  <c r="AE71" i="15"/>
  <c r="AD71" i="15"/>
  <c r="AC71" i="15"/>
  <c r="AB71" i="15"/>
  <c r="AA71" i="15"/>
  <c r="Z71" i="15"/>
  <c r="Y71" i="15"/>
  <c r="X71" i="15"/>
  <c r="W71" i="15"/>
  <c r="V71" i="15"/>
  <c r="U71" i="15"/>
  <c r="R71" i="15"/>
  <c r="Q71" i="15"/>
  <c r="P71" i="15"/>
  <c r="AG70" i="15"/>
  <c r="AF70" i="15"/>
  <c r="AE70" i="15"/>
  <c r="AD70" i="15"/>
  <c r="AC70" i="15"/>
  <c r="AB70" i="15"/>
  <c r="AA70" i="15"/>
  <c r="Z70" i="15"/>
  <c r="Y70" i="15"/>
  <c r="X70" i="15"/>
  <c r="W70" i="15"/>
  <c r="V70" i="15"/>
  <c r="U70" i="15"/>
  <c r="R70" i="15"/>
  <c r="S70" i="15" s="1"/>
  <c r="Q70" i="15"/>
  <c r="P70" i="15"/>
  <c r="AG69" i="15"/>
  <c r="AF69" i="15"/>
  <c r="AE69" i="15"/>
  <c r="AD69" i="15"/>
  <c r="AC69" i="15"/>
  <c r="AB69" i="15"/>
  <c r="AA69" i="15"/>
  <c r="Z69" i="15"/>
  <c r="Y69" i="15"/>
  <c r="X69" i="15"/>
  <c r="W69" i="15"/>
  <c r="V69" i="15"/>
  <c r="U69" i="15"/>
  <c r="R69" i="15"/>
  <c r="Q69" i="15"/>
  <c r="P69" i="15"/>
  <c r="AG68" i="15"/>
  <c r="AF68" i="15"/>
  <c r="AE68" i="15"/>
  <c r="AD68" i="15"/>
  <c r="AC68" i="15"/>
  <c r="AB68" i="15"/>
  <c r="AA68" i="15"/>
  <c r="Z68" i="15"/>
  <c r="Y68" i="15"/>
  <c r="X68" i="15"/>
  <c r="W68" i="15"/>
  <c r="V68" i="15"/>
  <c r="U68" i="15"/>
  <c r="R68" i="15"/>
  <c r="Q68" i="15"/>
  <c r="P68" i="15"/>
  <c r="AG67" i="15"/>
  <c r="AF67" i="15"/>
  <c r="AE67" i="15"/>
  <c r="AD67" i="15"/>
  <c r="AC67" i="15"/>
  <c r="AB67" i="15"/>
  <c r="AA67" i="15"/>
  <c r="Z67" i="15"/>
  <c r="Y67" i="15"/>
  <c r="X67" i="15"/>
  <c r="W67" i="15"/>
  <c r="V67" i="15"/>
  <c r="U67" i="15"/>
  <c r="R67" i="15"/>
  <c r="Q67" i="15"/>
  <c r="P67" i="15"/>
  <c r="AG66" i="15"/>
  <c r="AF66" i="15"/>
  <c r="AE66" i="15"/>
  <c r="AD66" i="15"/>
  <c r="AC66" i="15"/>
  <c r="AB66" i="15"/>
  <c r="AA66" i="15"/>
  <c r="Z66" i="15"/>
  <c r="Y66" i="15"/>
  <c r="X66" i="15"/>
  <c r="W66" i="15"/>
  <c r="V66" i="15"/>
  <c r="U66" i="15"/>
  <c r="R66" i="15"/>
  <c r="Q66" i="15"/>
  <c r="P66" i="15"/>
  <c r="AG65" i="15"/>
  <c r="AF65" i="15"/>
  <c r="AE65" i="15"/>
  <c r="AD65" i="15"/>
  <c r="AC65" i="15"/>
  <c r="AB65" i="15"/>
  <c r="AA65" i="15"/>
  <c r="Z65" i="15"/>
  <c r="Y65" i="15"/>
  <c r="X65" i="15"/>
  <c r="W65" i="15"/>
  <c r="V65" i="15"/>
  <c r="U65" i="15"/>
  <c r="R65" i="15"/>
  <c r="Q65" i="15"/>
  <c r="P65" i="15"/>
  <c r="AG64" i="15"/>
  <c r="AF64" i="15"/>
  <c r="AE64" i="15"/>
  <c r="AD64" i="15"/>
  <c r="AC64" i="15"/>
  <c r="AB64" i="15"/>
  <c r="AA64" i="15"/>
  <c r="Z64" i="15"/>
  <c r="Y64" i="15"/>
  <c r="X64" i="15"/>
  <c r="W64" i="15"/>
  <c r="V64" i="15"/>
  <c r="U64" i="15"/>
  <c r="R64" i="15"/>
  <c r="Q64" i="15"/>
  <c r="P64" i="15"/>
  <c r="AG63" i="15"/>
  <c r="AF63" i="15"/>
  <c r="AE63" i="15"/>
  <c r="AD63" i="15"/>
  <c r="AC63" i="15"/>
  <c r="AB63" i="15"/>
  <c r="AA63" i="15"/>
  <c r="Z63" i="15"/>
  <c r="Y63" i="15"/>
  <c r="X63" i="15"/>
  <c r="W63" i="15"/>
  <c r="V63" i="15"/>
  <c r="U63" i="15"/>
  <c r="R63" i="15"/>
  <c r="Q63" i="15"/>
  <c r="P63" i="15"/>
  <c r="AG62" i="15"/>
  <c r="AF62" i="15"/>
  <c r="AE62" i="15"/>
  <c r="AD62" i="15"/>
  <c r="AC62" i="15"/>
  <c r="AB62" i="15"/>
  <c r="AA62" i="15"/>
  <c r="Z62" i="15"/>
  <c r="Y62" i="15"/>
  <c r="X62" i="15"/>
  <c r="W62" i="15"/>
  <c r="V62" i="15"/>
  <c r="U62" i="15"/>
  <c r="S62" i="15"/>
  <c r="R62" i="15"/>
  <c r="Q62" i="15"/>
  <c r="P62" i="15"/>
  <c r="AG61" i="15"/>
  <c r="AF61" i="15"/>
  <c r="AE61" i="15"/>
  <c r="AD61" i="15"/>
  <c r="AC61" i="15"/>
  <c r="AB61" i="15"/>
  <c r="AA61" i="15"/>
  <c r="Z61" i="15"/>
  <c r="Y61" i="15"/>
  <c r="AH61" i="15" s="1"/>
  <c r="X61" i="15"/>
  <c r="W61" i="15"/>
  <c r="V61" i="15"/>
  <c r="U61" i="15"/>
  <c r="R61" i="15"/>
  <c r="Q61" i="15"/>
  <c r="S61" i="15" s="1"/>
  <c r="P61" i="15"/>
  <c r="AG60" i="15"/>
  <c r="AF60" i="15"/>
  <c r="AE60" i="15"/>
  <c r="AD60" i="15"/>
  <c r="AC60" i="15"/>
  <c r="AB60" i="15"/>
  <c r="AA60" i="15"/>
  <c r="Z60" i="15"/>
  <c r="Y60" i="15"/>
  <c r="X60" i="15"/>
  <c r="W60" i="15"/>
  <c r="V60" i="15"/>
  <c r="U60" i="15"/>
  <c r="R60" i="15"/>
  <c r="Q60" i="15"/>
  <c r="P60" i="15"/>
  <c r="AG59" i="15"/>
  <c r="AF59" i="15"/>
  <c r="AE59" i="15"/>
  <c r="AD59" i="15"/>
  <c r="AC59" i="15"/>
  <c r="AB59" i="15"/>
  <c r="AA59" i="15"/>
  <c r="Z59" i="15"/>
  <c r="Y59" i="15"/>
  <c r="X59" i="15"/>
  <c r="W59" i="15"/>
  <c r="V59" i="15"/>
  <c r="U59" i="15"/>
  <c r="R59" i="15"/>
  <c r="Q59" i="15"/>
  <c r="S59" i="15" s="1"/>
  <c r="P59" i="15"/>
  <c r="AG58" i="15"/>
  <c r="AF58" i="15"/>
  <c r="AE58" i="15"/>
  <c r="AD58" i="15"/>
  <c r="AC58" i="15"/>
  <c r="AB58" i="15"/>
  <c r="AA58" i="15"/>
  <c r="Z58" i="15"/>
  <c r="Y58" i="15"/>
  <c r="X58" i="15"/>
  <c r="W58" i="15"/>
  <c r="V58" i="15"/>
  <c r="U58" i="15"/>
  <c r="R58" i="15"/>
  <c r="Q58" i="15"/>
  <c r="S58" i="15" s="1"/>
  <c r="P58" i="15"/>
  <c r="AG57" i="15"/>
  <c r="AF57" i="15"/>
  <c r="AE57" i="15"/>
  <c r="AD57" i="15"/>
  <c r="AC57" i="15"/>
  <c r="AB57" i="15"/>
  <c r="AA57" i="15"/>
  <c r="Z57" i="15"/>
  <c r="Y57" i="15"/>
  <c r="X57" i="15"/>
  <c r="W57" i="15"/>
  <c r="V57" i="15"/>
  <c r="U57" i="15"/>
  <c r="R57" i="15"/>
  <c r="Q57" i="15"/>
  <c r="S57" i="15" s="1"/>
  <c r="P57" i="15"/>
  <c r="AG56" i="15"/>
  <c r="AF56" i="15"/>
  <c r="AE56" i="15"/>
  <c r="AD56" i="15"/>
  <c r="AC56" i="15"/>
  <c r="AB56" i="15"/>
  <c r="AA56" i="15"/>
  <c r="Z56" i="15"/>
  <c r="Y56" i="15"/>
  <c r="X56" i="15"/>
  <c r="W56" i="15"/>
  <c r="V56" i="15"/>
  <c r="U56" i="15"/>
  <c r="R56" i="15"/>
  <c r="Q56" i="15"/>
  <c r="S56" i="15" s="1"/>
  <c r="P56" i="15"/>
  <c r="AG55" i="15"/>
  <c r="AF55" i="15"/>
  <c r="AE55" i="15"/>
  <c r="AD55" i="15"/>
  <c r="AC55" i="15"/>
  <c r="AB55" i="15"/>
  <c r="AA55" i="15"/>
  <c r="Z55" i="15"/>
  <c r="Y55" i="15"/>
  <c r="X55" i="15"/>
  <c r="W55" i="15"/>
  <c r="V55" i="15"/>
  <c r="U55" i="15"/>
  <c r="R55" i="15"/>
  <c r="Q55" i="15"/>
  <c r="P55" i="15"/>
  <c r="AG54" i="15"/>
  <c r="AF54" i="15"/>
  <c r="AE54" i="15"/>
  <c r="AD54" i="15"/>
  <c r="AC54" i="15"/>
  <c r="AB54" i="15"/>
  <c r="AA54" i="15"/>
  <c r="Z54" i="15"/>
  <c r="Y54" i="15"/>
  <c r="AH54" i="15" s="1"/>
  <c r="X54" i="15"/>
  <c r="W54" i="15"/>
  <c r="V54" i="15"/>
  <c r="U54" i="15"/>
  <c r="R54" i="15"/>
  <c r="Q54" i="15"/>
  <c r="S54" i="15" s="1"/>
  <c r="P54" i="15"/>
  <c r="AG53" i="15"/>
  <c r="AF53" i="15"/>
  <c r="AE53" i="15"/>
  <c r="AD53" i="15"/>
  <c r="AC53" i="15"/>
  <c r="AB53" i="15"/>
  <c r="AA53" i="15"/>
  <c r="Z53" i="15"/>
  <c r="Y53" i="15"/>
  <c r="X53" i="15"/>
  <c r="W53" i="15"/>
  <c r="V53" i="15"/>
  <c r="U53" i="15"/>
  <c r="R53" i="15"/>
  <c r="Q53" i="15"/>
  <c r="P53" i="15"/>
  <c r="AG52" i="15"/>
  <c r="AF52" i="15"/>
  <c r="AE52" i="15"/>
  <c r="AD52" i="15"/>
  <c r="AC52" i="15"/>
  <c r="AB52" i="15"/>
  <c r="AA52" i="15"/>
  <c r="Z52" i="15"/>
  <c r="Y52" i="15"/>
  <c r="X52" i="15"/>
  <c r="W52" i="15"/>
  <c r="V52" i="15"/>
  <c r="U52" i="15"/>
  <c r="R52" i="15"/>
  <c r="Q52" i="15"/>
  <c r="P52" i="15"/>
  <c r="AG51" i="15"/>
  <c r="AF51" i="15"/>
  <c r="AE51" i="15"/>
  <c r="AD51" i="15"/>
  <c r="AC51" i="15"/>
  <c r="AB51" i="15"/>
  <c r="AA51" i="15"/>
  <c r="Z51" i="15"/>
  <c r="Y51" i="15"/>
  <c r="X51" i="15"/>
  <c r="W51" i="15"/>
  <c r="V51" i="15"/>
  <c r="U51" i="15"/>
  <c r="R51" i="15"/>
  <c r="Q51" i="15"/>
  <c r="P51" i="15"/>
  <c r="AG50" i="15"/>
  <c r="AF50" i="15"/>
  <c r="AE50" i="15"/>
  <c r="AD50" i="15"/>
  <c r="AC50" i="15"/>
  <c r="AB50" i="15"/>
  <c r="AA50" i="15"/>
  <c r="Z50" i="15"/>
  <c r="Y50" i="15"/>
  <c r="X50" i="15"/>
  <c r="W50" i="15"/>
  <c r="V50" i="15"/>
  <c r="U50" i="15"/>
  <c r="R50" i="15"/>
  <c r="Q50" i="15"/>
  <c r="P50" i="15"/>
  <c r="AG49" i="15"/>
  <c r="AF49" i="15"/>
  <c r="AE49" i="15"/>
  <c r="AD49" i="15"/>
  <c r="AC49" i="15"/>
  <c r="AB49" i="15"/>
  <c r="AA49" i="15"/>
  <c r="Z49" i="15"/>
  <c r="Y49" i="15"/>
  <c r="X49" i="15"/>
  <c r="W49" i="15"/>
  <c r="V49" i="15"/>
  <c r="U49" i="15"/>
  <c r="R49" i="15"/>
  <c r="Q49" i="15"/>
  <c r="P49" i="15"/>
  <c r="AG48" i="15"/>
  <c r="AF48" i="15"/>
  <c r="AE48" i="15"/>
  <c r="AD48" i="15"/>
  <c r="AC48" i="15"/>
  <c r="AB48" i="15"/>
  <c r="AA48" i="15"/>
  <c r="Z48" i="15"/>
  <c r="Y48" i="15"/>
  <c r="X48" i="15"/>
  <c r="W48" i="15"/>
  <c r="V48" i="15"/>
  <c r="U48" i="15"/>
  <c r="R48" i="15"/>
  <c r="Q48" i="15"/>
  <c r="P48" i="15"/>
  <c r="AG47" i="15"/>
  <c r="AF47" i="15"/>
  <c r="AE47" i="15"/>
  <c r="AD47" i="15"/>
  <c r="AC47" i="15"/>
  <c r="AB47" i="15"/>
  <c r="AA47" i="15"/>
  <c r="Z47" i="15"/>
  <c r="Y47" i="15"/>
  <c r="X47" i="15"/>
  <c r="W47" i="15"/>
  <c r="V47" i="15"/>
  <c r="U47" i="15"/>
  <c r="R47" i="15"/>
  <c r="Q47" i="15"/>
  <c r="S47" i="15" s="1"/>
  <c r="P47" i="15"/>
  <c r="AG46" i="15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R46" i="15"/>
  <c r="Q46" i="15"/>
  <c r="P46" i="15"/>
  <c r="AG45" i="15"/>
  <c r="AF45" i="15"/>
  <c r="AE45" i="15"/>
  <c r="AD45" i="15"/>
  <c r="AC45" i="15"/>
  <c r="AB45" i="15"/>
  <c r="AA45" i="15"/>
  <c r="Z45" i="15"/>
  <c r="Y45" i="15"/>
  <c r="X45" i="15"/>
  <c r="W45" i="15"/>
  <c r="V45" i="15"/>
  <c r="U45" i="15"/>
  <c r="R45" i="15"/>
  <c r="S45" i="15" s="1"/>
  <c r="Q45" i="15"/>
  <c r="P45" i="15"/>
  <c r="AG44" i="15"/>
  <c r="AF44" i="15"/>
  <c r="AE44" i="15"/>
  <c r="AD44" i="15"/>
  <c r="AC44" i="15"/>
  <c r="AB44" i="15"/>
  <c r="AA44" i="15"/>
  <c r="Z44" i="15"/>
  <c r="Y44" i="15"/>
  <c r="X44" i="15"/>
  <c r="W44" i="15"/>
  <c r="V44" i="15"/>
  <c r="U44" i="15"/>
  <c r="R44" i="15"/>
  <c r="S44" i="15" s="1"/>
  <c r="Q44" i="15"/>
  <c r="P44" i="15"/>
  <c r="AG43" i="15"/>
  <c r="AF43" i="15"/>
  <c r="AE43" i="15"/>
  <c r="AD43" i="15"/>
  <c r="AC43" i="15"/>
  <c r="AB43" i="15"/>
  <c r="AA43" i="15"/>
  <c r="Z43" i="15"/>
  <c r="Y43" i="15"/>
  <c r="X43" i="15"/>
  <c r="W43" i="15"/>
  <c r="V43" i="15"/>
  <c r="U43" i="15"/>
  <c r="R43" i="15"/>
  <c r="Q43" i="15"/>
  <c r="P43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R42" i="15"/>
  <c r="Q42" i="15"/>
  <c r="P42" i="15"/>
  <c r="AG41" i="15"/>
  <c r="AF41" i="15"/>
  <c r="AE41" i="15"/>
  <c r="AD41" i="15"/>
  <c r="AC41" i="15"/>
  <c r="AB41" i="15"/>
  <c r="AA41" i="15"/>
  <c r="Z41" i="15"/>
  <c r="Y41" i="15"/>
  <c r="X41" i="15"/>
  <c r="W41" i="15"/>
  <c r="V41" i="15"/>
  <c r="U41" i="15"/>
  <c r="R41" i="15"/>
  <c r="Q41" i="15"/>
  <c r="P41" i="15"/>
  <c r="AG40" i="15"/>
  <c r="AF40" i="15"/>
  <c r="AE40" i="15"/>
  <c r="AD40" i="15"/>
  <c r="AC40" i="15"/>
  <c r="AB40" i="15"/>
  <c r="AA40" i="15"/>
  <c r="Z40" i="15"/>
  <c r="Y40" i="15"/>
  <c r="X40" i="15"/>
  <c r="W40" i="15"/>
  <c r="V40" i="15"/>
  <c r="U40" i="15"/>
  <c r="R40" i="15"/>
  <c r="Q40" i="15"/>
  <c r="P40" i="15"/>
  <c r="AG39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R39" i="15"/>
  <c r="Q39" i="15"/>
  <c r="P39" i="15"/>
  <c r="AG38" i="15"/>
  <c r="AF38" i="15"/>
  <c r="AE38" i="15"/>
  <c r="AD38" i="15"/>
  <c r="AC38" i="15"/>
  <c r="AB38" i="15"/>
  <c r="AA38" i="15"/>
  <c r="Z38" i="15"/>
  <c r="Y38" i="15"/>
  <c r="AH38" i="15" s="1"/>
  <c r="X38" i="15"/>
  <c r="W38" i="15"/>
  <c r="V38" i="15"/>
  <c r="U38" i="15"/>
  <c r="R38" i="15"/>
  <c r="Q38" i="15"/>
  <c r="P38" i="15"/>
  <c r="AG37" i="15"/>
  <c r="AF37" i="15"/>
  <c r="AE37" i="15"/>
  <c r="AD37" i="15"/>
  <c r="AC37" i="15"/>
  <c r="AB37" i="15"/>
  <c r="AA37" i="15"/>
  <c r="Z37" i="15"/>
  <c r="Y37" i="15"/>
  <c r="AH37" i="15" s="1"/>
  <c r="X37" i="15"/>
  <c r="W37" i="15"/>
  <c r="V37" i="15"/>
  <c r="U37" i="15"/>
  <c r="R37" i="15"/>
  <c r="Q37" i="15"/>
  <c r="P37" i="15"/>
  <c r="AG36" i="15"/>
  <c r="AF36" i="15"/>
  <c r="AE36" i="15"/>
  <c r="AD36" i="15"/>
  <c r="AC36" i="15"/>
  <c r="AB36" i="15"/>
  <c r="AA36" i="15"/>
  <c r="Z36" i="15"/>
  <c r="Y36" i="15"/>
  <c r="AH36" i="15" s="1"/>
  <c r="X36" i="15"/>
  <c r="W36" i="15"/>
  <c r="V36" i="15"/>
  <c r="U36" i="15"/>
  <c r="R36" i="15"/>
  <c r="Q36" i="15"/>
  <c r="P36" i="15"/>
  <c r="AG35" i="15"/>
  <c r="AF35" i="15"/>
  <c r="AE35" i="15"/>
  <c r="AD35" i="15"/>
  <c r="AC35" i="15"/>
  <c r="AB35" i="15"/>
  <c r="AA35" i="15"/>
  <c r="Z35" i="15"/>
  <c r="Y35" i="15"/>
  <c r="AH35" i="15" s="1"/>
  <c r="X35" i="15"/>
  <c r="W35" i="15"/>
  <c r="V35" i="15"/>
  <c r="U35" i="15"/>
  <c r="R35" i="15"/>
  <c r="Q35" i="15"/>
  <c r="P35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R34" i="15"/>
  <c r="Q34" i="15"/>
  <c r="P34" i="15"/>
  <c r="AG33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R33" i="15"/>
  <c r="Q33" i="15"/>
  <c r="P33" i="15"/>
  <c r="AG32" i="15"/>
  <c r="AF32" i="15"/>
  <c r="AE32" i="15"/>
  <c r="AD32" i="15"/>
  <c r="AC32" i="15"/>
  <c r="AB32" i="15"/>
  <c r="AA32" i="15"/>
  <c r="Z32" i="15"/>
  <c r="Y32" i="15"/>
  <c r="X32" i="15"/>
  <c r="W32" i="15"/>
  <c r="V32" i="15"/>
  <c r="U32" i="15"/>
  <c r="R32" i="15"/>
  <c r="Q32" i="15"/>
  <c r="P32" i="15"/>
  <c r="AG31" i="15"/>
  <c r="AF31" i="15"/>
  <c r="AE31" i="15"/>
  <c r="AD31" i="15"/>
  <c r="AC31" i="15"/>
  <c r="AB31" i="15"/>
  <c r="AA31" i="15"/>
  <c r="Z31" i="15"/>
  <c r="Y31" i="15"/>
  <c r="X31" i="15"/>
  <c r="W31" i="15"/>
  <c r="V31" i="15"/>
  <c r="U31" i="15"/>
  <c r="R31" i="15"/>
  <c r="S31" i="15" s="1"/>
  <c r="Q31" i="15"/>
  <c r="P31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R30" i="15"/>
  <c r="Q30" i="15"/>
  <c r="P30" i="15"/>
  <c r="AG29" i="15"/>
  <c r="AF29" i="15"/>
  <c r="AE29" i="15"/>
  <c r="AD29" i="15"/>
  <c r="AC29" i="15"/>
  <c r="AB29" i="15"/>
  <c r="AA29" i="15"/>
  <c r="Z29" i="15"/>
  <c r="Y29" i="15"/>
  <c r="X29" i="15"/>
  <c r="W29" i="15"/>
  <c r="V29" i="15"/>
  <c r="U29" i="15"/>
  <c r="R29" i="15"/>
  <c r="S29" i="15" s="1"/>
  <c r="Q29" i="15"/>
  <c r="P29" i="15"/>
  <c r="AG28" i="15"/>
  <c r="AF28" i="15"/>
  <c r="AE28" i="15"/>
  <c r="AD28" i="15"/>
  <c r="AC28" i="15"/>
  <c r="AB28" i="15"/>
  <c r="AA28" i="15"/>
  <c r="Z28" i="15"/>
  <c r="Y28" i="15"/>
  <c r="X28" i="15"/>
  <c r="W28" i="15"/>
  <c r="V28" i="15"/>
  <c r="U28" i="15"/>
  <c r="R28" i="15"/>
  <c r="S28" i="15" s="1"/>
  <c r="Q28" i="15"/>
  <c r="P28" i="15"/>
  <c r="AG27" i="15"/>
  <c r="AF27" i="15"/>
  <c r="AE27" i="15"/>
  <c r="AD27" i="15"/>
  <c r="AC27" i="15"/>
  <c r="AB27" i="15"/>
  <c r="AA27" i="15"/>
  <c r="Z27" i="15"/>
  <c r="Y27" i="15"/>
  <c r="X27" i="15"/>
  <c r="W27" i="15"/>
  <c r="V27" i="15"/>
  <c r="U27" i="15"/>
  <c r="R27" i="15"/>
  <c r="Q27" i="15"/>
  <c r="P27" i="15"/>
  <c r="AG26" i="15"/>
  <c r="AF26" i="15"/>
  <c r="AE26" i="15"/>
  <c r="AD26" i="15"/>
  <c r="AC26" i="15"/>
  <c r="AB26" i="15"/>
  <c r="AA26" i="15"/>
  <c r="Z26" i="15"/>
  <c r="Y26" i="15"/>
  <c r="X26" i="15"/>
  <c r="W26" i="15"/>
  <c r="V26" i="15"/>
  <c r="U26" i="15"/>
  <c r="R26" i="15"/>
  <c r="Q26" i="15"/>
  <c r="P26" i="15"/>
  <c r="AG25" i="15"/>
  <c r="AF25" i="15"/>
  <c r="AE25" i="15"/>
  <c r="AD25" i="15"/>
  <c r="AC25" i="15"/>
  <c r="AB25" i="15"/>
  <c r="AA25" i="15"/>
  <c r="Z25" i="15"/>
  <c r="Y25" i="15"/>
  <c r="X25" i="15"/>
  <c r="W25" i="15"/>
  <c r="V25" i="15"/>
  <c r="U25" i="15"/>
  <c r="R25" i="15"/>
  <c r="Q25" i="15"/>
  <c r="P25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S24" i="15"/>
  <c r="R24" i="15"/>
  <c r="Q24" i="15"/>
  <c r="P24" i="15"/>
  <c r="AG23" i="15"/>
  <c r="AF23" i="15"/>
  <c r="AE23" i="15"/>
  <c r="AD23" i="15"/>
  <c r="AC23" i="15"/>
  <c r="AB23" i="15"/>
  <c r="AA23" i="15"/>
  <c r="Z23" i="15"/>
  <c r="Y23" i="15"/>
  <c r="AH23" i="15" s="1"/>
  <c r="X23" i="15"/>
  <c r="W23" i="15"/>
  <c r="V23" i="15"/>
  <c r="U23" i="15"/>
  <c r="R23" i="15"/>
  <c r="Q23" i="15"/>
  <c r="P23" i="15"/>
  <c r="AG22" i="15"/>
  <c r="AF22" i="15"/>
  <c r="AE22" i="15"/>
  <c r="AD22" i="15"/>
  <c r="AC22" i="15"/>
  <c r="AB22" i="15"/>
  <c r="AA22" i="15"/>
  <c r="Z22" i="15"/>
  <c r="Y22" i="15"/>
  <c r="X22" i="15"/>
  <c r="W22" i="15"/>
  <c r="V22" i="15"/>
  <c r="U22" i="15"/>
  <c r="R22" i="15"/>
  <c r="Q22" i="15"/>
  <c r="P22" i="15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R21" i="15"/>
  <c r="Q21" i="15"/>
  <c r="P21" i="15"/>
  <c r="AG20" i="15"/>
  <c r="AF20" i="15"/>
  <c r="AE20" i="15"/>
  <c r="AD20" i="15"/>
  <c r="AC20" i="15"/>
  <c r="AB20" i="15"/>
  <c r="AA20" i="15"/>
  <c r="Z20" i="15"/>
  <c r="Y20" i="15"/>
  <c r="X20" i="15"/>
  <c r="W20" i="15"/>
  <c r="V20" i="15"/>
  <c r="U20" i="15"/>
  <c r="R20" i="15"/>
  <c r="Q20" i="15"/>
  <c r="P20" i="15"/>
  <c r="AG19" i="15"/>
  <c r="AF19" i="15"/>
  <c r="AE19" i="15"/>
  <c r="AD19" i="15"/>
  <c r="AC19" i="15"/>
  <c r="AB19" i="15"/>
  <c r="AA19" i="15"/>
  <c r="Z19" i="15"/>
  <c r="Y19" i="15"/>
  <c r="X19" i="15"/>
  <c r="W19" i="15"/>
  <c r="V19" i="15"/>
  <c r="U19" i="15"/>
  <c r="R19" i="15"/>
  <c r="Q19" i="15"/>
  <c r="P19" i="15"/>
  <c r="AG18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R18" i="15"/>
  <c r="Q18" i="15"/>
  <c r="P18" i="15"/>
  <c r="AG17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R17" i="15"/>
  <c r="Q17" i="15"/>
  <c r="P17" i="15"/>
  <c r="AG16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R16" i="15"/>
  <c r="Q16" i="15"/>
  <c r="P16" i="15"/>
  <c r="AG15" i="15"/>
  <c r="AF15" i="15"/>
  <c r="AE15" i="15"/>
  <c r="AD15" i="15"/>
  <c r="AC15" i="15"/>
  <c r="AB15" i="15"/>
  <c r="AA15" i="15"/>
  <c r="Z15" i="15"/>
  <c r="Y15" i="15"/>
  <c r="AH15" i="15" s="1"/>
  <c r="X15" i="15"/>
  <c r="W15" i="15"/>
  <c r="V15" i="15"/>
  <c r="U15" i="15"/>
  <c r="R15" i="15"/>
  <c r="Q15" i="15"/>
  <c r="P15" i="15"/>
  <c r="AG14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R14" i="15"/>
  <c r="Q14" i="15"/>
  <c r="P14" i="15"/>
  <c r="AG13" i="15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R13" i="15"/>
  <c r="Q13" i="15"/>
  <c r="P13" i="15"/>
  <c r="AG12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R12" i="15"/>
  <c r="Q12" i="15"/>
  <c r="P12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R11" i="15"/>
  <c r="Q11" i="15"/>
  <c r="P11" i="15"/>
  <c r="AG10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R10" i="15"/>
  <c r="Q10" i="15"/>
  <c r="P10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R9" i="15"/>
  <c r="Q9" i="15"/>
  <c r="P9" i="15"/>
  <c r="AG8" i="15"/>
  <c r="AF8" i="15"/>
  <c r="AE8" i="15"/>
  <c r="AD8" i="15"/>
  <c r="AC8" i="15"/>
  <c r="AB8" i="15"/>
  <c r="AA8" i="15"/>
  <c r="Z8" i="15"/>
  <c r="Y8" i="15"/>
  <c r="X8" i="15"/>
  <c r="W8" i="15"/>
  <c r="V8" i="15"/>
  <c r="U8" i="15"/>
  <c r="R8" i="15"/>
  <c r="Q8" i="15"/>
  <c r="P8" i="15"/>
  <c r="AG7" i="15"/>
  <c r="AF7" i="15"/>
  <c r="AE7" i="15"/>
  <c r="AD7" i="15"/>
  <c r="AC7" i="15"/>
  <c r="AB7" i="15"/>
  <c r="AA7" i="15"/>
  <c r="Z7" i="15"/>
  <c r="Y7" i="15"/>
  <c r="X7" i="15"/>
  <c r="W7" i="15"/>
  <c r="V7" i="15"/>
  <c r="U7" i="15"/>
  <c r="R7" i="15"/>
  <c r="Q7" i="15"/>
  <c r="P7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R6" i="15"/>
  <c r="Q6" i="15"/>
  <c r="P6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R5" i="15"/>
  <c r="Q5" i="15"/>
  <c r="P5" i="15"/>
  <c r="AG4" i="15"/>
  <c r="AF4" i="15"/>
  <c r="AE4" i="15"/>
  <c r="AD4" i="15"/>
  <c r="AC4" i="15"/>
  <c r="AB4" i="15"/>
  <c r="AA4" i="15"/>
  <c r="Z4" i="15"/>
  <c r="Y4" i="15"/>
  <c r="X4" i="15"/>
  <c r="W4" i="15"/>
  <c r="V4" i="15"/>
  <c r="U4" i="15"/>
  <c r="R4" i="15"/>
  <c r="S4" i="15" s="1"/>
  <c r="Q4" i="15"/>
  <c r="P4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R3" i="15"/>
  <c r="Q3" i="15"/>
  <c r="S3" i="15" s="1"/>
  <c r="P3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R2" i="15"/>
  <c r="Q2" i="15"/>
  <c r="P2" i="15"/>
  <c r="R123" i="14"/>
  <c r="Q123" i="14"/>
  <c r="P123" i="14"/>
  <c r="R122" i="14"/>
  <c r="Q122" i="14"/>
  <c r="P122" i="14"/>
  <c r="R121" i="14"/>
  <c r="Q121" i="14"/>
  <c r="S121" i="14" s="1"/>
  <c r="P121" i="14"/>
  <c r="R120" i="14"/>
  <c r="Q120" i="14"/>
  <c r="S120" i="14" s="1"/>
  <c r="P120" i="14"/>
  <c r="R119" i="14"/>
  <c r="Q119" i="14"/>
  <c r="S119" i="14" s="1"/>
  <c r="P119" i="14"/>
  <c r="R118" i="14"/>
  <c r="S118" i="14" s="1"/>
  <c r="Q118" i="14"/>
  <c r="P118" i="14"/>
  <c r="R117" i="14"/>
  <c r="Q117" i="14"/>
  <c r="S117" i="14" s="1"/>
  <c r="P117" i="14"/>
  <c r="R116" i="14"/>
  <c r="Q116" i="14"/>
  <c r="S116" i="14" s="1"/>
  <c r="P116" i="14"/>
  <c r="R115" i="14"/>
  <c r="Q115" i="14"/>
  <c r="S115" i="14" s="1"/>
  <c r="P115" i="14"/>
  <c r="R114" i="14"/>
  <c r="Q114" i="14"/>
  <c r="P114" i="14"/>
  <c r="R113" i="14"/>
  <c r="Q113" i="14"/>
  <c r="S113" i="14" s="1"/>
  <c r="P113" i="14"/>
  <c r="R112" i="14"/>
  <c r="Q112" i="14"/>
  <c r="S112" i="14" s="1"/>
  <c r="P112" i="14"/>
  <c r="R111" i="14"/>
  <c r="Q111" i="14"/>
  <c r="P111" i="14"/>
  <c r="R110" i="14"/>
  <c r="Q110" i="14"/>
  <c r="S110" i="14" s="1"/>
  <c r="P110" i="14"/>
  <c r="R109" i="14"/>
  <c r="Q109" i="14"/>
  <c r="P109" i="14"/>
  <c r="S108" i="14"/>
  <c r="R108" i="14"/>
  <c r="Q108" i="14"/>
  <c r="P108" i="14"/>
  <c r="R107" i="14"/>
  <c r="S107" i="14" s="1"/>
  <c r="Q107" i="14"/>
  <c r="P107" i="14"/>
  <c r="R106" i="14"/>
  <c r="S106" i="14" s="1"/>
  <c r="Q106" i="14"/>
  <c r="P106" i="14"/>
  <c r="R105" i="14"/>
  <c r="Q105" i="14"/>
  <c r="P105" i="14"/>
  <c r="R104" i="14"/>
  <c r="Q104" i="14"/>
  <c r="S104" i="14" s="1"/>
  <c r="P104" i="14"/>
  <c r="R103" i="14"/>
  <c r="Q103" i="14"/>
  <c r="P103" i="14"/>
  <c r="R102" i="14"/>
  <c r="Q102" i="14"/>
  <c r="P102" i="14"/>
  <c r="R101" i="14"/>
  <c r="Q101" i="14"/>
  <c r="P101" i="14"/>
  <c r="R100" i="14"/>
  <c r="Q100" i="14"/>
  <c r="S100" i="14" s="1"/>
  <c r="P100" i="14"/>
  <c r="R99" i="14"/>
  <c r="S99" i="14" s="1"/>
  <c r="Q99" i="14"/>
  <c r="P99" i="14"/>
  <c r="R98" i="14"/>
  <c r="S98" i="14" s="1"/>
  <c r="Q98" i="14"/>
  <c r="P98" i="14"/>
  <c r="R97" i="14"/>
  <c r="Q97" i="14"/>
  <c r="P97" i="14"/>
  <c r="S96" i="14"/>
  <c r="R96" i="14"/>
  <c r="Q96" i="14"/>
  <c r="P96" i="14"/>
  <c r="R95" i="14"/>
  <c r="S95" i="14" s="1"/>
  <c r="Q95" i="14"/>
  <c r="P95" i="14"/>
  <c r="R94" i="14"/>
  <c r="Q94" i="14"/>
  <c r="S94" i="14" s="1"/>
  <c r="P94" i="14"/>
  <c r="R93" i="14"/>
  <c r="Q93" i="14"/>
  <c r="P93" i="14"/>
  <c r="R92" i="14"/>
  <c r="Q92" i="14"/>
  <c r="S92" i="14" s="1"/>
  <c r="P92" i="14"/>
  <c r="R91" i="14"/>
  <c r="S91" i="14" s="1"/>
  <c r="Q91" i="14"/>
  <c r="P91" i="14"/>
  <c r="S90" i="14"/>
  <c r="R90" i="14"/>
  <c r="Q90" i="14"/>
  <c r="P90" i="14"/>
  <c r="R89" i="14"/>
  <c r="S89" i="14" s="1"/>
  <c r="Q89" i="14"/>
  <c r="P89" i="14"/>
  <c r="R88" i="14"/>
  <c r="S88" i="14" s="1"/>
  <c r="Q88" i="14"/>
  <c r="P88" i="14"/>
  <c r="R87" i="14"/>
  <c r="Q87" i="14"/>
  <c r="P87" i="14"/>
  <c r="R86" i="14"/>
  <c r="Q86" i="14"/>
  <c r="S86" i="14" s="1"/>
  <c r="P86" i="14"/>
  <c r="R85" i="14"/>
  <c r="Q85" i="14"/>
  <c r="P85" i="14"/>
  <c r="S84" i="14"/>
  <c r="R84" i="14"/>
  <c r="Q84" i="14"/>
  <c r="P84" i="14"/>
  <c r="R83" i="14"/>
  <c r="S83" i="14" s="1"/>
  <c r="Q83" i="14"/>
  <c r="P83" i="14"/>
  <c r="R82" i="14"/>
  <c r="S82" i="14" s="1"/>
  <c r="Q82" i="14"/>
  <c r="P82" i="14"/>
  <c r="R81" i="14"/>
  <c r="Q81" i="14"/>
  <c r="P81" i="14"/>
  <c r="R80" i="14"/>
  <c r="Q80" i="14"/>
  <c r="S80" i="14" s="1"/>
  <c r="P80" i="14"/>
  <c r="R79" i="14"/>
  <c r="Q79" i="14"/>
  <c r="P79" i="14"/>
  <c r="R78" i="14"/>
  <c r="Q78" i="14"/>
  <c r="S78" i="14" s="1"/>
  <c r="P78" i="14"/>
  <c r="R77" i="14"/>
  <c r="Q77" i="14"/>
  <c r="P77" i="14"/>
  <c r="S76" i="14"/>
  <c r="R76" i="14"/>
  <c r="Q76" i="14"/>
  <c r="P76" i="14"/>
  <c r="R75" i="14"/>
  <c r="S75" i="14" s="1"/>
  <c r="Q75" i="14"/>
  <c r="P75" i="14"/>
  <c r="R74" i="14"/>
  <c r="S74" i="14" s="1"/>
  <c r="Q74" i="14"/>
  <c r="P74" i="14"/>
  <c r="R73" i="14"/>
  <c r="Q73" i="14"/>
  <c r="P73" i="14"/>
  <c r="R72" i="14"/>
  <c r="Q72" i="14"/>
  <c r="S72" i="14" s="1"/>
  <c r="P72" i="14"/>
  <c r="R71" i="14"/>
  <c r="Q71" i="14"/>
  <c r="P71" i="14"/>
  <c r="R70" i="14"/>
  <c r="Q70" i="14"/>
  <c r="P70" i="14"/>
  <c r="R69" i="14"/>
  <c r="Q69" i="14"/>
  <c r="P69" i="14"/>
  <c r="R68" i="14"/>
  <c r="Q68" i="14"/>
  <c r="S68" i="14" s="1"/>
  <c r="P68" i="14"/>
  <c r="R67" i="14"/>
  <c r="S67" i="14" s="1"/>
  <c r="Q67" i="14"/>
  <c r="P67" i="14"/>
  <c r="R66" i="14"/>
  <c r="S66" i="14" s="1"/>
  <c r="Q66" i="14"/>
  <c r="P66" i="14"/>
  <c r="R65" i="14"/>
  <c r="Q65" i="14"/>
  <c r="P65" i="14"/>
  <c r="S64" i="14"/>
  <c r="R64" i="14"/>
  <c r="Q64" i="14"/>
  <c r="P64" i="14"/>
  <c r="R63" i="14"/>
  <c r="S63" i="14" s="1"/>
  <c r="Q63" i="14"/>
  <c r="P63" i="14"/>
  <c r="R62" i="14"/>
  <c r="Q62" i="14"/>
  <c r="S62" i="14" s="1"/>
  <c r="P62" i="14"/>
  <c r="R61" i="14"/>
  <c r="Q61" i="14"/>
  <c r="P61" i="14"/>
  <c r="R60" i="14"/>
  <c r="Q60" i="14"/>
  <c r="S60" i="14" s="1"/>
  <c r="P60" i="14"/>
  <c r="R59" i="14"/>
  <c r="S59" i="14" s="1"/>
  <c r="Q59" i="14"/>
  <c r="P59" i="14"/>
  <c r="S58" i="14"/>
  <c r="R58" i="14"/>
  <c r="Q58" i="14"/>
  <c r="P58" i="14"/>
  <c r="R57" i="14"/>
  <c r="S57" i="14" s="1"/>
  <c r="Q57" i="14"/>
  <c r="P57" i="14"/>
  <c r="R56" i="14"/>
  <c r="S56" i="14" s="1"/>
  <c r="Q56" i="14"/>
  <c r="P56" i="14"/>
  <c r="R55" i="14"/>
  <c r="Q55" i="14"/>
  <c r="P55" i="14"/>
  <c r="R54" i="14"/>
  <c r="Q54" i="14"/>
  <c r="S54" i="14" s="1"/>
  <c r="P54" i="14"/>
  <c r="R53" i="14"/>
  <c r="Q53" i="14"/>
  <c r="P53" i="14"/>
  <c r="S52" i="14"/>
  <c r="R52" i="14"/>
  <c r="Q52" i="14"/>
  <c r="P52" i="14"/>
  <c r="R51" i="14"/>
  <c r="S51" i="14" s="1"/>
  <c r="Q51" i="14"/>
  <c r="P51" i="14"/>
  <c r="R50" i="14"/>
  <c r="S50" i="14" s="1"/>
  <c r="Q50" i="14"/>
  <c r="P50" i="14"/>
  <c r="R49" i="14"/>
  <c r="Q49" i="14"/>
  <c r="P49" i="14"/>
  <c r="R48" i="14"/>
  <c r="Q48" i="14"/>
  <c r="S48" i="14" s="1"/>
  <c r="P48" i="14"/>
  <c r="R47" i="14"/>
  <c r="Q47" i="14"/>
  <c r="P47" i="14"/>
  <c r="R46" i="14"/>
  <c r="Q46" i="14"/>
  <c r="S46" i="14" s="1"/>
  <c r="P46" i="14"/>
  <c r="R45" i="14"/>
  <c r="Q45" i="14"/>
  <c r="P45" i="14"/>
  <c r="S44" i="14"/>
  <c r="R44" i="14"/>
  <c r="Q44" i="14"/>
  <c r="P44" i="14"/>
  <c r="R43" i="14"/>
  <c r="S43" i="14" s="1"/>
  <c r="Q43" i="14"/>
  <c r="P43" i="14"/>
  <c r="R42" i="14"/>
  <c r="S42" i="14" s="1"/>
  <c r="Q42" i="14"/>
  <c r="P42" i="14"/>
  <c r="R41" i="14"/>
  <c r="Q41" i="14"/>
  <c r="P41" i="14"/>
  <c r="R40" i="14"/>
  <c r="Q40" i="14"/>
  <c r="S40" i="14" s="1"/>
  <c r="P40" i="14"/>
  <c r="R39" i="14"/>
  <c r="Q39" i="14"/>
  <c r="P39" i="14"/>
  <c r="R38" i="14"/>
  <c r="Q38" i="14"/>
  <c r="P38" i="14"/>
  <c r="R37" i="14"/>
  <c r="Q37" i="14"/>
  <c r="P37" i="14"/>
  <c r="R36" i="14"/>
  <c r="Q36" i="14"/>
  <c r="S36" i="14" s="1"/>
  <c r="P36" i="14"/>
  <c r="R35" i="14"/>
  <c r="S35" i="14" s="1"/>
  <c r="Q35" i="14"/>
  <c r="P35" i="14"/>
  <c r="R34" i="14"/>
  <c r="S34" i="14" s="1"/>
  <c r="Q34" i="14"/>
  <c r="P34" i="14"/>
  <c r="R33" i="14"/>
  <c r="Q33" i="14"/>
  <c r="P33" i="14"/>
  <c r="S32" i="14"/>
  <c r="R32" i="14"/>
  <c r="Q32" i="14"/>
  <c r="P32" i="14"/>
  <c r="R31" i="14"/>
  <c r="S31" i="14" s="1"/>
  <c r="Q31" i="14"/>
  <c r="P31" i="14"/>
  <c r="R30" i="14"/>
  <c r="Q30" i="14"/>
  <c r="S30" i="14" s="1"/>
  <c r="P30" i="14"/>
  <c r="R29" i="14"/>
  <c r="Q29" i="14"/>
  <c r="P29" i="14"/>
  <c r="R28" i="14"/>
  <c r="Q28" i="14"/>
  <c r="S28" i="14" s="1"/>
  <c r="P28" i="14"/>
  <c r="R27" i="14"/>
  <c r="S27" i="14" s="1"/>
  <c r="Q27" i="14"/>
  <c r="P27" i="14"/>
  <c r="S26" i="14"/>
  <c r="R26" i="14"/>
  <c r="Q26" i="14"/>
  <c r="P26" i="14"/>
  <c r="R25" i="14"/>
  <c r="S25" i="14" s="1"/>
  <c r="Q25" i="14"/>
  <c r="P25" i="14"/>
  <c r="R24" i="14"/>
  <c r="S24" i="14" s="1"/>
  <c r="Q24" i="14"/>
  <c r="P24" i="14"/>
  <c r="R23" i="14"/>
  <c r="Q23" i="14"/>
  <c r="P23" i="14"/>
  <c r="R22" i="14"/>
  <c r="Q22" i="14"/>
  <c r="S22" i="14" s="1"/>
  <c r="P22" i="14"/>
  <c r="R21" i="14"/>
  <c r="Q21" i="14"/>
  <c r="P21" i="14"/>
  <c r="S20" i="14"/>
  <c r="R20" i="14"/>
  <c r="Q20" i="14"/>
  <c r="P20" i="14"/>
  <c r="R19" i="14"/>
  <c r="S19" i="14" s="1"/>
  <c r="Q19" i="14"/>
  <c r="P19" i="14"/>
  <c r="R18" i="14"/>
  <c r="S18" i="14" s="1"/>
  <c r="Q18" i="14"/>
  <c r="P18" i="14"/>
  <c r="R17" i="14"/>
  <c r="Q17" i="14"/>
  <c r="P17" i="14"/>
  <c r="R16" i="14"/>
  <c r="Q16" i="14"/>
  <c r="S16" i="14" s="1"/>
  <c r="P16" i="14"/>
  <c r="R15" i="14"/>
  <c r="Q15" i="14"/>
  <c r="P15" i="14"/>
  <c r="R14" i="14"/>
  <c r="Q14" i="14"/>
  <c r="S14" i="14" s="1"/>
  <c r="P14" i="14"/>
  <c r="R13" i="14"/>
  <c r="Q13" i="14"/>
  <c r="P13" i="14"/>
  <c r="S12" i="14"/>
  <c r="R12" i="14"/>
  <c r="Q12" i="14"/>
  <c r="P12" i="14"/>
  <c r="R11" i="14"/>
  <c r="S11" i="14" s="1"/>
  <c r="Q11" i="14"/>
  <c r="P11" i="14"/>
  <c r="R10" i="14"/>
  <c r="S10" i="14" s="1"/>
  <c r="Q10" i="14"/>
  <c r="P10" i="14"/>
  <c r="R9" i="14"/>
  <c r="Q9" i="14"/>
  <c r="P9" i="14"/>
  <c r="R8" i="14"/>
  <c r="Q8" i="14"/>
  <c r="S8" i="14" s="1"/>
  <c r="P8" i="14"/>
  <c r="R7" i="14"/>
  <c r="Q7" i="14"/>
  <c r="P7" i="14"/>
  <c r="R6" i="14"/>
  <c r="Q6" i="14"/>
  <c r="P6" i="14"/>
  <c r="R5" i="14"/>
  <c r="Q5" i="14"/>
  <c r="P5" i="14"/>
  <c r="R4" i="14"/>
  <c r="Q4" i="14"/>
  <c r="S4" i="14" s="1"/>
  <c r="P4" i="14"/>
  <c r="R3" i="14"/>
  <c r="S3" i="14" s="1"/>
  <c r="Q3" i="14"/>
  <c r="P3" i="14"/>
  <c r="R2" i="14"/>
  <c r="Q2" i="14"/>
  <c r="P2" i="14"/>
  <c r="S17" i="14" l="1"/>
  <c r="S23" i="14"/>
  <c r="S49" i="14"/>
  <c r="S81" i="14"/>
  <c r="S87" i="14"/>
  <c r="S41" i="14"/>
  <c r="S105" i="14"/>
  <c r="AH48" i="15"/>
  <c r="AH49" i="15"/>
  <c r="AH50" i="15"/>
  <c r="AH56" i="15"/>
  <c r="S71" i="15"/>
  <c r="S78" i="15"/>
  <c r="S85" i="15"/>
  <c r="S92" i="15"/>
  <c r="S93" i="15"/>
  <c r="S94" i="15"/>
  <c r="S95" i="15"/>
  <c r="S101" i="15"/>
  <c r="S110" i="15"/>
  <c r="S111" i="15"/>
  <c r="S55" i="14"/>
  <c r="S9" i="14"/>
  <c r="S15" i="14"/>
  <c r="S47" i="14"/>
  <c r="S73" i="14"/>
  <c r="S79" i="14"/>
  <c r="S2" i="14"/>
  <c r="S6" i="14"/>
  <c r="S7" i="14"/>
  <c r="S33" i="14"/>
  <c r="S38" i="14"/>
  <c r="S39" i="14"/>
  <c r="S65" i="14"/>
  <c r="S70" i="14"/>
  <c r="S71" i="14"/>
  <c r="S97" i="14"/>
  <c r="S102" i="14"/>
  <c r="S103" i="14"/>
  <c r="S122" i="14"/>
  <c r="S32" i="15"/>
  <c r="AI38" i="15"/>
  <c r="S39" i="15"/>
  <c r="S46" i="15"/>
  <c r="AH4" i="15"/>
  <c r="AH8" i="15"/>
  <c r="AH9" i="15"/>
  <c r="AJ9" i="15"/>
  <c r="AJ10" i="15"/>
  <c r="AJ12" i="15"/>
  <c r="AJ13" i="15"/>
  <c r="AI55" i="15"/>
  <c r="AI56" i="15"/>
  <c r="AK56" i="15" s="1"/>
  <c r="AJ56" i="15"/>
  <c r="AI57" i="15"/>
  <c r="AI58" i="15"/>
  <c r="S5" i="14"/>
  <c r="S13" i="14"/>
  <c r="S21" i="14"/>
  <c r="S29" i="14"/>
  <c r="S37" i="14"/>
  <c r="S45" i="14"/>
  <c r="S53" i="14"/>
  <c r="S61" i="14"/>
  <c r="S69" i="14"/>
  <c r="S77" i="14"/>
  <c r="S85" i="14"/>
  <c r="S93" i="14"/>
  <c r="S101" i="14"/>
  <c r="S109" i="14"/>
  <c r="S114" i="14"/>
  <c r="S123" i="14"/>
  <c r="S7" i="15"/>
  <c r="AI8" i="15"/>
  <c r="AK8" i="15" s="1"/>
  <c r="S9" i="15"/>
  <c r="AI9" i="15"/>
  <c r="S10" i="15"/>
  <c r="AI10" i="15"/>
  <c r="S11" i="15"/>
  <c r="S13" i="15"/>
  <c r="S15" i="15"/>
  <c r="S16" i="15"/>
  <c r="AJ39" i="15"/>
  <c r="AH46" i="15"/>
  <c r="S63" i="15"/>
  <c r="S64" i="15"/>
  <c r="S65" i="15"/>
  <c r="S66" i="15"/>
  <c r="S67" i="15"/>
  <c r="S69" i="15"/>
  <c r="AH72" i="15"/>
  <c r="AH73" i="15"/>
  <c r="AH74" i="15"/>
  <c r="AH75" i="15"/>
  <c r="AH79" i="15"/>
  <c r="AJ79" i="15"/>
  <c r="AH80" i="15"/>
  <c r="AH81" i="15"/>
  <c r="AJ81" i="15"/>
  <c r="AH82" i="15"/>
  <c r="AJ82" i="15"/>
  <c r="AH83" i="15"/>
  <c r="AJ89" i="15"/>
  <c r="AH95" i="15"/>
  <c r="AH97" i="15"/>
  <c r="AJ105" i="15"/>
  <c r="AH106" i="15"/>
  <c r="AH107" i="15"/>
  <c r="BR74" i="15"/>
  <c r="BZ74" i="15"/>
  <c r="AJ3" i="15"/>
  <c r="AJ7" i="15"/>
  <c r="AJ15" i="15"/>
  <c r="AJ23" i="15"/>
  <c r="S36" i="15"/>
  <c r="S37" i="15"/>
  <c r="S38" i="15"/>
  <c r="S40" i="15"/>
  <c r="AI40" i="15"/>
  <c r="S41" i="15"/>
  <c r="AI41" i="15"/>
  <c r="S42" i="15"/>
  <c r="AI42" i="15"/>
  <c r="S43" i="15"/>
  <c r="AH47" i="15"/>
  <c r="AJ63" i="15"/>
  <c r="AJ66" i="15"/>
  <c r="AJ67" i="15"/>
  <c r="AJ68" i="15"/>
  <c r="AJ69" i="15"/>
  <c r="S80" i="15"/>
  <c r="AI80" i="15"/>
  <c r="AK80" i="15" s="1"/>
  <c r="S81" i="15"/>
  <c r="AI81" i="15"/>
  <c r="S82" i="15"/>
  <c r="S83" i="15"/>
  <c r="AH87" i="15"/>
  <c r="AH89" i="15"/>
  <c r="AH92" i="15"/>
  <c r="AH93" i="15"/>
  <c r="AH100" i="15"/>
  <c r="AJ104" i="15"/>
  <c r="AJ110" i="15"/>
  <c r="AJ113" i="15"/>
  <c r="AJ117" i="15"/>
  <c r="AJ119" i="15"/>
  <c r="AH6" i="15"/>
  <c r="AJ16" i="15"/>
  <c r="AJ31" i="15"/>
  <c r="AJ54" i="15"/>
  <c r="AJ71" i="15"/>
  <c r="AI86" i="15"/>
  <c r="S87" i="15"/>
  <c r="AJ122" i="15"/>
  <c r="AJ123" i="15"/>
  <c r="S2" i="15"/>
  <c r="AH7" i="15"/>
  <c r="AJ24" i="15"/>
  <c r="S48" i="15"/>
  <c r="AI48" i="15"/>
  <c r="S49" i="15"/>
  <c r="AI49" i="15"/>
  <c r="S50" i="15"/>
  <c r="AI50" i="15"/>
  <c r="S51" i="15"/>
  <c r="AI51" i="15"/>
  <c r="AK51" i="15" s="1"/>
  <c r="S52" i="15"/>
  <c r="AI52" i="15"/>
  <c r="S53" i="15"/>
  <c r="AH57" i="15"/>
  <c r="AH58" i="15"/>
  <c r="AH59" i="15"/>
  <c r="AH62" i="15"/>
  <c r="AJ72" i="15"/>
  <c r="S86" i="15"/>
  <c r="S98" i="15"/>
  <c r="AI98" i="15"/>
  <c r="AK98" i="15" s="1"/>
  <c r="S99" i="15"/>
  <c r="AH104" i="15"/>
  <c r="AJ121" i="15"/>
  <c r="AI59" i="15"/>
  <c r="AI60" i="15"/>
  <c r="S14" i="15"/>
  <c r="AH16" i="15"/>
  <c r="AH17" i="15"/>
  <c r="AH24" i="15"/>
  <c r="AH27" i="15"/>
  <c r="AH28" i="15"/>
  <c r="AH29" i="15"/>
  <c r="AH30" i="15"/>
  <c r="AH31" i="15"/>
  <c r="S55" i="15"/>
  <c r="AH63" i="15"/>
  <c r="AH64" i="15"/>
  <c r="AH65" i="15"/>
  <c r="AH66" i="15"/>
  <c r="AH67" i="15"/>
  <c r="AH70" i="15"/>
  <c r="AJ70" i="15"/>
  <c r="AH77" i="15"/>
  <c r="S102" i="15"/>
  <c r="S106" i="15"/>
  <c r="AI106" i="15"/>
  <c r="S107" i="15"/>
  <c r="AI107" i="15"/>
  <c r="AI108" i="15"/>
  <c r="S109" i="15"/>
  <c r="AH113" i="15"/>
  <c r="AH114" i="15"/>
  <c r="AH115" i="15"/>
  <c r="AI23" i="15"/>
  <c r="AK23" i="15" s="1"/>
  <c r="AJ47" i="15"/>
  <c r="AJ50" i="15"/>
  <c r="AJ51" i="15"/>
  <c r="AJ52" i="15"/>
  <c r="AJ53" i="15"/>
  <c r="AK53" i="15" s="1"/>
  <c r="AI64" i="15"/>
  <c r="AI65" i="15"/>
  <c r="AK65" i="15" s="1"/>
  <c r="AI66" i="15"/>
  <c r="AK66" i="15" s="1"/>
  <c r="AI67" i="15"/>
  <c r="AK67" i="15" s="1"/>
  <c r="AI68" i="15"/>
  <c r="AJ87" i="15"/>
  <c r="AJ88" i="15"/>
  <c r="AJ97" i="15"/>
  <c r="AJ98" i="15"/>
  <c r="AJ99" i="15"/>
  <c r="AJ100" i="15"/>
  <c r="AI117" i="15"/>
  <c r="AI118" i="15"/>
  <c r="S19" i="15"/>
  <c r="S20" i="15"/>
  <c r="S23" i="15"/>
  <c r="AI31" i="15"/>
  <c r="AH43" i="15"/>
  <c r="AH44" i="15"/>
  <c r="AH45" i="15"/>
  <c r="AJ55" i="15"/>
  <c r="AK55" i="15" s="1"/>
  <c r="AI71" i="15"/>
  <c r="AK71" i="15" s="1"/>
  <c r="S72" i="15"/>
  <c r="AI72" i="15"/>
  <c r="S73" i="15"/>
  <c r="AI73" i="15"/>
  <c r="S74" i="15"/>
  <c r="AI74" i="15"/>
  <c r="S75" i="15"/>
  <c r="AI75" i="15"/>
  <c r="AI76" i="15"/>
  <c r="S77" i="15"/>
  <c r="AJ96" i="15"/>
  <c r="S113" i="15"/>
  <c r="S116" i="15"/>
  <c r="S117" i="15"/>
  <c r="BS73" i="15"/>
  <c r="AH3" i="15"/>
  <c r="AJ8" i="15"/>
  <c r="AJ14" i="15"/>
  <c r="AI16" i="15"/>
  <c r="AK16" i="15" s="1"/>
  <c r="S17" i="15"/>
  <c r="AI17" i="15"/>
  <c r="S18" i="15"/>
  <c r="AI18" i="15"/>
  <c r="AI19" i="15"/>
  <c r="AI20" i="15"/>
  <c r="S21" i="15"/>
  <c r="AI21" i="15"/>
  <c r="S22" i="15"/>
  <c r="AI22" i="15"/>
  <c r="AI39" i="15"/>
  <c r="AK39" i="15" s="1"/>
  <c r="AH40" i="15"/>
  <c r="AH41" i="15"/>
  <c r="AH42" i="15"/>
  <c r="AJ46" i="15"/>
  <c r="AK46" i="15" s="1"/>
  <c r="AJ48" i="15"/>
  <c r="AJ49" i="15"/>
  <c r="AJ62" i="15"/>
  <c r="AJ64" i="15"/>
  <c r="AK64" i="15" s="1"/>
  <c r="AJ78" i="15"/>
  <c r="AJ80" i="15"/>
  <c r="AJ83" i="15"/>
  <c r="AJ84" i="15"/>
  <c r="AI87" i="15"/>
  <c r="AI88" i="15"/>
  <c r="AK88" i="15" s="1"/>
  <c r="S89" i="15"/>
  <c r="AI89" i="15"/>
  <c r="AK89" i="15" s="1"/>
  <c r="AH90" i="15"/>
  <c r="AH91" i="15"/>
  <c r="AH94" i="15"/>
  <c r="AJ94" i="15"/>
  <c r="AJ101" i="15"/>
  <c r="S108" i="15"/>
  <c r="AI109" i="15"/>
  <c r="AI110" i="15"/>
  <c r="AK110" i="15" s="1"/>
  <c r="AH111" i="15"/>
  <c r="AJ118" i="15"/>
  <c r="AJ120" i="15"/>
  <c r="BT73" i="15"/>
  <c r="AH5" i="15"/>
  <c r="AJ34" i="15"/>
  <c r="AJ35" i="15"/>
  <c r="AJ36" i="15"/>
  <c r="AJ37" i="15"/>
  <c r="AI43" i="15"/>
  <c r="AI44" i="15"/>
  <c r="AK44" i="15" s="1"/>
  <c r="AI45" i="15"/>
  <c r="S60" i="15"/>
  <c r="AI61" i="15"/>
  <c r="AJ65" i="15"/>
  <c r="S76" i="15"/>
  <c r="AI77" i="15"/>
  <c r="AK77" i="15" s="1"/>
  <c r="AJ85" i="15"/>
  <c r="S90" i="15"/>
  <c r="AI90" i="15"/>
  <c r="S91" i="15"/>
  <c r="AI91" i="15"/>
  <c r="AI92" i="15"/>
  <c r="AH96" i="15"/>
  <c r="AJ102" i="15"/>
  <c r="AJ103" i="15"/>
  <c r="AI111" i="15"/>
  <c r="S112" i="15"/>
  <c r="AI112" i="15"/>
  <c r="AH116" i="15"/>
  <c r="BU74" i="15"/>
  <c r="AI3" i="15"/>
  <c r="AI4" i="15"/>
  <c r="S5" i="15"/>
  <c r="AI5" i="15"/>
  <c r="S6" i="15"/>
  <c r="AI6" i="15"/>
  <c r="AH10" i="15"/>
  <c r="AJ11" i="15"/>
  <c r="AH25" i="15"/>
  <c r="AH26" i="15"/>
  <c r="AJ32" i="15"/>
  <c r="AJ33" i="15"/>
  <c r="AJ38" i="15"/>
  <c r="AI46" i="15"/>
  <c r="AH51" i="15"/>
  <c r="AH52" i="15"/>
  <c r="AI62" i="15"/>
  <c r="AH68" i="15"/>
  <c r="AI78" i="15"/>
  <c r="AI93" i="15"/>
  <c r="AI94" i="15"/>
  <c r="AJ106" i="15"/>
  <c r="AK106" i="15" s="1"/>
  <c r="AJ107" i="15"/>
  <c r="AJ108" i="15"/>
  <c r="AK108" i="15" s="1"/>
  <c r="AI113" i="15"/>
  <c r="AH120" i="15"/>
  <c r="BN74" i="15"/>
  <c r="BV74" i="15"/>
  <c r="AI7" i="15"/>
  <c r="AH11" i="15"/>
  <c r="AH12" i="15"/>
  <c r="AH13" i="15"/>
  <c r="AH14" i="15"/>
  <c r="AJ17" i="15"/>
  <c r="AJ18" i="15"/>
  <c r="AJ19" i="15"/>
  <c r="AJ20" i="15"/>
  <c r="AJ21" i="15"/>
  <c r="AJ22" i="15"/>
  <c r="AI24" i="15"/>
  <c r="S25" i="15"/>
  <c r="AI25" i="15"/>
  <c r="S26" i="15"/>
  <c r="AI26" i="15"/>
  <c r="S27" i="15"/>
  <c r="AI27" i="15"/>
  <c r="AI28" i="15"/>
  <c r="AI29" i="15"/>
  <c r="S30" i="15"/>
  <c r="AI30" i="15"/>
  <c r="AI47" i="15"/>
  <c r="AH53" i="15"/>
  <c r="AJ58" i="15"/>
  <c r="AJ59" i="15"/>
  <c r="AK59" i="15" s="1"/>
  <c r="AJ60" i="15"/>
  <c r="AK60" i="15" s="1"/>
  <c r="AI63" i="15"/>
  <c r="AK63" i="15" s="1"/>
  <c r="AH69" i="15"/>
  <c r="AJ74" i="15"/>
  <c r="AK74" i="15" s="1"/>
  <c r="AJ75" i="15"/>
  <c r="AK75" i="15" s="1"/>
  <c r="AJ76" i="15"/>
  <c r="AK76" i="15" s="1"/>
  <c r="AI79" i="15"/>
  <c r="AK79" i="15" s="1"/>
  <c r="AH84" i="15"/>
  <c r="AI95" i="15"/>
  <c r="S96" i="15"/>
  <c r="AI96" i="15"/>
  <c r="S97" i="15"/>
  <c r="AI97" i="15"/>
  <c r="AK97" i="15" s="1"/>
  <c r="AH98" i="15"/>
  <c r="AH99" i="15"/>
  <c r="AH101" i="15"/>
  <c r="AH102" i="15"/>
  <c r="AJ109" i="15"/>
  <c r="S114" i="15"/>
  <c r="AI114" i="15"/>
  <c r="S115" i="15"/>
  <c r="AI115" i="15"/>
  <c r="AK115" i="15" s="1"/>
  <c r="AI116" i="15"/>
  <c r="BO74" i="15"/>
  <c r="AJ2" i="15"/>
  <c r="AK31" i="15"/>
  <c r="AJ42" i="15"/>
  <c r="AJ43" i="15"/>
  <c r="AJ44" i="15"/>
  <c r="AJ45" i="15"/>
  <c r="AK45" i="15" s="1"/>
  <c r="AK50" i="15"/>
  <c r="AK52" i="15"/>
  <c r="AJ61" i="15"/>
  <c r="AK68" i="15"/>
  <c r="AJ77" i="15"/>
  <c r="AK81" i="15"/>
  <c r="AJ90" i="15"/>
  <c r="AJ91" i="15"/>
  <c r="AJ92" i="15"/>
  <c r="AI99" i="15"/>
  <c r="AI100" i="15"/>
  <c r="AK100" i="15" s="1"/>
  <c r="AJ111" i="15"/>
  <c r="AI119" i="15"/>
  <c r="AI120" i="15"/>
  <c r="BP74" i="15"/>
  <c r="BX74" i="15"/>
  <c r="AJ5" i="15"/>
  <c r="AJ6" i="15"/>
  <c r="S8" i="15"/>
  <c r="AI11" i="15"/>
  <c r="AK11" i="15" s="1"/>
  <c r="AI12" i="15"/>
  <c r="AK12" i="15" s="1"/>
  <c r="AI13" i="15"/>
  <c r="AK13" i="15" s="1"/>
  <c r="AI14" i="15"/>
  <c r="AK14" i="15" s="1"/>
  <c r="AH32" i="15"/>
  <c r="AH33" i="15"/>
  <c r="AH34" i="15"/>
  <c r="AJ40" i="15"/>
  <c r="AK40" i="15" s="1"/>
  <c r="AJ41" i="15"/>
  <c r="AK41" i="15" s="1"/>
  <c r="AI53" i="15"/>
  <c r="AJ57" i="15"/>
  <c r="AK57" i="15" s="1"/>
  <c r="S68" i="15"/>
  <c r="AI69" i="15"/>
  <c r="AK69" i="15" s="1"/>
  <c r="AJ73" i="15"/>
  <c r="AI82" i="15"/>
  <c r="AI83" i="15"/>
  <c r="AK83" i="15" s="1"/>
  <c r="AI84" i="15"/>
  <c r="AK84" i="15" s="1"/>
  <c r="AJ86" i="15"/>
  <c r="AJ93" i="15"/>
  <c r="S100" i="15"/>
  <c r="AI101" i="15"/>
  <c r="AK101" i="15" s="1"/>
  <c r="AI102" i="15"/>
  <c r="AH103" i="15"/>
  <c r="AH105" i="15"/>
  <c r="AH108" i="15"/>
  <c r="AJ112" i="15"/>
  <c r="AI121" i="15"/>
  <c r="AK38" i="15"/>
  <c r="AK107" i="15"/>
  <c r="BQ74" i="15"/>
  <c r="BY74" i="15"/>
  <c r="AJ4" i="15"/>
  <c r="S12" i="15"/>
  <c r="AI15" i="15"/>
  <c r="AH18" i="15"/>
  <c r="AH19" i="15"/>
  <c r="AH20" i="15"/>
  <c r="AH21" i="15"/>
  <c r="AH22" i="15"/>
  <c r="AJ25" i="15"/>
  <c r="AJ26" i="15"/>
  <c r="AJ27" i="15"/>
  <c r="AJ28" i="15"/>
  <c r="AJ29" i="15"/>
  <c r="AJ30" i="15"/>
  <c r="AI32" i="15"/>
  <c r="S33" i="15"/>
  <c r="AI33" i="15"/>
  <c r="S34" i="15"/>
  <c r="AI34" i="15"/>
  <c r="S35" i="15"/>
  <c r="AI35" i="15"/>
  <c r="AI36" i="15"/>
  <c r="AK36" i="15" s="1"/>
  <c r="AI37" i="15"/>
  <c r="AH39" i="15"/>
  <c r="AI54" i="15"/>
  <c r="AH55" i="15"/>
  <c r="AH60" i="15"/>
  <c r="AI70" i="15"/>
  <c r="AH71" i="15"/>
  <c r="AH76" i="15"/>
  <c r="S84" i="15"/>
  <c r="AI85" i="15"/>
  <c r="AH88" i="15"/>
  <c r="AJ95" i="15"/>
  <c r="AI103" i="15"/>
  <c r="S104" i="15"/>
  <c r="AI104" i="15"/>
  <c r="AK104" i="15" s="1"/>
  <c r="S105" i="15"/>
  <c r="AI105" i="15"/>
  <c r="AH109" i="15"/>
  <c r="AH110" i="15"/>
  <c r="AJ114" i="15"/>
  <c r="AJ115" i="15"/>
  <c r="AJ116" i="15"/>
  <c r="S122" i="15"/>
  <c r="AI122" i="15"/>
  <c r="AK122" i="15" s="1"/>
  <c r="S123" i="15"/>
  <c r="AI123" i="15"/>
  <c r="AK123" i="15" s="1"/>
  <c r="AK61" i="15"/>
  <c r="AK78" i="15"/>
  <c r="AK24" i="15"/>
  <c r="AK9" i="15"/>
  <c r="AK10" i="15"/>
  <c r="AK48" i="15"/>
  <c r="AK99" i="15"/>
  <c r="AK117" i="15"/>
  <c r="AK118" i="15"/>
  <c r="AK119" i="15"/>
  <c r="AK82" i="15"/>
  <c r="AK102" i="15"/>
  <c r="S111" i="14"/>
  <c r="AK70" i="15"/>
  <c r="BU73" i="15"/>
  <c r="BS74" i="15"/>
  <c r="BN73" i="15"/>
  <c r="BV73" i="15"/>
  <c r="BT74" i="15"/>
  <c r="BO73" i="15"/>
  <c r="BW73" i="15"/>
  <c r="AH2" i="15"/>
  <c r="BP73" i="15"/>
  <c r="BX73" i="15"/>
  <c r="AI2" i="15"/>
  <c r="BQ73" i="15"/>
  <c r="BY73" i="15"/>
  <c r="BW74" i="15"/>
  <c r="BR73" i="15"/>
  <c r="BZ73" i="15"/>
  <c r="AK54" i="15" l="1"/>
  <c r="AK47" i="15"/>
  <c r="AK33" i="15"/>
  <c r="AK121" i="15"/>
  <c r="AK120" i="15"/>
  <c r="AK35" i="15"/>
  <c r="AK85" i="15"/>
  <c r="AK105" i="15"/>
  <c r="AK37" i="15"/>
  <c r="AK34" i="15"/>
  <c r="AK32" i="15"/>
  <c r="AK15" i="15"/>
  <c r="AK86" i="15"/>
  <c r="AK73" i="15"/>
  <c r="AK42" i="15"/>
  <c r="AK96" i="15"/>
  <c r="AK58" i="15"/>
  <c r="AK7" i="15"/>
  <c r="AK113" i="15"/>
  <c r="AK94" i="15"/>
  <c r="AK62" i="15"/>
  <c r="AK3" i="15"/>
  <c r="AK49" i="15"/>
  <c r="AK72" i="15"/>
  <c r="AK103" i="15"/>
  <c r="AK43" i="15"/>
  <c r="AK2" i="15"/>
  <c r="AK26" i="15"/>
  <c r="AK93" i="15"/>
  <c r="AK5" i="15"/>
  <c r="AK87" i="15"/>
  <c r="AK29" i="15"/>
  <c r="AK21" i="15"/>
  <c r="AK95" i="15"/>
  <c r="AK28" i="15"/>
  <c r="AK27" i="15"/>
  <c r="AK6" i="15"/>
  <c r="AK92" i="15"/>
  <c r="AK20" i="15"/>
  <c r="AK116" i="15"/>
  <c r="AK91" i="15"/>
  <c r="AK19" i="15"/>
  <c r="AK112" i="15"/>
  <c r="AK18" i="15"/>
  <c r="AK90" i="15"/>
  <c r="AK109" i="15"/>
  <c r="AK114" i="15"/>
  <c r="AK30" i="15"/>
  <c r="AK25" i="15"/>
  <c r="AK4" i="15"/>
  <c r="AK111" i="15"/>
  <c r="AK22" i="15"/>
  <c r="AK17" i="15"/>
  <c r="R145" i="9"/>
  <c r="S145" i="9" s="1"/>
  <c r="Q145" i="9"/>
  <c r="P145" i="9"/>
  <c r="R144" i="9"/>
  <c r="Q144" i="9"/>
  <c r="P144" i="9"/>
  <c r="R143" i="9"/>
  <c r="Q143" i="9"/>
  <c r="P143" i="9"/>
  <c r="R142" i="9"/>
  <c r="Q142" i="9"/>
  <c r="P142" i="9"/>
  <c r="S141" i="9"/>
  <c r="R141" i="9"/>
  <c r="Q141" i="9"/>
  <c r="P141" i="9"/>
  <c r="R140" i="9"/>
  <c r="Q140" i="9"/>
  <c r="S140" i="9" s="1"/>
  <c r="P140" i="9"/>
  <c r="R139" i="9"/>
  <c r="Q139" i="9"/>
  <c r="P139" i="9"/>
  <c r="R138" i="9"/>
  <c r="Q138" i="9"/>
  <c r="P138" i="9"/>
  <c r="R137" i="9"/>
  <c r="S137" i="9" s="1"/>
  <c r="Q137" i="9"/>
  <c r="P137" i="9"/>
  <c r="S136" i="9"/>
  <c r="R136" i="9"/>
  <c r="Q136" i="9"/>
  <c r="P136" i="9"/>
  <c r="R135" i="9"/>
  <c r="Q135" i="9"/>
  <c r="P135" i="9"/>
  <c r="R134" i="9"/>
  <c r="Q134" i="9"/>
  <c r="P134" i="9"/>
  <c r="S133" i="9"/>
  <c r="R133" i="9"/>
  <c r="Q133" i="9"/>
  <c r="P133" i="9"/>
  <c r="R132" i="9"/>
  <c r="Q132" i="9"/>
  <c r="P132" i="9"/>
  <c r="R131" i="9"/>
  <c r="Q131" i="9"/>
  <c r="P131" i="9"/>
  <c r="R130" i="9"/>
  <c r="Q130" i="9"/>
  <c r="P130" i="9"/>
  <c r="R129" i="9"/>
  <c r="S129" i="9" s="1"/>
  <c r="Q129" i="9"/>
  <c r="P129" i="9"/>
  <c r="R128" i="9"/>
  <c r="Q128" i="9"/>
  <c r="P128" i="9"/>
  <c r="R127" i="9"/>
  <c r="Q127" i="9"/>
  <c r="P127" i="9"/>
  <c r="R126" i="9"/>
  <c r="Q126" i="9"/>
  <c r="P126" i="9"/>
  <c r="R125" i="9"/>
  <c r="Q125" i="9"/>
  <c r="P125" i="9"/>
  <c r="S124" i="9"/>
  <c r="R124" i="9"/>
  <c r="Q124" i="9"/>
  <c r="P124" i="9"/>
  <c r="R123" i="9"/>
  <c r="Q123" i="9"/>
  <c r="P123" i="9"/>
  <c r="R122" i="9"/>
  <c r="Q122" i="9"/>
  <c r="P122" i="9"/>
  <c r="S121" i="9"/>
  <c r="R121" i="9"/>
  <c r="Q121" i="9"/>
  <c r="P121" i="9"/>
  <c r="R120" i="9"/>
  <c r="Q120" i="9"/>
  <c r="S120" i="9" s="1"/>
  <c r="P120" i="9"/>
  <c r="R119" i="9"/>
  <c r="Q119" i="9"/>
  <c r="S119" i="9" s="1"/>
  <c r="P119" i="9"/>
  <c r="R118" i="9"/>
  <c r="Q118" i="9"/>
  <c r="S118" i="9" s="1"/>
  <c r="P118" i="9"/>
  <c r="R117" i="9"/>
  <c r="Q117" i="9"/>
  <c r="P117" i="9"/>
  <c r="R116" i="9"/>
  <c r="Q116" i="9"/>
  <c r="P116" i="9"/>
  <c r="R115" i="9"/>
  <c r="Q115" i="9"/>
  <c r="P115" i="9"/>
  <c r="R114" i="9"/>
  <c r="Q114" i="9"/>
  <c r="P114" i="9"/>
  <c r="S113" i="9"/>
  <c r="R113" i="9"/>
  <c r="Q113" i="9"/>
  <c r="P113" i="9"/>
  <c r="R112" i="9"/>
  <c r="Q112" i="9"/>
  <c r="P112" i="9"/>
  <c r="R111" i="9"/>
  <c r="Q111" i="9"/>
  <c r="P111" i="9"/>
  <c r="S110" i="9"/>
  <c r="R110" i="9"/>
  <c r="Q110" i="9"/>
  <c r="P110" i="9"/>
  <c r="R109" i="9"/>
  <c r="Q109" i="9"/>
  <c r="P109" i="9"/>
  <c r="R108" i="9"/>
  <c r="Q108" i="9"/>
  <c r="P108" i="9"/>
  <c r="R107" i="9"/>
  <c r="Q107" i="9"/>
  <c r="P107" i="9"/>
  <c r="R106" i="9"/>
  <c r="Q106" i="9"/>
  <c r="P106" i="9"/>
  <c r="S105" i="9"/>
  <c r="R105" i="9"/>
  <c r="Q105" i="9"/>
  <c r="P105" i="9"/>
  <c r="R104" i="9"/>
  <c r="Q104" i="9"/>
  <c r="P104" i="9"/>
  <c r="R103" i="9"/>
  <c r="Q103" i="9"/>
  <c r="P103" i="9"/>
  <c r="S102" i="9"/>
  <c r="R102" i="9"/>
  <c r="Q102" i="9"/>
  <c r="P102" i="9"/>
  <c r="R101" i="9"/>
  <c r="Q101" i="9"/>
  <c r="S101" i="9" s="1"/>
  <c r="P101" i="9"/>
  <c r="R100" i="9"/>
  <c r="Q100" i="9"/>
  <c r="P100" i="9"/>
  <c r="R99" i="9"/>
  <c r="Q99" i="9"/>
  <c r="P99" i="9"/>
  <c r="R98" i="9"/>
  <c r="Q98" i="9"/>
  <c r="P98" i="9"/>
  <c r="S97" i="9"/>
  <c r="R97" i="9"/>
  <c r="Q97" i="9"/>
  <c r="P97" i="9"/>
  <c r="R96" i="9"/>
  <c r="Q96" i="9"/>
  <c r="P96" i="9"/>
  <c r="R95" i="9"/>
  <c r="Q95" i="9"/>
  <c r="P95" i="9"/>
  <c r="R94" i="9"/>
  <c r="Q94" i="9"/>
  <c r="P94" i="9"/>
  <c r="S93" i="9"/>
  <c r="R93" i="9"/>
  <c r="Q93" i="9"/>
  <c r="P93" i="9"/>
  <c r="R92" i="9"/>
  <c r="Q92" i="9"/>
  <c r="S92" i="9" s="1"/>
  <c r="P92" i="9"/>
  <c r="R91" i="9"/>
  <c r="Q91" i="9"/>
  <c r="S91" i="9" s="1"/>
  <c r="P91" i="9"/>
  <c r="R90" i="9"/>
  <c r="Q90" i="9"/>
  <c r="P90" i="9"/>
  <c r="R89" i="9"/>
  <c r="Q89" i="9"/>
  <c r="S89" i="9" s="1"/>
  <c r="P89" i="9"/>
  <c r="R88" i="9"/>
  <c r="Q88" i="9"/>
  <c r="S88" i="9" s="1"/>
  <c r="P88" i="9"/>
  <c r="R87" i="9"/>
  <c r="Q87" i="9"/>
  <c r="S87" i="9" s="1"/>
  <c r="P87" i="9"/>
  <c r="R86" i="9"/>
  <c r="Q86" i="9"/>
  <c r="P86" i="9"/>
  <c r="R85" i="9"/>
  <c r="Q85" i="9"/>
  <c r="P85" i="9"/>
  <c r="R84" i="9"/>
  <c r="Q84" i="9"/>
  <c r="P84" i="9"/>
  <c r="R83" i="9"/>
  <c r="Q83" i="9"/>
  <c r="P83" i="9"/>
  <c r="S82" i="9"/>
  <c r="R82" i="9"/>
  <c r="Q82" i="9"/>
  <c r="P82" i="9"/>
  <c r="S81" i="9"/>
  <c r="R81" i="9"/>
  <c r="Q81" i="9"/>
  <c r="P81" i="9"/>
  <c r="R80" i="9"/>
  <c r="Q80" i="9"/>
  <c r="S80" i="9" s="1"/>
  <c r="P80" i="9"/>
  <c r="R79" i="9"/>
  <c r="Q79" i="9"/>
  <c r="S79" i="9" s="1"/>
  <c r="P79" i="9"/>
  <c r="R78" i="9"/>
  <c r="Q78" i="9"/>
  <c r="P78" i="9"/>
  <c r="R77" i="9"/>
  <c r="Q77" i="9"/>
  <c r="S77" i="9" s="1"/>
  <c r="P77" i="9"/>
  <c r="R76" i="9"/>
  <c r="Q76" i="9"/>
  <c r="S76" i="9" s="1"/>
  <c r="P76" i="9"/>
  <c r="R75" i="9"/>
  <c r="Q75" i="9"/>
  <c r="S75" i="9" s="1"/>
  <c r="P75" i="9"/>
  <c r="S74" i="9"/>
  <c r="R74" i="9"/>
  <c r="Q74" i="9"/>
  <c r="P74" i="9"/>
  <c r="S73" i="9"/>
  <c r="R73" i="9"/>
  <c r="Q73" i="9"/>
  <c r="P73" i="9"/>
  <c r="R72" i="9"/>
  <c r="Q72" i="9"/>
  <c r="S72" i="9" s="1"/>
  <c r="P72" i="9"/>
  <c r="R71" i="9"/>
  <c r="Q71" i="9"/>
  <c r="S71" i="9" s="1"/>
  <c r="P71" i="9"/>
  <c r="R70" i="9"/>
  <c r="Q70" i="9"/>
  <c r="P70" i="9"/>
  <c r="R69" i="9"/>
  <c r="Q69" i="9"/>
  <c r="S69" i="9" s="1"/>
  <c r="P69" i="9"/>
  <c r="R68" i="9"/>
  <c r="Q68" i="9"/>
  <c r="S68" i="9" s="1"/>
  <c r="P68" i="9"/>
  <c r="R67" i="9"/>
  <c r="Q67" i="9"/>
  <c r="S67" i="9" s="1"/>
  <c r="P67" i="9"/>
  <c r="S66" i="9"/>
  <c r="R66" i="9"/>
  <c r="Q66" i="9"/>
  <c r="P66" i="9"/>
  <c r="R65" i="9"/>
  <c r="S65" i="9" s="1"/>
  <c r="Q65" i="9"/>
  <c r="P65" i="9"/>
  <c r="R64" i="9"/>
  <c r="Q64" i="9"/>
  <c r="P64" i="9"/>
  <c r="R63" i="9"/>
  <c r="Q63" i="9"/>
  <c r="P63" i="9"/>
  <c r="R62" i="9"/>
  <c r="S62" i="9" s="1"/>
  <c r="Q62" i="9"/>
  <c r="P62" i="9"/>
  <c r="R61" i="9"/>
  <c r="Q61" i="9"/>
  <c r="P61" i="9"/>
  <c r="R60" i="9"/>
  <c r="Q60" i="9"/>
  <c r="P60" i="9"/>
  <c r="R59" i="9"/>
  <c r="Q59" i="9"/>
  <c r="P59" i="9"/>
  <c r="R58" i="9"/>
  <c r="Q58" i="9"/>
  <c r="S58" i="9" s="1"/>
  <c r="P58" i="9"/>
  <c r="R57" i="9"/>
  <c r="Q57" i="9"/>
  <c r="S57" i="9" s="1"/>
  <c r="P57" i="9"/>
  <c r="R56" i="9"/>
  <c r="Q56" i="9"/>
  <c r="P56" i="9"/>
  <c r="R55" i="9"/>
  <c r="Q55" i="9"/>
  <c r="P55" i="9"/>
  <c r="S54" i="9"/>
  <c r="R54" i="9"/>
  <c r="Q54" i="9"/>
  <c r="P54" i="9"/>
  <c r="R53" i="9"/>
  <c r="Q53" i="9"/>
  <c r="S53" i="9" s="1"/>
  <c r="P53" i="9"/>
  <c r="R52" i="9"/>
  <c r="Q52" i="9"/>
  <c r="S52" i="9" s="1"/>
  <c r="P52" i="9"/>
  <c r="R51" i="9"/>
  <c r="S51" i="9" s="1"/>
  <c r="Q51" i="9"/>
  <c r="P51" i="9"/>
  <c r="R50" i="9"/>
  <c r="Q50" i="9"/>
  <c r="S50" i="9" s="1"/>
  <c r="P50" i="9"/>
  <c r="R49" i="9"/>
  <c r="Q49" i="9"/>
  <c r="S49" i="9" s="1"/>
  <c r="P49" i="9"/>
  <c r="R48" i="9"/>
  <c r="Q48" i="9"/>
  <c r="S48" i="9" s="1"/>
  <c r="P48" i="9"/>
  <c r="R47" i="9"/>
  <c r="Q47" i="9"/>
  <c r="S47" i="9" s="1"/>
  <c r="P47" i="9"/>
  <c r="R46" i="9"/>
  <c r="Q46" i="9"/>
  <c r="S46" i="9" s="1"/>
  <c r="P46" i="9"/>
  <c r="R45" i="9"/>
  <c r="Q45" i="9"/>
  <c r="P45" i="9"/>
  <c r="R44" i="9"/>
  <c r="Q44" i="9"/>
  <c r="P44" i="9"/>
  <c r="R43" i="9"/>
  <c r="S43" i="9" s="1"/>
  <c r="Q43" i="9"/>
  <c r="P43" i="9"/>
  <c r="R42" i="9"/>
  <c r="Q42" i="9"/>
  <c r="S42" i="9" s="1"/>
  <c r="P42" i="9"/>
  <c r="R41" i="9"/>
  <c r="Q41" i="9"/>
  <c r="S41" i="9" s="1"/>
  <c r="P41" i="9"/>
  <c r="R40" i="9"/>
  <c r="Q40" i="9"/>
  <c r="P40" i="9"/>
  <c r="R39" i="9"/>
  <c r="Q39" i="9"/>
  <c r="P39" i="9"/>
  <c r="S38" i="9"/>
  <c r="R38" i="9"/>
  <c r="Q38" i="9"/>
  <c r="P38" i="9"/>
  <c r="R37" i="9"/>
  <c r="Q37" i="9"/>
  <c r="S37" i="9" s="1"/>
  <c r="P37" i="9"/>
  <c r="R36" i="9"/>
  <c r="Q36" i="9"/>
  <c r="S36" i="9" s="1"/>
  <c r="P36" i="9"/>
  <c r="R35" i="9"/>
  <c r="S35" i="9" s="1"/>
  <c r="Q35" i="9"/>
  <c r="P35" i="9"/>
  <c r="R34" i="9"/>
  <c r="Q34" i="9"/>
  <c r="S34" i="9" s="1"/>
  <c r="P34" i="9"/>
  <c r="R33" i="9"/>
  <c r="Q33" i="9"/>
  <c r="S33" i="9" s="1"/>
  <c r="P33" i="9"/>
  <c r="R32" i="9"/>
  <c r="Q32" i="9"/>
  <c r="S32" i="9" s="1"/>
  <c r="P32" i="9"/>
  <c r="R31" i="9"/>
  <c r="Q31" i="9"/>
  <c r="P31" i="9"/>
  <c r="R30" i="9"/>
  <c r="Q30" i="9"/>
  <c r="S30" i="9" s="1"/>
  <c r="P30" i="9"/>
  <c r="R29" i="9"/>
  <c r="Q29" i="9"/>
  <c r="P29" i="9"/>
  <c r="R28" i="9"/>
  <c r="Q28" i="9"/>
  <c r="P28" i="9"/>
  <c r="S27" i="9"/>
  <c r="R27" i="9"/>
  <c r="Q27" i="9"/>
  <c r="P27" i="9"/>
  <c r="R26" i="9"/>
  <c r="S26" i="9" s="1"/>
  <c r="Q26" i="9"/>
  <c r="P26" i="9"/>
  <c r="R25" i="9"/>
  <c r="Q25" i="9"/>
  <c r="P25" i="9"/>
  <c r="R24" i="9"/>
  <c r="Q24" i="9"/>
  <c r="P24" i="9"/>
  <c r="R23" i="9"/>
  <c r="Q23" i="9"/>
  <c r="P23" i="9"/>
  <c r="R22" i="9"/>
  <c r="Q22" i="9"/>
  <c r="S22" i="9" s="1"/>
  <c r="P22" i="9"/>
  <c r="R21" i="9"/>
  <c r="Q21" i="9"/>
  <c r="S21" i="9" s="1"/>
  <c r="P21" i="9"/>
  <c r="R20" i="9"/>
  <c r="Q20" i="9"/>
  <c r="S20" i="9" s="1"/>
  <c r="P20" i="9"/>
  <c r="R19" i="9"/>
  <c r="Q19" i="9"/>
  <c r="S19" i="9" s="1"/>
  <c r="P19" i="9"/>
  <c r="S18" i="9"/>
  <c r="R18" i="9"/>
  <c r="Q18" i="9"/>
  <c r="P18" i="9"/>
  <c r="R17" i="9"/>
  <c r="Q17" i="9"/>
  <c r="S17" i="9" s="1"/>
  <c r="P17" i="9"/>
  <c r="R16" i="9"/>
  <c r="Q16" i="9"/>
  <c r="S16" i="9" s="1"/>
  <c r="P16" i="9"/>
  <c r="R15" i="9"/>
  <c r="Q15" i="9"/>
  <c r="P15" i="9"/>
  <c r="R14" i="9"/>
  <c r="S14" i="9" s="1"/>
  <c r="Q14" i="9"/>
  <c r="P14" i="9"/>
  <c r="R13" i="9"/>
  <c r="Q13" i="9"/>
  <c r="P13" i="9"/>
  <c r="R12" i="9"/>
  <c r="Q12" i="9"/>
  <c r="P12" i="9"/>
  <c r="R11" i="9"/>
  <c r="Q11" i="9"/>
  <c r="P11" i="9"/>
  <c r="R10" i="9"/>
  <c r="Q10" i="9"/>
  <c r="S10" i="9" s="1"/>
  <c r="P10" i="9"/>
  <c r="R9" i="9"/>
  <c r="Q9" i="9"/>
  <c r="S9" i="9" s="1"/>
  <c r="P9" i="9"/>
  <c r="R8" i="9"/>
  <c r="Q8" i="9"/>
  <c r="P8" i="9"/>
  <c r="R7" i="9"/>
  <c r="Q7" i="9"/>
  <c r="S7" i="9" s="1"/>
  <c r="P7" i="9"/>
  <c r="R6" i="9"/>
  <c r="Q6" i="9"/>
  <c r="S6" i="9" s="1"/>
  <c r="P6" i="9"/>
  <c r="S5" i="9"/>
  <c r="R5" i="9"/>
  <c r="Q5" i="9"/>
  <c r="P5" i="9"/>
  <c r="R4" i="9"/>
  <c r="S4" i="9" s="1"/>
  <c r="Q4" i="9"/>
  <c r="P4" i="9"/>
  <c r="R3" i="9"/>
  <c r="Q3" i="9"/>
  <c r="S3" i="9" s="1"/>
  <c r="P3" i="9"/>
  <c r="R2" i="9"/>
  <c r="Q2" i="9"/>
  <c r="P2" i="9"/>
  <c r="R145" i="8"/>
  <c r="Q145" i="8"/>
  <c r="S145" i="8" s="1"/>
  <c r="P145" i="8"/>
  <c r="R144" i="8"/>
  <c r="Q144" i="8"/>
  <c r="P144" i="8"/>
  <c r="R143" i="8"/>
  <c r="Q143" i="8"/>
  <c r="S143" i="8" s="1"/>
  <c r="P143" i="8"/>
  <c r="R142" i="8"/>
  <c r="Q142" i="8"/>
  <c r="P142" i="8"/>
  <c r="R141" i="8"/>
  <c r="Q141" i="8"/>
  <c r="P141" i="8"/>
  <c r="R140" i="8"/>
  <c r="Q140" i="8"/>
  <c r="P140" i="8"/>
  <c r="R139" i="8"/>
  <c r="Q139" i="8"/>
  <c r="P139" i="8"/>
  <c r="R138" i="8"/>
  <c r="Q138" i="8"/>
  <c r="P138" i="8"/>
  <c r="R137" i="8"/>
  <c r="Q137" i="8"/>
  <c r="S137" i="8" s="1"/>
  <c r="P137" i="8"/>
  <c r="R136" i="8"/>
  <c r="Q136" i="8"/>
  <c r="P136" i="8"/>
  <c r="R135" i="8"/>
  <c r="Q135" i="8"/>
  <c r="P135" i="8"/>
  <c r="R134" i="8"/>
  <c r="Q134" i="8"/>
  <c r="P134" i="8"/>
  <c r="R133" i="8"/>
  <c r="Q133" i="8"/>
  <c r="S133" i="8" s="1"/>
  <c r="P133" i="8"/>
  <c r="R132" i="8"/>
  <c r="Q132" i="8"/>
  <c r="P132" i="8"/>
  <c r="R131" i="8"/>
  <c r="Q131" i="8"/>
  <c r="P131" i="8"/>
  <c r="R130" i="8"/>
  <c r="Q130" i="8"/>
  <c r="P130" i="8"/>
  <c r="R129" i="8"/>
  <c r="Q129" i="8"/>
  <c r="S129" i="8" s="1"/>
  <c r="P129" i="8"/>
  <c r="R128" i="8"/>
  <c r="Q128" i="8"/>
  <c r="P128" i="8"/>
  <c r="R127" i="8"/>
  <c r="Q127" i="8"/>
  <c r="S127" i="8" s="1"/>
  <c r="P127" i="8"/>
  <c r="R126" i="8"/>
  <c r="Q126" i="8"/>
  <c r="P126" i="8"/>
  <c r="R125" i="8"/>
  <c r="Q125" i="8"/>
  <c r="P125" i="8"/>
  <c r="R124" i="8"/>
  <c r="Q124" i="8"/>
  <c r="P124" i="8"/>
  <c r="R123" i="8"/>
  <c r="Q123" i="8"/>
  <c r="P123" i="8"/>
  <c r="R122" i="8"/>
  <c r="Q122" i="8"/>
  <c r="P122" i="8"/>
  <c r="R121" i="8"/>
  <c r="Q121" i="8"/>
  <c r="S121" i="8" s="1"/>
  <c r="P121" i="8"/>
  <c r="R120" i="8"/>
  <c r="Q120" i="8"/>
  <c r="P120" i="8"/>
  <c r="R119" i="8"/>
  <c r="Q119" i="8"/>
  <c r="S119" i="8" s="1"/>
  <c r="P119" i="8"/>
  <c r="R118" i="8"/>
  <c r="Q118" i="8"/>
  <c r="P118" i="8"/>
  <c r="R117" i="8"/>
  <c r="Q117" i="8"/>
  <c r="P117" i="8"/>
  <c r="R116" i="8"/>
  <c r="Q116" i="8"/>
  <c r="P116" i="8"/>
  <c r="R115" i="8"/>
  <c r="Q115" i="8"/>
  <c r="S115" i="8" s="1"/>
  <c r="P115" i="8"/>
  <c r="R114" i="8"/>
  <c r="Q114" i="8"/>
  <c r="P114" i="8"/>
  <c r="R113" i="8"/>
  <c r="Q113" i="8"/>
  <c r="S113" i="8" s="1"/>
  <c r="P113" i="8"/>
  <c r="R112" i="8"/>
  <c r="Q112" i="8"/>
  <c r="P112" i="8"/>
  <c r="R111" i="8"/>
  <c r="Q111" i="8"/>
  <c r="S111" i="8" s="1"/>
  <c r="P111" i="8"/>
  <c r="R110" i="8"/>
  <c r="Q110" i="8"/>
  <c r="P110" i="8"/>
  <c r="R109" i="8"/>
  <c r="Q109" i="8"/>
  <c r="P109" i="8"/>
  <c r="R108" i="8"/>
  <c r="Q108" i="8"/>
  <c r="P108" i="8"/>
  <c r="R107" i="8"/>
  <c r="Q107" i="8"/>
  <c r="S107" i="8" s="1"/>
  <c r="P107" i="8"/>
  <c r="R106" i="8"/>
  <c r="Q106" i="8"/>
  <c r="P106" i="8"/>
  <c r="R105" i="8"/>
  <c r="Q105" i="8"/>
  <c r="P105" i="8"/>
  <c r="R104" i="8"/>
  <c r="Q104" i="8"/>
  <c r="P104" i="8"/>
  <c r="R103" i="8"/>
  <c r="Q103" i="8"/>
  <c r="P103" i="8"/>
  <c r="R102" i="8"/>
  <c r="Q102" i="8"/>
  <c r="P102" i="8"/>
  <c r="R101" i="8"/>
  <c r="Q101" i="8"/>
  <c r="P101" i="8"/>
  <c r="R100" i="8"/>
  <c r="Q100" i="8"/>
  <c r="P100" i="8"/>
  <c r="R99" i="8"/>
  <c r="Q99" i="8"/>
  <c r="S99" i="8" s="1"/>
  <c r="P99" i="8"/>
  <c r="R98" i="8"/>
  <c r="Q98" i="8"/>
  <c r="P98" i="8"/>
  <c r="R97" i="8"/>
  <c r="Q97" i="8"/>
  <c r="P97" i="8"/>
  <c r="R96" i="8"/>
  <c r="Q96" i="8"/>
  <c r="P96" i="8"/>
  <c r="R95" i="8"/>
  <c r="Q95" i="8"/>
  <c r="P95" i="8"/>
  <c r="R94" i="8"/>
  <c r="Q94" i="8"/>
  <c r="P94" i="8"/>
  <c r="R93" i="8"/>
  <c r="Q93" i="8"/>
  <c r="P93" i="8"/>
  <c r="R92" i="8"/>
  <c r="Q92" i="8"/>
  <c r="P92" i="8"/>
  <c r="R91" i="8"/>
  <c r="Q91" i="8"/>
  <c r="S91" i="8" s="1"/>
  <c r="P91" i="8"/>
  <c r="R90" i="8"/>
  <c r="Q90" i="8"/>
  <c r="P90" i="8"/>
  <c r="R89" i="8"/>
  <c r="Q89" i="8"/>
  <c r="P89" i="8"/>
  <c r="R88" i="8"/>
  <c r="Q88" i="8"/>
  <c r="P88" i="8"/>
  <c r="R87" i="8"/>
  <c r="Q87" i="8"/>
  <c r="S87" i="8" s="1"/>
  <c r="P87" i="8"/>
  <c r="R86" i="8"/>
  <c r="Q86" i="8"/>
  <c r="P86" i="8"/>
  <c r="R85" i="8"/>
  <c r="Q85" i="8"/>
  <c r="P85" i="8"/>
  <c r="R84" i="8"/>
  <c r="Q84" i="8"/>
  <c r="P84" i="8"/>
  <c r="R83" i="8"/>
  <c r="Q83" i="8"/>
  <c r="S83" i="8" s="1"/>
  <c r="P83" i="8"/>
  <c r="R82" i="8"/>
  <c r="Q82" i="8"/>
  <c r="P82" i="8"/>
  <c r="R81" i="8"/>
  <c r="Q81" i="8"/>
  <c r="P81" i="8"/>
  <c r="R80" i="8"/>
  <c r="Q80" i="8"/>
  <c r="P80" i="8"/>
  <c r="R79" i="8"/>
  <c r="Q79" i="8"/>
  <c r="S79" i="8" s="1"/>
  <c r="P79" i="8"/>
  <c r="R78" i="8"/>
  <c r="Q78" i="8"/>
  <c r="P78" i="8"/>
  <c r="R77" i="8"/>
  <c r="Q77" i="8"/>
  <c r="P77" i="8"/>
  <c r="R76" i="8"/>
  <c r="Q76" i="8"/>
  <c r="P76" i="8"/>
  <c r="R75" i="8"/>
  <c r="Q75" i="8"/>
  <c r="S75" i="8" s="1"/>
  <c r="P75" i="8"/>
  <c r="R74" i="8"/>
  <c r="Q74" i="8"/>
  <c r="P74" i="8"/>
  <c r="R73" i="8"/>
  <c r="Q73" i="8"/>
  <c r="P73" i="8"/>
  <c r="R72" i="8"/>
  <c r="Q72" i="8"/>
  <c r="P72" i="8"/>
  <c r="R71" i="8"/>
  <c r="Q71" i="8"/>
  <c r="S71" i="8" s="1"/>
  <c r="P71" i="8"/>
  <c r="R70" i="8"/>
  <c r="Q70" i="8"/>
  <c r="P70" i="8"/>
  <c r="R69" i="8"/>
  <c r="Q69" i="8"/>
  <c r="P69" i="8"/>
  <c r="R68" i="8"/>
  <c r="Q68" i="8"/>
  <c r="P68" i="8"/>
  <c r="R67" i="8"/>
  <c r="Q67" i="8"/>
  <c r="P67" i="8"/>
  <c r="R66" i="8"/>
  <c r="Q66" i="8"/>
  <c r="P66" i="8"/>
  <c r="R65" i="8"/>
  <c r="Q65" i="8"/>
  <c r="P65" i="8"/>
  <c r="R64" i="8"/>
  <c r="Q64" i="8"/>
  <c r="P64" i="8"/>
  <c r="R63" i="8"/>
  <c r="Q63" i="8"/>
  <c r="P63" i="8"/>
  <c r="R62" i="8"/>
  <c r="Q62" i="8"/>
  <c r="P62" i="8"/>
  <c r="R61" i="8"/>
  <c r="Q61" i="8"/>
  <c r="S61" i="8" s="1"/>
  <c r="P61" i="8"/>
  <c r="R60" i="8"/>
  <c r="Q60" i="8"/>
  <c r="P60" i="8"/>
  <c r="R59" i="8"/>
  <c r="Q59" i="8"/>
  <c r="P59" i="8"/>
  <c r="R58" i="8"/>
  <c r="Q58" i="8"/>
  <c r="P58" i="8"/>
  <c r="R57" i="8"/>
  <c r="Q57" i="8"/>
  <c r="P57" i="8"/>
  <c r="R56" i="8"/>
  <c r="Q56" i="8"/>
  <c r="P56" i="8"/>
  <c r="R55" i="8"/>
  <c r="Q55" i="8"/>
  <c r="S55" i="8" s="1"/>
  <c r="P55" i="8"/>
  <c r="R54" i="8"/>
  <c r="Q54" i="8"/>
  <c r="P54" i="8"/>
  <c r="R53" i="8"/>
  <c r="Q53" i="8"/>
  <c r="S53" i="8" s="1"/>
  <c r="P53" i="8"/>
  <c r="R52" i="8"/>
  <c r="Q52" i="8"/>
  <c r="P52" i="8"/>
  <c r="R51" i="8"/>
  <c r="Q51" i="8"/>
  <c r="S51" i="8" s="1"/>
  <c r="P51" i="8"/>
  <c r="R50" i="8"/>
  <c r="Q50" i="8"/>
  <c r="S50" i="8" s="1"/>
  <c r="P50" i="8"/>
  <c r="R49" i="8"/>
  <c r="Q49" i="8"/>
  <c r="P49" i="8"/>
  <c r="R48" i="8"/>
  <c r="Q48" i="8"/>
  <c r="S48" i="8" s="1"/>
  <c r="P48" i="8"/>
  <c r="R47" i="8"/>
  <c r="Q47" i="8"/>
  <c r="P47" i="8"/>
  <c r="R46" i="8"/>
  <c r="Q46" i="8"/>
  <c r="P46" i="8"/>
  <c r="R45" i="8"/>
  <c r="Q45" i="8"/>
  <c r="P45" i="8"/>
  <c r="R44" i="8"/>
  <c r="Q44" i="8"/>
  <c r="S44" i="8" s="1"/>
  <c r="P44" i="8"/>
  <c r="R43" i="8"/>
  <c r="Q43" i="8"/>
  <c r="P43" i="8"/>
  <c r="R42" i="8"/>
  <c r="Q42" i="8"/>
  <c r="P42" i="8"/>
  <c r="R41" i="8"/>
  <c r="S41" i="8" s="1"/>
  <c r="Q41" i="8"/>
  <c r="P41" i="8"/>
  <c r="R40" i="8"/>
  <c r="Q40" i="8"/>
  <c r="S40" i="8" s="1"/>
  <c r="P40" i="8"/>
  <c r="R39" i="8"/>
  <c r="Q39" i="8"/>
  <c r="P39" i="8"/>
  <c r="R38" i="8"/>
  <c r="Q38" i="8"/>
  <c r="P38" i="8"/>
  <c r="R37" i="8"/>
  <c r="Q37" i="8"/>
  <c r="P37" i="8"/>
  <c r="R36" i="8"/>
  <c r="Q36" i="8"/>
  <c r="S36" i="8" s="1"/>
  <c r="P36" i="8"/>
  <c r="R35" i="8"/>
  <c r="Q35" i="8"/>
  <c r="P35" i="8"/>
  <c r="R34" i="8"/>
  <c r="Q34" i="8"/>
  <c r="S34" i="8" s="1"/>
  <c r="P34" i="8"/>
  <c r="R33" i="8"/>
  <c r="S33" i="8" s="1"/>
  <c r="Q33" i="8"/>
  <c r="P33" i="8"/>
  <c r="R32" i="8"/>
  <c r="Q32" i="8"/>
  <c r="S32" i="8" s="1"/>
  <c r="P32" i="8"/>
  <c r="R31" i="8"/>
  <c r="Q31" i="8"/>
  <c r="P31" i="8"/>
  <c r="R30" i="8"/>
  <c r="Q30" i="8"/>
  <c r="S30" i="8" s="1"/>
  <c r="P30" i="8"/>
  <c r="R29" i="8"/>
  <c r="Q29" i="8"/>
  <c r="P29" i="8"/>
  <c r="R28" i="8"/>
  <c r="Q28" i="8"/>
  <c r="P28" i="8"/>
  <c r="R27" i="8"/>
  <c r="Q27" i="8"/>
  <c r="P27" i="8"/>
  <c r="R26" i="8"/>
  <c r="Q26" i="8"/>
  <c r="P26" i="8"/>
  <c r="R25" i="8"/>
  <c r="Q25" i="8"/>
  <c r="P25" i="8"/>
  <c r="R24" i="8"/>
  <c r="Q24" i="8"/>
  <c r="S24" i="8" s="1"/>
  <c r="P24" i="8"/>
  <c r="R23" i="8"/>
  <c r="Q23" i="8"/>
  <c r="P23" i="8"/>
  <c r="R22" i="8"/>
  <c r="Q22" i="8"/>
  <c r="S22" i="8" s="1"/>
  <c r="P22" i="8"/>
  <c r="R21" i="8"/>
  <c r="Q21" i="8"/>
  <c r="P21" i="8"/>
  <c r="R20" i="8"/>
  <c r="Q20" i="8"/>
  <c r="P20" i="8"/>
  <c r="R19" i="8"/>
  <c r="Q19" i="8"/>
  <c r="P19" i="8"/>
  <c r="R18" i="8"/>
  <c r="Q18" i="8"/>
  <c r="P18" i="8"/>
  <c r="R17" i="8"/>
  <c r="Q17" i="8"/>
  <c r="P17" i="8"/>
  <c r="R16" i="8"/>
  <c r="Q16" i="8"/>
  <c r="P16" i="8"/>
  <c r="R15" i="8"/>
  <c r="Q15" i="8"/>
  <c r="P15" i="8"/>
  <c r="R14" i="8"/>
  <c r="Q14" i="8"/>
  <c r="S14" i="8" s="1"/>
  <c r="P14" i="8"/>
  <c r="R13" i="8"/>
  <c r="Q13" i="8"/>
  <c r="P13" i="8"/>
  <c r="R12" i="8"/>
  <c r="Q12" i="8"/>
  <c r="P12" i="8"/>
  <c r="R11" i="8"/>
  <c r="Q11" i="8"/>
  <c r="P11" i="8"/>
  <c r="R10" i="8"/>
  <c r="Q10" i="8"/>
  <c r="S10" i="8" s="1"/>
  <c r="P10" i="8"/>
  <c r="R9" i="8"/>
  <c r="Q9" i="8"/>
  <c r="P9" i="8"/>
  <c r="R8" i="8"/>
  <c r="Q8" i="8"/>
  <c r="S8" i="8" s="1"/>
  <c r="P8" i="8"/>
  <c r="R7" i="8"/>
  <c r="Q7" i="8"/>
  <c r="P7" i="8"/>
  <c r="R6" i="8"/>
  <c r="Q6" i="8"/>
  <c r="S6" i="8" s="1"/>
  <c r="P6" i="8"/>
  <c r="R5" i="8"/>
  <c r="Q5" i="8"/>
  <c r="P5" i="8"/>
  <c r="R4" i="8"/>
  <c r="Q4" i="8"/>
  <c r="P4" i="8"/>
  <c r="R3" i="8"/>
  <c r="Q3" i="8"/>
  <c r="P3" i="8"/>
  <c r="R2" i="8"/>
  <c r="Q2" i="8"/>
  <c r="P2" i="8"/>
  <c r="S9" i="8" l="1"/>
  <c r="S13" i="8"/>
  <c r="S37" i="8"/>
  <c r="S45" i="8"/>
  <c r="S54" i="8"/>
  <c r="S62" i="8"/>
  <c r="S66" i="8"/>
  <c r="S67" i="8"/>
  <c r="S70" i="8"/>
  <c r="S78" i="8"/>
  <c r="S82" i="8"/>
  <c r="S102" i="8"/>
  <c r="S134" i="8"/>
  <c r="S2" i="9"/>
  <c r="S8" i="9"/>
  <c r="S11" i="9"/>
  <c r="S12" i="9"/>
  <c r="S13" i="9"/>
  <c r="S23" i="9"/>
  <c r="S24" i="9"/>
  <c r="S25" i="9"/>
  <c r="S31" i="9"/>
  <c r="S59" i="9"/>
  <c r="S60" i="9"/>
  <c r="S61" i="9"/>
  <c r="S63" i="9"/>
  <c r="S64" i="9"/>
  <c r="S100" i="9"/>
  <c r="S116" i="9"/>
  <c r="S11" i="8"/>
  <c r="S15" i="8"/>
  <c r="S19" i="8"/>
  <c r="S23" i="8"/>
  <c r="S27" i="8"/>
  <c r="S35" i="8"/>
  <c r="S39" i="8"/>
  <c r="S68" i="8"/>
  <c r="S76" i="8"/>
  <c r="S81" i="8"/>
  <c r="S84" i="8"/>
  <c r="S88" i="8"/>
  <c r="S92" i="8"/>
  <c r="S96" i="8"/>
  <c r="S104" i="8"/>
  <c r="S112" i="8"/>
  <c r="S120" i="8"/>
  <c r="S128" i="8"/>
  <c r="S132" i="8"/>
  <c r="S144" i="8"/>
  <c r="S15" i="9"/>
  <c r="S28" i="9"/>
  <c r="S29" i="9"/>
  <c r="S39" i="9"/>
  <c r="S40" i="9"/>
  <c r="S44" i="9"/>
  <c r="S45" i="9"/>
  <c r="S55" i="9"/>
  <c r="S56" i="9"/>
  <c r="S83" i="9"/>
  <c r="S85" i="9"/>
  <c r="S108" i="9"/>
  <c r="S109" i="9"/>
  <c r="S132" i="9"/>
  <c r="S86" i="9"/>
  <c r="S117" i="9"/>
  <c r="S70" i="9"/>
  <c r="S78" i="9"/>
  <c r="S90" i="9"/>
  <c r="S94" i="9"/>
  <c r="S95" i="9"/>
  <c r="S96" i="9"/>
  <c r="S103" i="9"/>
  <c r="S104" i="9"/>
  <c r="S111" i="9"/>
  <c r="S112" i="9"/>
  <c r="S122" i="9"/>
  <c r="S123" i="9"/>
  <c r="S134" i="9"/>
  <c r="S135" i="9"/>
  <c r="S142" i="9"/>
  <c r="S143" i="9"/>
  <c r="S144" i="9"/>
  <c r="S84" i="9"/>
  <c r="S98" i="9"/>
  <c r="S99" i="9"/>
  <c r="S106" i="9"/>
  <c r="S107" i="9"/>
  <c r="S114" i="9"/>
  <c r="S115" i="9"/>
  <c r="S125" i="9"/>
  <c r="S126" i="9"/>
  <c r="S127" i="9"/>
  <c r="S128" i="9"/>
  <c r="S130" i="9"/>
  <c r="S131" i="9"/>
  <c r="S138" i="9"/>
  <c r="S139" i="9"/>
  <c r="S4" i="8"/>
  <c r="S95" i="8"/>
  <c r="S100" i="8"/>
  <c r="S108" i="8"/>
  <c r="S116" i="8"/>
  <c r="S124" i="8"/>
  <c r="S7" i="8"/>
  <c r="S12" i="8"/>
  <c r="S17" i="8"/>
  <c r="S25" i="8"/>
  <c r="S38" i="8"/>
  <c r="S43" i="8"/>
  <c r="S56" i="8"/>
  <c r="S64" i="8"/>
  <c r="S69" i="8"/>
  <c r="S77" i="8"/>
  <c r="S98" i="8"/>
  <c r="S103" i="8"/>
  <c r="S140" i="8"/>
  <c r="S20" i="8"/>
  <c r="S28" i="8"/>
  <c r="S46" i="8"/>
  <c r="S59" i="8"/>
  <c r="S72" i="8"/>
  <c r="S80" i="8"/>
  <c r="S85" i="8"/>
  <c r="S93" i="8"/>
  <c r="S114" i="8"/>
  <c r="S122" i="8"/>
  <c r="S135" i="8"/>
  <c r="S5" i="8"/>
  <c r="S31" i="8"/>
  <c r="S101" i="8"/>
  <c r="S117" i="8"/>
  <c r="S125" i="8"/>
  <c r="S130" i="8"/>
  <c r="S138" i="8"/>
  <c r="S49" i="8"/>
  <c r="S141" i="8"/>
  <c r="S3" i="8"/>
  <c r="S16" i="8"/>
  <c r="S21" i="8"/>
  <c r="S29" i="8"/>
  <c r="S47" i="8"/>
  <c r="S52" i="8"/>
  <c r="S57" i="8"/>
  <c r="S60" i="8"/>
  <c r="S65" i="8"/>
  <c r="S73" i="8"/>
  <c r="S94" i="8"/>
  <c r="S123" i="8"/>
  <c r="S63" i="8"/>
  <c r="S89" i="8"/>
  <c r="S110" i="8"/>
  <c r="S118" i="8"/>
  <c r="S126" i="8"/>
  <c r="S131" i="8"/>
  <c r="S139" i="8"/>
  <c r="S97" i="8"/>
  <c r="S105" i="8"/>
  <c r="S142" i="8"/>
  <c r="S2" i="8"/>
  <c r="S136" i="8"/>
  <c r="S86" i="8"/>
  <c r="S18" i="8"/>
  <c r="S109" i="8"/>
  <c r="S26" i="8"/>
  <c r="S42" i="8"/>
  <c r="S58" i="8"/>
  <c r="S74" i="8"/>
  <c r="S90" i="8"/>
  <c r="S106" i="8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2" i="2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2" i="1"/>
  <c r="Q3" i="2" l="1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Q2" i="2"/>
  <c r="P2" i="2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2" i="1"/>
  <c r="W12" i="2" l="1"/>
  <c r="X12" i="2"/>
  <c r="Y12" i="2"/>
  <c r="Z12" i="2"/>
  <c r="AA12" i="2"/>
  <c r="AB12" i="2"/>
  <c r="AC12" i="2"/>
  <c r="AD12" i="2"/>
  <c r="AE12" i="2"/>
  <c r="AF12" i="2"/>
  <c r="AG12" i="2"/>
  <c r="AH12" i="2"/>
  <c r="AI12" i="2"/>
  <c r="W13" i="2"/>
  <c r="X13" i="2"/>
  <c r="Y13" i="2"/>
  <c r="Z13" i="2"/>
  <c r="AA13" i="2"/>
  <c r="AJ13" i="2" s="1"/>
  <c r="AB13" i="2"/>
  <c r="AC13" i="2"/>
  <c r="AD13" i="2"/>
  <c r="AE13" i="2"/>
  <c r="AF13" i="2"/>
  <c r="AG13" i="2"/>
  <c r="AH13" i="2"/>
  <c r="AI13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W17" i="2"/>
  <c r="X17" i="2"/>
  <c r="Y17" i="2"/>
  <c r="Z17" i="2"/>
  <c r="AA17" i="2"/>
  <c r="AJ17" i="2" s="1"/>
  <c r="AB17" i="2"/>
  <c r="AC17" i="2"/>
  <c r="AD17" i="2"/>
  <c r="AE17" i="2"/>
  <c r="AF17" i="2"/>
  <c r="AG17" i="2"/>
  <c r="AH17" i="2"/>
  <c r="AI17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W21" i="2"/>
  <c r="X21" i="2"/>
  <c r="Y21" i="2"/>
  <c r="Z21" i="2"/>
  <c r="AA21" i="2"/>
  <c r="AJ21" i="2" s="1"/>
  <c r="AB21" i="2"/>
  <c r="AC21" i="2"/>
  <c r="AD21" i="2"/>
  <c r="AE21" i="2"/>
  <c r="AF21" i="2"/>
  <c r="AG21" i="2"/>
  <c r="AH21" i="2"/>
  <c r="AI21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W25" i="2"/>
  <c r="X25" i="2"/>
  <c r="Y25" i="2"/>
  <c r="Z25" i="2"/>
  <c r="AA25" i="2"/>
  <c r="AJ25" i="2" s="1"/>
  <c r="AB25" i="2"/>
  <c r="AC25" i="2"/>
  <c r="AD25" i="2"/>
  <c r="AE25" i="2"/>
  <c r="AF25" i="2"/>
  <c r="AG25" i="2"/>
  <c r="AH25" i="2"/>
  <c r="AI25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W29" i="2"/>
  <c r="X29" i="2"/>
  <c r="Y29" i="2"/>
  <c r="Z29" i="2"/>
  <c r="AA29" i="2"/>
  <c r="AJ29" i="2" s="1"/>
  <c r="AB29" i="2"/>
  <c r="AC29" i="2"/>
  <c r="AD29" i="2"/>
  <c r="AE29" i="2"/>
  <c r="AF29" i="2"/>
  <c r="AG29" i="2"/>
  <c r="AH29" i="2"/>
  <c r="AI29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W37" i="2"/>
  <c r="X37" i="2"/>
  <c r="Y37" i="2"/>
  <c r="Z37" i="2"/>
  <c r="AA37" i="2"/>
  <c r="AJ37" i="2" s="1"/>
  <c r="AB37" i="2"/>
  <c r="AC37" i="2"/>
  <c r="AD37" i="2"/>
  <c r="AE37" i="2"/>
  <c r="AF37" i="2"/>
  <c r="AG37" i="2"/>
  <c r="AH37" i="2"/>
  <c r="AI37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W45" i="2"/>
  <c r="X45" i="2"/>
  <c r="Y45" i="2"/>
  <c r="Z45" i="2"/>
  <c r="AA45" i="2"/>
  <c r="AJ45" i="2" s="1"/>
  <c r="AB45" i="2"/>
  <c r="AC45" i="2"/>
  <c r="AD45" i="2"/>
  <c r="AE45" i="2"/>
  <c r="AF45" i="2"/>
  <c r="AG45" i="2"/>
  <c r="AH45" i="2"/>
  <c r="AI45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W53" i="2"/>
  <c r="X53" i="2"/>
  <c r="Y53" i="2"/>
  <c r="Z53" i="2"/>
  <c r="AA53" i="2"/>
  <c r="AJ53" i="2" s="1"/>
  <c r="AB53" i="2"/>
  <c r="AC53" i="2"/>
  <c r="AD53" i="2"/>
  <c r="AE53" i="2"/>
  <c r="AF53" i="2"/>
  <c r="AG53" i="2"/>
  <c r="AH53" i="2"/>
  <c r="AI53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W61" i="2"/>
  <c r="X61" i="2"/>
  <c r="Y61" i="2"/>
  <c r="Z61" i="2"/>
  <c r="AA61" i="2"/>
  <c r="AJ61" i="2" s="1"/>
  <c r="AB61" i="2"/>
  <c r="AC61" i="2"/>
  <c r="AD61" i="2"/>
  <c r="AE61" i="2"/>
  <c r="AF61" i="2"/>
  <c r="AG61" i="2"/>
  <c r="AH61" i="2"/>
  <c r="AI61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W69" i="2"/>
  <c r="X69" i="2"/>
  <c r="Y69" i="2"/>
  <c r="Z69" i="2"/>
  <c r="AA69" i="2"/>
  <c r="AJ69" i="2" s="1"/>
  <c r="AB69" i="2"/>
  <c r="AC69" i="2"/>
  <c r="AD69" i="2"/>
  <c r="AE69" i="2"/>
  <c r="AF69" i="2"/>
  <c r="AG69" i="2"/>
  <c r="AH69" i="2"/>
  <c r="AI69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W77" i="2"/>
  <c r="X77" i="2"/>
  <c r="Y77" i="2"/>
  <c r="Z77" i="2"/>
  <c r="AA77" i="2"/>
  <c r="AJ77" i="2" s="1"/>
  <c r="AB77" i="2"/>
  <c r="AC77" i="2"/>
  <c r="AD77" i="2"/>
  <c r="AE77" i="2"/>
  <c r="AF77" i="2"/>
  <c r="AG77" i="2"/>
  <c r="AH77" i="2"/>
  <c r="AI77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W85" i="2"/>
  <c r="X85" i="2"/>
  <c r="Y85" i="2"/>
  <c r="Z85" i="2"/>
  <c r="AA85" i="2"/>
  <c r="AJ85" i="2" s="1"/>
  <c r="AB85" i="2"/>
  <c r="AC85" i="2"/>
  <c r="AD85" i="2"/>
  <c r="AE85" i="2"/>
  <c r="AF85" i="2"/>
  <c r="AG85" i="2"/>
  <c r="AH85" i="2"/>
  <c r="AI85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W89" i="2"/>
  <c r="X89" i="2"/>
  <c r="Y89" i="2"/>
  <c r="Z89" i="2"/>
  <c r="AA89" i="2"/>
  <c r="AJ89" i="2" s="1"/>
  <c r="AB89" i="2"/>
  <c r="AC89" i="2"/>
  <c r="AD89" i="2"/>
  <c r="AE89" i="2"/>
  <c r="AF89" i="2"/>
  <c r="AG89" i="2"/>
  <c r="AH89" i="2"/>
  <c r="AI89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W93" i="2"/>
  <c r="X93" i="2"/>
  <c r="Y93" i="2"/>
  <c r="Z93" i="2"/>
  <c r="AA93" i="2"/>
  <c r="AJ93" i="2" s="1"/>
  <c r="AB93" i="2"/>
  <c r="AC93" i="2"/>
  <c r="AD93" i="2"/>
  <c r="AE93" i="2"/>
  <c r="AF93" i="2"/>
  <c r="AG93" i="2"/>
  <c r="AH93" i="2"/>
  <c r="AI93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W101" i="2"/>
  <c r="X101" i="2"/>
  <c r="Y101" i="2"/>
  <c r="Z101" i="2"/>
  <c r="AA101" i="2"/>
  <c r="AJ101" i="2" s="1"/>
  <c r="AB101" i="2"/>
  <c r="AC101" i="2"/>
  <c r="AD101" i="2"/>
  <c r="AE101" i="2"/>
  <c r="AF101" i="2"/>
  <c r="AG101" i="2"/>
  <c r="AH101" i="2"/>
  <c r="AI101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W105" i="2"/>
  <c r="X105" i="2"/>
  <c r="Y105" i="2"/>
  <c r="Z105" i="2"/>
  <c r="AA105" i="2"/>
  <c r="AJ105" i="2" s="1"/>
  <c r="AB105" i="2"/>
  <c r="AC105" i="2"/>
  <c r="AD105" i="2"/>
  <c r="AE105" i="2"/>
  <c r="AF105" i="2"/>
  <c r="AG105" i="2"/>
  <c r="AH105" i="2"/>
  <c r="AI105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W109" i="2"/>
  <c r="X109" i="2"/>
  <c r="Y109" i="2"/>
  <c r="Z109" i="2"/>
  <c r="AA109" i="2"/>
  <c r="AJ109" i="2" s="1"/>
  <c r="AB109" i="2"/>
  <c r="AC109" i="2"/>
  <c r="AD109" i="2"/>
  <c r="AE109" i="2"/>
  <c r="AF109" i="2"/>
  <c r="AG109" i="2"/>
  <c r="AH109" i="2"/>
  <c r="AI109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W113" i="2"/>
  <c r="X113" i="2"/>
  <c r="Y113" i="2"/>
  <c r="Z113" i="2"/>
  <c r="AA113" i="2"/>
  <c r="AJ113" i="2" s="1"/>
  <c r="AB113" i="2"/>
  <c r="AC113" i="2"/>
  <c r="AD113" i="2"/>
  <c r="AE113" i="2"/>
  <c r="AF113" i="2"/>
  <c r="AG113" i="2"/>
  <c r="AH113" i="2"/>
  <c r="AI113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W117" i="2"/>
  <c r="X117" i="2"/>
  <c r="Y117" i="2"/>
  <c r="Z117" i="2"/>
  <c r="AA117" i="2"/>
  <c r="AJ117" i="2" s="1"/>
  <c r="AB117" i="2"/>
  <c r="AC117" i="2"/>
  <c r="AD117" i="2"/>
  <c r="AE117" i="2"/>
  <c r="AF117" i="2"/>
  <c r="AG117" i="2"/>
  <c r="AH117" i="2"/>
  <c r="AI117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W6" i="2"/>
  <c r="X6" i="2"/>
  <c r="Y6" i="2"/>
  <c r="Z6" i="2"/>
  <c r="AA6" i="2"/>
  <c r="AJ6" i="2" s="1"/>
  <c r="AB6" i="2"/>
  <c r="AC6" i="2"/>
  <c r="AD6" i="2"/>
  <c r="AE6" i="2"/>
  <c r="AF6" i="2"/>
  <c r="AG6" i="2"/>
  <c r="AH6" i="2"/>
  <c r="AI6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W10" i="2"/>
  <c r="X10" i="2"/>
  <c r="Y10" i="2"/>
  <c r="Z10" i="2"/>
  <c r="AA10" i="2"/>
  <c r="AJ10" i="2" s="1"/>
  <c r="AB10" i="2"/>
  <c r="AC10" i="2"/>
  <c r="AD10" i="2"/>
  <c r="AE10" i="2"/>
  <c r="AF10" i="2"/>
  <c r="AG10" i="2"/>
  <c r="AH10" i="2"/>
  <c r="AI10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A2" i="2"/>
  <c r="AB2" i="2"/>
  <c r="AC2" i="2"/>
  <c r="AD2" i="2"/>
  <c r="AE2" i="2"/>
  <c r="AF2" i="2"/>
  <c r="AG2" i="2"/>
  <c r="AH2" i="2"/>
  <c r="AI2" i="2"/>
  <c r="X2" i="2"/>
  <c r="Y2" i="2"/>
  <c r="Z2" i="2"/>
  <c r="W2" i="2"/>
  <c r="AJ8" i="2" l="1"/>
  <c r="AJ115" i="2"/>
  <c r="AJ83" i="2"/>
  <c r="AJ67" i="2"/>
  <c r="AJ39" i="2"/>
  <c r="AJ35" i="2"/>
  <c r="AJ31" i="2"/>
  <c r="AJ27" i="2"/>
  <c r="AJ19" i="2"/>
  <c r="AJ107" i="2"/>
  <c r="AJ99" i="2"/>
  <c r="AJ91" i="2"/>
  <c r="AJ87" i="2"/>
  <c r="AJ79" i="2"/>
  <c r="AJ75" i="2"/>
  <c r="AJ63" i="2"/>
  <c r="AJ59" i="2"/>
  <c r="AJ55" i="2"/>
  <c r="AJ51" i="2"/>
  <c r="AJ47" i="2"/>
  <c r="AJ43" i="2"/>
  <c r="AJ38" i="2"/>
  <c r="AJ30" i="2"/>
  <c r="AJ22" i="2"/>
  <c r="AJ18" i="2"/>
  <c r="AJ14" i="2"/>
  <c r="AJ116" i="2"/>
  <c r="AJ108" i="2"/>
  <c r="AJ76" i="2"/>
  <c r="AJ68" i="2"/>
  <c r="AJ12" i="2"/>
  <c r="AJ23" i="2"/>
  <c r="AJ66" i="2"/>
  <c r="AJ11" i="2"/>
  <c r="AJ3" i="2"/>
  <c r="AJ110" i="2"/>
  <c r="AJ102" i="2"/>
  <c r="AJ94" i="2"/>
  <c r="AJ86" i="2"/>
  <c r="AJ78" i="2"/>
  <c r="AJ70" i="2"/>
  <c r="AJ54" i="2"/>
  <c r="AJ46" i="2"/>
  <c r="AL2" i="2"/>
  <c r="AK2" i="2"/>
  <c r="AL8" i="2"/>
  <c r="AK8" i="2"/>
  <c r="AL107" i="2"/>
  <c r="AK107" i="2"/>
  <c r="AL91" i="2"/>
  <c r="AK91" i="2"/>
  <c r="AL59" i="2"/>
  <c r="AK59" i="2"/>
  <c r="AL11" i="2"/>
  <c r="AK11" i="2"/>
  <c r="AJ5" i="2"/>
  <c r="AL3" i="2"/>
  <c r="AK3" i="2"/>
  <c r="AJ112" i="2"/>
  <c r="AL110" i="2"/>
  <c r="AK110" i="2"/>
  <c r="AJ104" i="2"/>
  <c r="AL102" i="2"/>
  <c r="AK102" i="2"/>
  <c r="AJ96" i="2"/>
  <c r="AL94" i="2"/>
  <c r="AK94" i="2"/>
  <c r="AJ88" i="2"/>
  <c r="AL86" i="2"/>
  <c r="AK86" i="2"/>
  <c r="AJ80" i="2"/>
  <c r="AL78" i="2"/>
  <c r="AK78" i="2"/>
  <c r="AJ72" i="2"/>
  <c r="AL70" i="2"/>
  <c r="AK70" i="2"/>
  <c r="AJ64" i="2"/>
  <c r="AL62" i="2"/>
  <c r="AK62" i="2"/>
  <c r="AJ56" i="2"/>
  <c r="AL54" i="2"/>
  <c r="AK54" i="2"/>
  <c r="AJ48" i="2"/>
  <c r="AL46" i="2"/>
  <c r="AK46" i="2"/>
  <c r="AJ40" i="2"/>
  <c r="AL38" i="2"/>
  <c r="AK38" i="2"/>
  <c r="AJ32" i="2"/>
  <c r="AL30" i="2"/>
  <c r="AK30" i="2"/>
  <c r="AJ24" i="2"/>
  <c r="AL22" i="2"/>
  <c r="AK22" i="2"/>
  <c r="AJ16" i="2"/>
  <c r="AL14" i="2"/>
  <c r="AK14" i="2"/>
  <c r="AL99" i="2"/>
  <c r="AK99" i="2"/>
  <c r="AL35" i="2"/>
  <c r="AK35" i="2"/>
  <c r="AL19" i="2"/>
  <c r="AK19" i="2"/>
  <c r="AJ2" i="2"/>
  <c r="AL6" i="2"/>
  <c r="AK6" i="2"/>
  <c r="AL113" i="2"/>
  <c r="AK113" i="2"/>
  <c r="AL105" i="2"/>
  <c r="AK105" i="2"/>
  <c r="AL97" i="2"/>
  <c r="AK97" i="2"/>
  <c r="AL89" i="2"/>
  <c r="AK89" i="2"/>
  <c r="AL81" i="2"/>
  <c r="AK81" i="2"/>
  <c r="AL73" i="2"/>
  <c r="AK73" i="2"/>
  <c r="AL65" i="2"/>
  <c r="AK65" i="2"/>
  <c r="AL57" i="2"/>
  <c r="AK57" i="2"/>
  <c r="AL49" i="2"/>
  <c r="AK49" i="2"/>
  <c r="AL41" i="2"/>
  <c r="AK41" i="2"/>
  <c r="AL33" i="2"/>
  <c r="AK33" i="2"/>
  <c r="AL25" i="2"/>
  <c r="AK25" i="2"/>
  <c r="AL17" i="2"/>
  <c r="AK17" i="2"/>
  <c r="AL51" i="2"/>
  <c r="AK51" i="2"/>
  <c r="AL9" i="2"/>
  <c r="AK9" i="2"/>
  <c r="AL116" i="2"/>
  <c r="AK116" i="2"/>
  <c r="AL108" i="2"/>
  <c r="AK108" i="2"/>
  <c r="AL100" i="2"/>
  <c r="AK100" i="2"/>
  <c r="AL92" i="2"/>
  <c r="AK92" i="2"/>
  <c r="AL84" i="2"/>
  <c r="AK84" i="2"/>
  <c r="AL76" i="2"/>
  <c r="AK76" i="2"/>
  <c r="AL68" i="2"/>
  <c r="AK68" i="2"/>
  <c r="AJ62" i="2"/>
  <c r="AL60" i="2"/>
  <c r="AK60" i="2"/>
  <c r="AL52" i="2"/>
  <c r="AK52" i="2"/>
  <c r="AL44" i="2"/>
  <c r="AK44" i="2"/>
  <c r="AL36" i="2"/>
  <c r="AK36" i="2"/>
  <c r="AL28" i="2"/>
  <c r="AK28" i="2"/>
  <c r="AL20" i="2"/>
  <c r="AK20" i="2"/>
  <c r="AL12" i="2"/>
  <c r="AK12" i="2"/>
  <c r="AL83" i="2"/>
  <c r="AK83" i="2"/>
  <c r="AL43" i="2"/>
  <c r="AK43" i="2"/>
  <c r="AL4" i="2"/>
  <c r="AK4" i="2"/>
  <c r="AL111" i="2"/>
  <c r="AK111" i="2"/>
  <c r="AL103" i="2"/>
  <c r="AK103" i="2"/>
  <c r="AJ97" i="2"/>
  <c r="AL95" i="2"/>
  <c r="AK95" i="2"/>
  <c r="AL87" i="2"/>
  <c r="AK87" i="2"/>
  <c r="AJ81" i="2"/>
  <c r="AL79" i="2"/>
  <c r="AK79" i="2"/>
  <c r="AJ73" i="2"/>
  <c r="AL71" i="2"/>
  <c r="AK71" i="2"/>
  <c r="AJ65" i="2"/>
  <c r="AL63" i="2"/>
  <c r="AK63" i="2"/>
  <c r="AJ57" i="2"/>
  <c r="AL55" i="2"/>
  <c r="AK55" i="2"/>
  <c r="AJ49" i="2"/>
  <c r="AL47" i="2"/>
  <c r="AK47" i="2"/>
  <c r="AJ41" i="2"/>
  <c r="AL39" i="2"/>
  <c r="AK39" i="2"/>
  <c r="AJ33" i="2"/>
  <c r="AL31" i="2"/>
  <c r="AK31" i="2"/>
  <c r="AL23" i="2"/>
  <c r="AK23" i="2"/>
  <c r="AL15" i="2"/>
  <c r="AK15" i="2"/>
  <c r="AL115" i="2"/>
  <c r="AK115" i="2"/>
  <c r="AL67" i="2"/>
  <c r="AK67" i="2"/>
  <c r="AJ9" i="2"/>
  <c r="AL7" i="2"/>
  <c r="AK7" i="2"/>
  <c r="AL114" i="2"/>
  <c r="AK114" i="2"/>
  <c r="AL106" i="2"/>
  <c r="AK106" i="2"/>
  <c r="AJ100" i="2"/>
  <c r="AL98" i="2"/>
  <c r="AK98" i="2"/>
  <c r="AJ92" i="2"/>
  <c r="AL90" i="2"/>
  <c r="AK90" i="2"/>
  <c r="AJ84" i="2"/>
  <c r="AL82" i="2"/>
  <c r="AK82" i="2"/>
  <c r="AL74" i="2"/>
  <c r="AK74" i="2"/>
  <c r="AL66" i="2"/>
  <c r="AK66" i="2"/>
  <c r="AJ60" i="2"/>
  <c r="AL58" i="2"/>
  <c r="AK58" i="2"/>
  <c r="AJ52" i="2"/>
  <c r="AL50" i="2"/>
  <c r="AK50" i="2"/>
  <c r="AJ44" i="2"/>
  <c r="AL42" i="2"/>
  <c r="AK42" i="2"/>
  <c r="AJ36" i="2"/>
  <c r="AL34" i="2"/>
  <c r="AK34" i="2"/>
  <c r="AJ28" i="2"/>
  <c r="AL26" i="2"/>
  <c r="AK26" i="2"/>
  <c r="AJ20" i="2"/>
  <c r="AL18" i="2"/>
  <c r="AK18" i="2"/>
  <c r="AL75" i="2"/>
  <c r="AK75" i="2"/>
  <c r="AL10" i="2"/>
  <c r="AK10" i="2"/>
  <c r="AJ4" i="2"/>
  <c r="AL117" i="2"/>
  <c r="AK117" i="2"/>
  <c r="AJ111" i="2"/>
  <c r="AL109" i="2"/>
  <c r="AK109" i="2"/>
  <c r="AJ103" i="2"/>
  <c r="AL101" i="2"/>
  <c r="AK101" i="2"/>
  <c r="AJ95" i="2"/>
  <c r="AL93" i="2"/>
  <c r="AK93" i="2"/>
  <c r="AL85" i="2"/>
  <c r="AK85" i="2"/>
  <c r="AL77" i="2"/>
  <c r="AK77" i="2"/>
  <c r="AJ71" i="2"/>
  <c r="AL69" i="2"/>
  <c r="AK69" i="2"/>
  <c r="AL61" i="2"/>
  <c r="AK61" i="2"/>
  <c r="AL53" i="2"/>
  <c r="AK53" i="2"/>
  <c r="AL45" i="2"/>
  <c r="AK45" i="2"/>
  <c r="AL37" i="2"/>
  <c r="AK37" i="2"/>
  <c r="AL29" i="2"/>
  <c r="AK29" i="2"/>
  <c r="AL21" i="2"/>
  <c r="AK21" i="2"/>
  <c r="AJ15" i="2"/>
  <c r="AL13" i="2"/>
  <c r="AK13" i="2"/>
  <c r="AL27" i="2"/>
  <c r="AK27" i="2"/>
  <c r="AJ7" i="2"/>
  <c r="AL5" i="2"/>
  <c r="AK5" i="2"/>
  <c r="AJ114" i="2"/>
  <c r="AL112" i="2"/>
  <c r="AK112" i="2"/>
  <c r="AJ106" i="2"/>
  <c r="AL104" i="2"/>
  <c r="AK104" i="2"/>
  <c r="AJ98" i="2"/>
  <c r="AL96" i="2"/>
  <c r="AK96" i="2"/>
  <c r="AJ90" i="2"/>
  <c r="AL88" i="2"/>
  <c r="AK88" i="2"/>
  <c r="AJ82" i="2"/>
  <c r="AL80" i="2"/>
  <c r="AK80" i="2"/>
  <c r="AJ74" i="2"/>
  <c r="AL72" i="2"/>
  <c r="AK72" i="2"/>
  <c r="AL64" i="2"/>
  <c r="AK64" i="2"/>
  <c r="AJ58" i="2"/>
  <c r="AL56" i="2"/>
  <c r="AK56" i="2"/>
  <c r="AJ50" i="2"/>
  <c r="AL48" i="2"/>
  <c r="AK48" i="2"/>
  <c r="AJ42" i="2"/>
  <c r="AL40" i="2"/>
  <c r="AK40" i="2"/>
  <c r="AJ34" i="2"/>
  <c r="AL32" i="2"/>
  <c r="AK32" i="2"/>
  <c r="AJ26" i="2"/>
  <c r="AL24" i="2"/>
  <c r="AK24" i="2"/>
  <c r="AL16" i="2"/>
  <c r="AK16" i="2"/>
</calcChain>
</file>

<file path=xl/connections.xml><?xml version="1.0" encoding="utf-8"?>
<connections xmlns="http://schemas.openxmlformats.org/spreadsheetml/2006/main">
  <connection id="1" name="acm_annual" type="6" refreshedVersion="4" background="1" saveData="1">
    <textPr codePage="437" sourceFile="C:\Users\jjf204\Desktop\precip-frequency-onjsc-master\precip_data\acm_annual.txt" tab="0" comma="1">
      <textFields count="4">
        <textField/>
        <textField/>
        <textField/>
        <textField/>
      </textFields>
    </textPr>
  </connection>
  <connection id="2" keepAlive="1" name="Query - IM_annual_precip" description="Connection to the 'IM_annual_precip' query in the workbook." type="5" refreshedVersion="6" background="1">
    <dbPr connection="Provider=Microsoft.Mashup.OleDb.1;Data Source=$Workbook$;Location=IM_annual_precip;Extended Properties=&quot;&quot;" command="SELECT * FROM [IM_annual_precip]"/>
  </connection>
</connections>
</file>

<file path=xl/sharedStrings.xml><?xml version="1.0" encoding="utf-8"?>
<sst xmlns="http://schemas.openxmlformats.org/spreadsheetml/2006/main" count="878" uniqueCount="61">
  <si>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</si>
  <si>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</si>
  <si>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</si>
  <si>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</si>
  <si>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</si>
  <si>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</si>
  <si>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</si>
  <si>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</si>
  <si>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</si>
  <si>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</si>
  <si>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</si>
  <si>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</si>
  <si>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</si>
  <si>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</si>
  <si>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%</t>
  </si>
  <si>
    <t>For Reference:</t>
  </si>
  <si>
    <t>Group</t>
  </si>
  <si>
    <t>Precip Range</t>
  </si>
  <si>
    <t>0-0.2 and T</t>
  </si>
  <si>
    <t>0.03-0.10</t>
  </si>
  <si>
    <t>0.11-0.25</t>
  </si>
  <si>
    <t>0.26-0.50</t>
  </si>
  <si>
    <t>0.51-1.00</t>
  </si>
  <si>
    <t>FG</t>
  </si>
  <si>
    <t>HIJ</t>
  </si>
  <si>
    <t>HN</t>
  </si>
  <si>
    <t>F+G</t>
  </si>
  <si>
    <t>H+I+J</t>
  </si>
  <si>
    <t>K+L+M+N</t>
  </si>
  <si>
    <t>KLMN</t>
  </si>
  <si>
    <t>Percents -----&gt;</t>
  </si>
  <si>
    <t>H-N</t>
  </si>
  <si>
    <t>Annual</t>
  </si>
  <si>
    <t xml:space="preserve"> </t>
  </si>
  <si>
    <t>% --&gt;</t>
  </si>
  <si>
    <t>year</t>
  </si>
  <si>
    <t xml:space="preserve"> Annual Precip</t>
  </si>
  <si>
    <t>1.01 - 2.00</t>
  </si>
  <si>
    <t>2.01+</t>
  </si>
  <si>
    <t>annual precip</t>
  </si>
  <si>
    <t>0.03 - 0.10</t>
  </si>
  <si>
    <t>0.11 - 0.25</t>
  </si>
  <si>
    <t>0.26 - 0.50</t>
  </si>
  <si>
    <t>0.51 - 1.00</t>
  </si>
  <si>
    <t>KEEP THIS LIKE THIS:</t>
  </si>
  <si>
    <t>THIS IS USED FOR PLOT LEGENDS^^</t>
  </si>
  <si>
    <t>Indian Mills</t>
  </si>
  <si>
    <t>Atlantic City Marina</t>
  </si>
  <si>
    <t>New Brunswick</t>
  </si>
  <si>
    <t>Sussex</t>
  </si>
  <si>
    <t>Number of Binned Events</t>
  </si>
  <si>
    <t>Contribution from Binned Events</t>
  </si>
  <si>
    <t>Contribution from Binned Events (Expressed as %)</t>
  </si>
  <si>
    <t>Key:</t>
  </si>
  <si>
    <t>1988 - 2017 Climatology</t>
  </si>
  <si>
    <t>POR - 1987 Climatology</t>
  </si>
  <si>
    <t>88 - 17 climo</t>
  </si>
  <si>
    <t>POR - 87 climo</t>
  </si>
  <si>
    <t>88 - 17 cl</t>
  </si>
  <si>
    <t>POR - 87 cli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</si>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</sst>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000000000000000000000000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4"/>
      <color rgb="FF7F7F7F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i/>
      <sz val="16"/>
      <color rgb="FF9C570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Times New Roman"/>
      <family val="1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theme="9" tint="0.79998168889431442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</cellStyleXfs>
  <cellXfs count="54">
    <xf numFmtId="0" fontId="0" fillId="0" borderId="0" xfId="0"/>
    <xf numFmtId="0" fontId="0" fillId="33" borderId="10" xfId="0" applyFont="1" applyFill="1" applyBorder="1"/>
    <xf numFmtId="0" fontId="0" fillId="33" borderId="11" xfId="0" applyFont="1" applyFill="1" applyBorder="1"/>
    <xf numFmtId="0" fontId="0" fillId="0" borderId="10" xfId="0" applyFont="1" applyBorder="1"/>
    <xf numFmtId="0" fontId="0" fillId="0" borderId="11" xfId="0" applyFont="1" applyBorder="1"/>
    <xf numFmtId="164" fontId="0" fillId="0" borderId="0" xfId="42" applyNumberFormat="1" applyFont="1"/>
    <xf numFmtId="164" fontId="0" fillId="0" borderId="0" xfId="0" applyNumberFormat="1"/>
    <xf numFmtId="0" fontId="18" fillId="0" borderId="0" xfId="16" applyFont="1"/>
    <xf numFmtId="0" fontId="16" fillId="0" borderId="0" xfId="0" applyFont="1"/>
    <xf numFmtId="0" fontId="0" fillId="0" borderId="0" xfId="0" applyAlignment="1">
      <alignment horizontal="center" vertical="center"/>
    </xf>
    <xf numFmtId="0" fontId="16" fillId="15" borderId="0" xfId="24" applyFont="1"/>
    <xf numFmtId="0" fontId="16" fillId="22" borderId="0" xfId="31" applyFont="1"/>
    <xf numFmtId="0" fontId="16" fillId="26" borderId="0" xfId="35" applyFont="1"/>
    <xf numFmtId="0" fontId="1" fillId="15" borderId="0" xfId="24"/>
    <xf numFmtId="0" fontId="1" fillId="22" borderId="0" xfId="31"/>
    <xf numFmtId="0" fontId="1" fillId="26" borderId="0" xfId="35"/>
    <xf numFmtId="0" fontId="16" fillId="0" borderId="0" xfId="0" applyFont="1" applyAlignment="1">
      <alignment horizontal="center" vertical="center"/>
    </xf>
    <xf numFmtId="10" fontId="0" fillId="0" borderId="0" xfId="42" applyNumberFormat="1" applyFont="1"/>
    <xf numFmtId="0" fontId="19" fillId="0" borderId="0" xfId="0" applyFont="1"/>
    <xf numFmtId="0" fontId="20" fillId="0" borderId="12" xfId="43" applyBorder="1" applyAlignment="1">
      <alignment horizontal="left" vertical="center" readingOrder="1"/>
    </xf>
    <xf numFmtId="0" fontId="21" fillId="4" borderId="0" xfId="44"/>
    <xf numFmtId="2" fontId="16" fillId="0" borderId="0" xfId="0" applyNumberFormat="1" applyFont="1"/>
    <xf numFmtId="0" fontId="0" fillId="33" borderId="13" xfId="0" applyNumberFormat="1" applyFont="1" applyFill="1" applyBorder="1"/>
    <xf numFmtId="2" fontId="0" fillId="0" borderId="13" xfId="0" applyNumberFormat="1" applyFont="1" applyBorder="1"/>
    <xf numFmtId="2" fontId="0" fillId="33" borderId="13" xfId="0" applyNumberFormat="1" applyFont="1" applyFill="1" applyBorder="1"/>
    <xf numFmtId="2" fontId="0" fillId="0" borderId="0" xfId="0" applyNumberFormat="1"/>
    <xf numFmtId="0" fontId="7" fillId="3" borderId="0" xfId="7"/>
    <xf numFmtId="164" fontId="16" fillId="0" borderId="0" xfId="42" applyNumberFormat="1" applyFont="1"/>
    <xf numFmtId="0" fontId="16" fillId="0" borderId="0" xfId="0" applyFont="1" applyAlignment="1">
      <alignment horizontal="center"/>
    </xf>
    <xf numFmtId="0" fontId="0" fillId="0" borderId="0" xfId="0" applyAlignment="1"/>
    <xf numFmtId="0" fontId="22" fillId="4" borderId="0" xfId="44" applyFont="1"/>
    <xf numFmtId="10" fontId="16" fillId="0" borderId="0" xfId="42" applyNumberFormat="1" applyFont="1"/>
    <xf numFmtId="165" fontId="0" fillId="0" borderId="0" xfId="0" applyNumberFormat="1"/>
    <xf numFmtId="0" fontId="7" fillId="3" borderId="14" xfId="7" applyBorder="1"/>
    <xf numFmtId="0" fontId="7" fillId="3" borderId="15" xfId="7" applyBorder="1"/>
    <xf numFmtId="0" fontId="7" fillId="3" borderId="17" xfId="7" applyBorder="1"/>
    <xf numFmtId="0" fontId="7" fillId="3" borderId="18" xfId="7" applyBorder="1"/>
    <xf numFmtId="0" fontId="7" fillId="3" borderId="0" xfId="7" applyBorder="1"/>
    <xf numFmtId="0" fontId="7" fillId="3" borderId="19" xfId="7" applyBorder="1"/>
    <xf numFmtId="0" fontId="7" fillId="3" borderId="20" xfId="7" applyBorder="1"/>
    <xf numFmtId="0" fontId="7" fillId="3" borderId="21" xfId="7" applyBorder="1"/>
    <xf numFmtId="0" fontId="0" fillId="0" borderId="0" xfId="0" applyFont="1" applyBorder="1"/>
    <xf numFmtId="0" fontId="22" fillId="4" borderId="0" xfId="44" applyFont="1" applyAlignment="1">
      <alignment horizontal="center"/>
    </xf>
    <xf numFmtId="0" fontId="7" fillId="3" borderId="16" xfId="7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/>
    </xf>
    <xf numFmtId="0" fontId="25" fillId="13" borderId="0" xfId="22" applyFont="1" applyAlignment="1">
      <alignment horizontal="center" vertical="center" wrapText="1"/>
    </xf>
    <xf numFmtId="0" fontId="25" fillId="9" borderId="0" xfId="18" applyFont="1" applyAlignment="1">
      <alignment horizontal="center" vertical="center" wrapText="1"/>
    </xf>
    <xf numFmtId="0" fontId="26" fillId="0" borderId="22" xfId="0" applyFont="1" applyBorder="1" applyAlignment="1">
      <alignment horizontal="center" vertical="center" wrapText="1"/>
    </xf>
    <xf numFmtId="0" fontId="26" fillId="0" borderId="23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6" fillId="0" borderId="25" xfId="0" applyFont="1" applyBorder="1" applyAlignment="1">
      <alignment horizontal="center" vertical="center" wrapText="1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builtinId="8"/>
    <cellStyle name="Input" xfId="9" builtinId="20" customBuiltin="1"/>
    <cellStyle name="Linked Cell" xfId="12" builtinId="24" customBuiltin="1"/>
    <cellStyle name="Neutral" xfId="8" builtinId="28" customBuiltin="1"/>
    <cellStyle name="Neutral 2" xfId="44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Indian Mills Number of Binned Events Climatology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1981 - 2010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'IM NOE'!$B$119:$Q$119</c:f>
              <c:numCache>
                <c:formatCode>0.00</c:formatCode>
                <c:ptCount val="6"/>
                <c:pt idx="0">
                  <c:v>17.033333333333335</c:v>
                </c:pt>
                <c:pt idx="1">
                  <c:v>23.4</c:v>
                </c:pt>
                <c:pt idx="2">
                  <c:v>20.866666666666667</c:v>
                </c:pt>
                <c:pt idx="3">
                  <c:v>19.899999999999999</c:v>
                </c:pt>
                <c:pt idx="4">
                  <c:v>10.366666666666667</c:v>
                </c:pt>
                <c:pt idx="5">
                  <c:v>2.9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7F3-4852-A974-2441B62A1B85}"/>
            </c:ext>
          </c:extLst>
        </c:ser>
        <c:ser>
          <c:idx val="1"/>
          <c:order val="1"/>
          <c:tx>
            <c:v>POR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'IM NOE'!$B$120:$Q$120</c:f>
              <c:numCache>
                <c:formatCode>0.00</c:formatCode>
                <c:ptCount val="6"/>
                <c:pt idx="0">
                  <c:v>28.372093023255815</c:v>
                </c:pt>
                <c:pt idx="1">
                  <c:v>24.488372093023255</c:v>
                </c:pt>
                <c:pt idx="2">
                  <c:v>21.151162790697676</c:v>
                </c:pt>
                <c:pt idx="3">
                  <c:v>18.511627906976745</c:v>
                </c:pt>
                <c:pt idx="4">
                  <c:v>9.4767441860465116</c:v>
                </c:pt>
                <c:pt idx="5">
                  <c:v>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F3-4852-A974-2441B62A1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561856"/>
        <c:axId val="121563392"/>
      </c:lineChart>
      <c:catAx>
        <c:axId val="121561856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21563392"/>
        <c:crosses val="autoZero"/>
        <c:auto val="1"/>
        <c:lblAlgn val="ctr"/>
        <c:lblOffset val="100"/>
        <c:noMultiLvlLbl val="0"/>
      </c:catAx>
      <c:valAx>
        <c:axId val="12156339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0" sourceLinked="1"/>
        <c:majorTickMark val="none"/>
        <c:minorTickMark val="none"/>
        <c:tickLblPos val="nextTo"/>
        <c:crossAx val="12156185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Indian Mills Contribution from Binned Events Climatology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1981 - 2010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'IM AOE'!$C$120:$R$120</c:f>
              <c:numCache>
                <c:formatCode>0.00</c:formatCode>
                <c:ptCount val="6"/>
                <c:pt idx="0">
                  <c:v>1.0856666666666663</c:v>
                </c:pt>
                <c:pt idx="1">
                  <c:v>3.9319999999999991</c:v>
                </c:pt>
                <c:pt idx="2">
                  <c:v>7.5963333333333285</c:v>
                </c:pt>
                <c:pt idx="3">
                  <c:v>14.049666666666649</c:v>
                </c:pt>
                <c:pt idx="4">
                  <c:v>13.862333333333323</c:v>
                </c:pt>
                <c:pt idx="5">
                  <c:v>7.7969999999999935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49-4C1C-B9D8-E77AE21B240D}"/>
            </c:ext>
          </c:extLst>
        </c:ser>
        <c:ser>
          <c:idx val="1"/>
          <c:order val="1"/>
          <c:tx>
            <c:v>POR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'IM AOE'!$C$121:$R$121</c:f>
              <c:numCache>
                <c:formatCode>0.00</c:formatCode>
                <c:ptCount val="6"/>
                <c:pt idx="0">
                  <c:v>1.7286046511627906</c:v>
                </c:pt>
                <c:pt idx="1">
                  <c:v>4.2554651162790664</c:v>
                </c:pt>
                <c:pt idx="2">
                  <c:v>7.8515116279069721</c:v>
                </c:pt>
                <c:pt idx="3">
                  <c:v>13.299651162790665</c:v>
                </c:pt>
                <c:pt idx="4">
                  <c:v>12.891046511627895</c:v>
                </c:pt>
                <c:pt idx="5">
                  <c:v>5.6490697674418602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49-4C1C-B9D8-E77AE21B2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11776"/>
        <c:axId val="121613312"/>
      </c:lineChart>
      <c:catAx>
        <c:axId val="121611776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21613312"/>
        <c:crosses val="autoZero"/>
        <c:auto val="1"/>
        <c:lblAlgn val="ctr"/>
        <c:lblOffset val="100"/>
        <c:noMultiLvlLbl val="0"/>
      </c:catAx>
      <c:valAx>
        <c:axId val="12161331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0" sourceLinked="1"/>
        <c:majorTickMark val="none"/>
        <c:minorTickMark val="none"/>
        <c:tickLblPos val="nextTo"/>
        <c:crossAx val="12161177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Indian Mills Contribution from Binned Events (Expressed</a:t>
            </a:r>
            <a:r>
              <a:rPr lang="en-US" baseline="0"/>
              <a:t> as a Percentage of Annual Precip)</a:t>
            </a:r>
            <a:r>
              <a:rPr lang="en-US"/>
              <a:t> Climatology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1981 - 2010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'IM AOE'!$W$120:$AL$120</c:f>
              <c:numCache>
                <c:formatCode>0.0%</c:formatCode>
                <c:ptCount val="6"/>
                <c:pt idx="0">
                  <c:v>2.2805418226556271E-2</c:v>
                </c:pt>
                <c:pt idx="1">
                  <c:v>8.3101869703142303E-2</c:v>
                </c:pt>
                <c:pt idx="2">
                  <c:v>0.15776174018045797</c:v>
                </c:pt>
                <c:pt idx="3">
                  <c:v>0.29380593170963804</c:v>
                </c:pt>
                <c:pt idx="4">
                  <c:v>0.28830205751482701</c:v>
                </c:pt>
                <c:pt idx="5">
                  <c:v>0.15493444426012029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235-46F1-81F2-0F4827E65DE5}"/>
            </c:ext>
          </c:extLst>
        </c:ser>
        <c:ser>
          <c:idx val="1"/>
          <c:order val="1"/>
          <c:tx>
            <c:v>POR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'IM AOE'!$W$121:$AL$121</c:f>
              <c:numCache>
                <c:formatCode>0.0%</c:formatCode>
                <c:ptCount val="6"/>
                <c:pt idx="0">
                  <c:v>3.8667210301678689E-2</c:v>
                </c:pt>
                <c:pt idx="1">
                  <c:v>9.4338361144258295E-2</c:v>
                </c:pt>
                <c:pt idx="2">
                  <c:v>0.17488875495334102</c:v>
                </c:pt>
                <c:pt idx="3">
                  <c:v>0.29078522415981717</c:v>
                </c:pt>
                <c:pt idx="4">
                  <c:v>0.27891079411377895</c:v>
                </c:pt>
                <c:pt idx="5">
                  <c:v>0.11997311081211121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235-46F1-81F2-0F4827E65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52352"/>
        <c:axId val="121653888"/>
      </c:lineChart>
      <c:catAx>
        <c:axId val="121652352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21653888"/>
        <c:crosses val="autoZero"/>
        <c:auto val="1"/>
        <c:lblAlgn val="ctr"/>
        <c:lblOffset val="100"/>
        <c:noMultiLvlLbl val="0"/>
      </c:catAx>
      <c:valAx>
        <c:axId val="12165388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1"/>
        <c:majorTickMark val="none"/>
        <c:minorTickMark val="none"/>
        <c:tickLblPos val="nextTo"/>
        <c:crossAx val="12165235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ACM</a:t>
            </a:r>
            <a:r>
              <a:rPr lang="en-US" baseline="0"/>
              <a:t> </a:t>
            </a:r>
            <a:r>
              <a:rPr lang="en-US"/>
              <a:t>Number</a:t>
            </a:r>
            <a:r>
              <a:rPr lang="en-US" baseline="0"/>
              <a:t> of </a:t>
            </a:r>
            <a:r>
              <a:rPr lang="en-US"/>
              <a:t>Binned Events Climatology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1981 - 2010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'ACM NOE'!$C$147:$S$147</c:f>
              <c:numCache>
                <c:formatCode>0.00</c:formatCode>
                <c:ptCount val="6"/>
                <c:pt idx="0">
                  <c:v>25.166666666666668</c:v>
                </c:pt>
                <c:pt idx="1">
                  <c:v>20.233333333333334</c:v>
                </c:pt>
                <c:pt idx="2">
                  <c:v>17.066666666666666</c:v>
                </c:pt>
                <c:pt idx="3">
                  <c:v>15.566666666666666</c:v>
                </c:pt>
                <c:pt idx="4">
                  <c:v>9.1</c:v>
                </c:pt>
                <c:pt idx="5">
                  <c:v>2.3333333333333335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4E-4A0C-A562-C92C9153B423}"/>
            </c:ext>
          </c:extLst>
        </c:ser>
        <c:ser>
          <c:idx val="1"/>
          <c:order val="1"/>
          <c:tx>
            <c:v>POR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'ACM NOE'!$C$148:$S$148</c:f>
              <c:numCache>
                <c:formatCode>0.00</c:formatCode>
                <c:ptCount val="6"/>
                <c:pt idx="0">
                  <c:v>29.403508771929825</c:v>
                </c:pt>
                <c:pt idx="1">
                  <c:v>23.578947368421051</c:v>
                </c:pt>
                <c:pt idx="2">
                  <c:v>20.403508771929825</c:v>
                </c:pt>
                <c:pt idx="3">
                  <c:v>17.140350877192983</c:v>
                </c:pt>
                <c:pt idx="4">
                  <c:v>7.3596491228070171</c:v>
                </c:pt>
                <c:pt idx="5">
                  <c:v>1.6491228070175439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34E-4A0C-A562-C92C9153B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806208"/>
        <c:axId val="121840768"/>
      </c:lineChart>
      <c:catAx>
        <c:axId val="121806208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21840768"/>
        <c:crosses val="autoZero"/>
        <c:auto val="1"/>
        <c:lblAlgn val="ctr"/>
        <c:lblOffset val="100"/>
        <c:noMultiLvlLbl val="0"/>
      </c:catAx>
      <c:valAx>
        <c:axId val="121840768"/>
        <c:scaling>
          <c:orientation val="minMax"/>
        </c:scaling>
        <c:delete val="0"/>
        <c:axPos val="l"/>
        <c:majorGridlines/>
        <c:title>
          <c:overlay val="0"/>
        </c:title>
        <c:numFmt formatCode="0.00" sourceLinked="1"/>
        <c:majorTickMark val="none"/>
        <c:minorTickMark val="none"/>
        <c:tickLblPos val="nextTo"/>
        <c:crossAx val="12180620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ACM</a:t>
            </a:r>
            <a:r>
              <a:rPr lang="en-US" baseline="0"/>
              <a:t> </a:t>
            </a:r>
            <a:r>
              <a:rPr lang="en-US"/>
              <a:t>Contribution from</a:t>
            </a:r>
            <a:r>
              <a:rPr lang="en-US" baseline="0"/>
              <a:t> </a:t>
            </a:r>
            <a:r>
              <a:rPr lang="en-US"/>
              <a:t>Binned Events Climatology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1981 - 2010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'ACM AOE'!$C$147:$S$147</c:f>
              <c:numCache>
                <c:formatCode>0.00</c:formatCode>
                <c:ptCount val="6"/>
                <c:pt idx="0">
                  <c:v>1.4709999999999996</c:v>
                </c:pt>
                <c:pt idx="1">
                  <c:v>3.4696666666666656</c:v>
                </c:pt>
                <c:pt idx="2">
                  <c:v>6.2499999999999973</c:v>
                </c:pt>
                <c:pt idx="3">
                  <c:v>11.123333333333306</c:v>
                </c:pt>
                <c:pt idx="4">
                  <c:v>12.277666666666654</c:v>
                </c:pt>
                <c:pt idx="5">
                  <c:v>6.4713333333333329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940-4848-AE6F-11A3F67FC677}"/>
            </c:ext>
          </c:extLst>
        </c:ser>
        <c:ser>
          <c:idx val="1"/>
          <c:order val="1"/>
          <c:tx>
            <c:v>POR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'ACM AOE'!$C$148:$S$148</c:f>
              <c:numCache>
                <c:formatCode>0.00</c:formatCode>
                <c:ptCount val="6"/>
                <c:pt idx="0">
                  <c:v>1.7239473684210513</c:v>
                </c:pt>
                <c:pt idx="1">
                  <c:v>4.0545614035087718</c:v>
                </c:pt>
                <c:pt idx="2">
                  <c:v>7.4622807017543762</c:v>
                </c:pt>
                <c:pt idx="3">
                  <c:v>12.171140350877165</c:v>
                </c:pt>
                <c:pt idx="4">
                  <c:v>9.8207894736842043</c:v>
                </c:pt>
                <c:pt idx="5">
                  <c:v>4.8555263157894721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940-4848-AE6F-11A3F67FC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3264"/>
        <c:axId val="121964800"/>
      </c:lineChart>
      <c:catAx>
        <c:axId val="121963264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21964800"/>
        <c:crosses val="autoZero"/>
        <c:auto val="1"/>
        <c:lblAlgn val="ctr"/>
        <c:lblOffset val="100"/>
        <c:noMultiLvlLbl val="0"/>
      </c:catAx>
      <c:valAx>
        <c:axId val="12196480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0" sourceLinked="1"/>
        <c:majorTickMark val="none"/>
        <c:minorTickMark val="none"/>
        <c:tickLblPos val="nextTo"/>
        <c:crossAx val="12196326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ACM</a:t>
            </a:r>
            <a:r>
              <a:rPr lang="en-US" baseline="0"/>
              <a:t> </a:t>
            </a:r>
            <a:r>
              <a:rPr lang="en-US"/>
              <a:t>Contribution from</a:t>
            </a:r>
            <a:r>
              <a:rPr lang="en-US" baseline="0"/>
              <a:t> </a:t>
            </a:r>
            <a:r>
              <a:rPr lang="en-US"/>
              <a:t>Binned Events (Expressed as a Percentage of Annual Precip) Climatology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1981 - 2010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'ACM AOE'!$X$147:$AN$147</c:f>
              <c:numCache>
                <c:formatCode>0.0%</c:formatCode>
                <c:ptCount val="6"/>
                <c:pt idx="0">
                  <c:v>3.5826932322453695E-2</c:v>
                </c:pt>
                <c:pt idx="1">
                  <c:v>8.5398489154813448E-2</c:v>
                </c:pt>
                <c:pt idx="2">
                  <c:v>0.15362837046957481</c:v>
                </c:pt>
                <c:pt idx="3">
                  <c:v>0.27476925900798199</c:v>
                </c:pt>
                <c:pt idx="4">
                  <c:v>0.29220658612235634</c:v>
                </c:pt>
                <c:pt idx="5">
                  <c:v>0.15194602454046832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FE8-4A4E-B750-67168270E4D3}"/>
            </c:ext>
          </c:extLst>
        </c:ser>
        <c:ser>
          <c:idx val="1"/>
          <c:order val="1"/>
          <c:tx>
            <c:v>POR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'ACM AOE'!$X$148:$AN$148</c:f>
              <c:numCache>
                <c:formatCode>0.0%</c:formatCode>
                <c:ptCount val="6"/>
                <c:pt idx="0">
                  <c:v>4.3883832260967363E-2</c:v>
                </c:pt>
                <c:pt idx="1">
                  <c:v>0.10327144016381261</c:v>
                </c:pt>
                <c:pt idx="2">
                  <c:v>0.18934917083750022</c:v>
                </c:pt>
                <c:pt idx="3">
                  <c:v>0.30481223099677163</c:v>
                </c:pt>
                <c:pt idx="4">
                  <c:v>0.24054405302761117</c:v>
                </c:pt>
                <c:pt idx="5">
                  <c:v>0.11102802606605319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FE8-4A4E-B750-67168270E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32512"/>
        <c:axId val="122034048"/>
      </c:lineChart>
      <c:catAx>
        <c:axId val="122032512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22034048"/>
        <c:crosses val="autoZero"/>
        <c:auto val="1"/>
        <c:lblAlgn val="ctr"/>
        <c:lblOffset val="100"/>
        <c:noMultiLvlLbl val="0"/>
      </c:catAx>
      <c:valAx>
        <c:axId val="12203404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1"/>
        <c:majorTickMark val="none"/>
        <c:minorTickMark val="none"/>
        <c:tickLblPos val="nextTo"/>
        <c:crossAx val="12203251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NB</a:t>
            </a:r>
            <a:r>
              <a:rPr lang="en-US" baseline="0"/>
              <a:t> </a:t>
            </a:r>
            <a:r>
              <a:rPr lang="en-US"/>
              <a:t>Number</a:t>
            </a:r>
            <a:r>
              <a:rPr lang="en-US" baseline="0"/>
              <a:t> of </a:t>
            </a:r>
            <a:r>
              <a:rPr lang="en-US"/>
              <a:t>Binned Events Climatology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1981 - 2010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'NB NOE'!$C$125:$S$125</c:f>
              <c:numCache>
                <c:formatCode>General</c:formatCode>
                <c:ptCount val="6"/>
                <c:pt idx="0">
                  <c:v>29.833333333333332</c:v>
                </c:pt>
                <c:pt idx="1">
                  <c:v>22.666666666666668</c:v>
                </c:pt>
                <c:pt idx="2">
                  <c:v>21.533333333333335</c:v>
                </c:pt>
                <c:pt idx="3">
                  <c:v>19.833333333333332</c:v>
                </c:pt>
                <c:pt idx="4">
                  <c:v>10.333333333333334</c:v>
                </c:pt>
                <c:pt idx="5">
                  <c:v>2.2333333333333334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BD-4080-AF5B-BCDB06C18516}"/>
            </c:ext>
          </c:extLst>
        </c:ser>
        <c:ser>
          <c:idx val="1"/>
          <c:order val="1"/>
          <c:tx>
            <c:v>POR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'NB NOE'!$C$126:$S$126</c:f>
              <c:numCache>
                <c:formatCode>General</c:formatCode>
                <c:ptCount val="6"/>
                <c:pt idx="0">
                  <c:v>29.163043478260871</c:v>
                </c:pt>
                <c:pt idx="1">
                  <c:v>23.793478260869566</c:v>
                </c:pt>
                <c:pt idx="2">
                  <c:v>20.239130434782609</c:v>
                </c:pt>
                <c:pt idx="3">
                  <c:v>18.619565217391305</c:v>
                </c:pt>
                <c:pt idx="4">
                  <c:v>9.445652173913043</c:v>
                </c:pt>
                <c:pt idx="5">
                  <c:v>1.8913043478260869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1BD-4080-AF5B-BCDB06C18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99840"/>
        <c:axId val="122501376"/>
      </c:lineChart>
      <c:catAx>
        <c:axId val="122499840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22501376"/>
        <c:crosses val="autoZero"/>
        <c:auto val="1"/>
        <c:lblAlgn val="ctr"/>
        <c:lblOffset val="100"/>
        <c:noMultiLvlLbl val="0"/>
      </c:catAx>
      <c:valAx>
        <c:axId val="122501376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2249984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NB</a:t>
            </a:r>
            <a:r>
              <a:rPr lang="en-US" baseline="0"/>
              <a:t> </a:t>
            </a:r>
            <a:r>
              <a:rPr lang="en-US"/>
              <a:t>Contribution from</a:t>
            </a:r>
            <a:r>
              <a:rPr lang="en-US" baseline="0"/>
              <a:t> </a:t>
            </a:r>
            <a:r>
              <a:rPr lang="en-US"/>
              <a:t>Binned Events Climatology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1981 - 2010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'NB AOE'!$C$125:$S$125</c:f>
              <c:numCache>
                <c:formatCode>0.00</c:formatCode>
                <c:ptCount val="6"/>
                <c:pt idx="0">
                  <c:v>1.7483333333333335</c:v>
                </c:pt>
                <c:pt idx="1">
                  <c:v>3.8656666666666664</c:v>
                </c:pt>
                <c:pt idx="2">
                  <c:v>7.8906666666666627</c:v>
                </c:pt>
                <c:pt idx="3">
                  <c:v>14.246333333333313</c:v>
                </c:pt>
                <c:pt idx="4">
                  <c:v>14.296333333333321</c:v>
                </c:pt>
                <c:pt idx="5">
                  <c:v>6.6396666666666659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F96-4A17-AF8F-5E24457E7390}"/>
            </c:ext>
          </c:extLst>
        </c:ser>
        <c:ser>
          <c:idx val="1"/>
          <c:order val="1"/>
          <c:tx>
            <c:v>POR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'NB AOE'!$C$126:$S$126</c:f>
              <c:numCache>
                <c:formatCode>0.00</c:formatCode>
                <c:ptCount val="6"/>
                <c:pt idx="0">
                  <c:v>1.751739130434782</c:v>
                </c:pt>
                <c:pt idx="1">
                  <c:v>4.0971739130434779</c:v>
                </c:pt>
                <c:pt idx="2">
                  <c:v>7.4497826086956476</c:v>
                </c:pt>
                <c:pt idx="3">
                  <c:v>13.246521739130413</c:v>
                </c:pt>
                <c:pt idx="4">
                  <c:v>12.87793478260868</c:v>
                </c:pt>
                <c:pt idx="5">
                  <c:v>5.2752173913043467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F96-4A17-AF8F-5E24457E7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97120"/>
        <c:axId val="114998656"/>
      </c:lineChart>
      <c:catAx>
        <c:axId val="114997120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14998656"/>
        <c:crosses val="autoZero"/>
        <c:auto val="1"/>
        <c:lblAlgn val="ctr"/>
        <c:lblOffset val="100"/>
        <c:noMultiLvlLbl val="0"/>
      </c:catAx>
      <c:valAx>
        <c:axId val="11499865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0" sourceLinked="1"/>
        <c:majorTickMark val="none"/>
        <c:minorTickMark val="none"/>
        <c:tickLblPos val="nextTo"/>
        <c:crossAx val="11499712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NB</a:t>
            </a:r>
            <a:r>
              <a:rPr lang="en-US" baseline="0"/>
              <a:t> </a:t>
            </a:r>
            <a:r>
              <a:rPr lang="en-US"/>
              <a:t>Contribution from</a:t>
            </a:r>
            <a:r>
              <a:rPr lang="en-US" baseline="0"/>
              <a:t> </a:t>
            </a:r>
            <a:r>
              <a:rPr lang="en-US"/>
              <a:t>Binned Events (Expressed as a Percentage of Annual Precip) Climatology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1981 - 2010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'NB AOE'!$U$125:$AK$125</c:f>
              <c:numCache>
                <c:formatCode>0.00%</c:formatCode>
                <c:ptCount val="6"/>
                <c:pt idx="0">
                  <c:v>3.6207689783829024E-2</c:v>
                </c:pt>
                <c:pt idx="1">
                  <c:v>8.0252306524770514E-2</c:v>
                </c:pt>
                <c:pt idx="2">
                  <c:v>0.16283720520385919</c:v>
                </c:pt>
                <c:pt idx="3">
                  <c:v>0.29381935111312224</c:v>
                </c:pt>
                <c:pt idx="4">
                  <c:v>0.29295211143430955</c:v>
                </c:pt>
                <c:pt idx="5">
                  <c:v>0.12850272591704354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31-4535-A2BB-454B087F0DCA}"/>
            </c:ext>
          </c:extLst>
        </c:ser>
        <c:ser>
          <c:idx val="1"/>
          <c:order val="1"/>
          <c:tx>
            <c:v>POR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'NB AOE'!$U$126:$AK$126</c:f>
              <c:numCache>
                <c:formatCode>0.00%</c:formatCode>
                <c:ptCount val="6"/>
                <c:pt idx="0">
                  <c:v>3.9952002984949352E-2</c:v>
                </c:pt>
                <c:pt idx="1">
                  <c:v>9.3069375960475834E-2</c:v>
                </c:pt>
                <c:pt idx="2">
                  <c:v>0.16879574004951287</c:v>
                </c:pt>
                <c:pt idx="3">
                  <c:v>0.29643238605022437</c:v>
                </c:pt>
                <c:pt idx="4">
                  <c:v>0.28411516349731708</c:v>
                </c:pt>
                <c:pt idx="5">
                  <c:v>0.11317426611449947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31-4535-A2BB-454B087F0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000256"/>
        <c:axId val="116001792"/>
      </c:lineChart>
      <c:catAx>
        <c:axId val="116000256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16001792"/>
        <c:crosses val="autoZero"/>
        <c:auto val="1"/>
        <c:lblAlgn val="ctr"/>
        <c:lblOffset val="100"/>
        <c:noMultiLvlLbl val="0"/>
      </c:catAx>
      <c:valAx>
        <c:axId val="11600179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0%" sourceLinked="1"/>
        <c:majorTickMark val="none"/>
        <c:minorTickMark val="none"/>
        <c:tickLblPos val="nextTo"/>
        <c:crossAx val="11600025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Sussex</a:t>
            </a:r>
            <a:r>
              <a:rPr lang="en-US" baseline="0"/>
              <a:t> </a:t>
            </a:r>
            <a:r>
              <a:rPr lang="en-US"/>
              <a:t>Number</a:t>
            </a:r>
            <a:r>
              <a:rPr lang="en-US" baseline="0"/>
              <a:t> of </a:t>
            </a:r>
            <a:r>
              <a:rPr lang="en-US"/>
              <a:t>Binned Events Climatology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1981 - 2010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'SS NOE'!$C$121:$Q$121</c:f>
              <c:numCache>
                <c:formatCode>0.00</c:formatCode>
                <c:ptCount val="6"/>
                <c:pt idx="0">
                  <c:v>31.766666666666666</c:v>
                </c:pt>
                <c:pt idx="1">
                  <c:v>27.933333333333334</c:v>
                </c:pt>
                <c:pt idx="2">
                  <c:v>21.966666666666665</c:v>
                </c:pt>
                <c:pt idx="3">
                  <c:v>18.066666666666666</c:v>
                </c:pt>
                <c:pt idx="4">
                  <c:v>8.7333333333333325</c:v>
                </c:pt>
                <c:pt idx="5">
                  <c:v>1.9666666666666666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42B-431A-92ED-2398CAF409AE}"/>
            </c:ext>
          </c:extLst>
        </c:ser>
        <c:ser>
          <c:idx val="1"/>
          <c:order val="1"/>
          <c:tx>
            <c:v>POR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'SS NOE'!$C$122:$Q$122</c:f>
              <c:numCache>
                <c:formatCode>0.00</c:formatCode>
                <c:ptCount val="6"/>
                <c:pt idx="0">
                  <c:v>28.579545454545453</c:v>
                </c:pt>
                <c:pt idx="1">
                  <c:v>24.704545454545453</c:v>
                </c:pt>
                <c:pt idx="2">
                  <c:v>21.795454545454547</c:v>
                </c:pt>
                <c:pt idx="3">
                  <c:v>17.920454545454547</c:v>
                </c:pt>
                <c:pt idx="4">
                  <c:v>8.5909090909090917</c:v>
                </c:pt>
                <c:pt idx="5">
                  <c:v>1.4431818181818181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42B-431A-92ED-2398CAF40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045696"/>
        <c:axId val="116047232"/>
      </c:lineChart>
      <c:catAx>
        <c:axId val="116045696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16047232"/>
        <c:crosses val="autoZero"/>
        <c:auto val="1"/>
        <c:lblAlgn val="ctr"/>
        <c:lblOffset val="100"/>
        <c:noMultiLvlLbl val="0"/>
      </c:catAx>
      <c:valAx>
        <c:axId val="116047232"/>
        <c:scaling>
          <c:orientation val="minMax"/>
        </c:scaling>
        <c:delete val="0"/>
        <c:axPos val="l"/>
        <c:majorGridlines/>
        <c:title>
          <c:overlay val="0"/>
        </c:title>
        <c:numFmt formatCode="0.00" sourceLinked="1"/>
        <c:majorTickMark val="none"/>
        <c:minorTickMark val="none"/>
        <c:tickLblPos val="nextTo"/>
        <c:crossAx val="11604569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Sussex</a:t>
            </a:r>
            <a:r>
              <a:rPr lang="en-US" baseline="0"/>
              <a:t> </a:t>
            </a:r>
            <a:r>
              <a:rPr lang="en-US"/>
              <a:t>Contribution from</a:t>
            </a:r>
            <a:r>
              <a:rPr lang="en-US" baseline="0"/>
              <a:t> </a:t>
            </a:r>
            <a:r>
              <a:rPr lang="en-US"/>
              <a:t>Binned Events Climatology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1981 - 2010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'SS AOE'!$B$121:$P$121</c:f>
              <c:numCache>
                <c:formatCode>0.00</c:formatCode>
                <c:ptCount val="6"/>
                <c:pt idx="0">
                  <c:v>1.8759999999999997</c:v>
                </c:pt>
                <c:pt idx="1">
                  <c:v>4.770999999999999</c:v>
                </c:pt>
                <c:pt idx="2">
                  <c:v>7.9999999999999893</c:v>
                </c:pt>
                <c:pt idx="3">
                  <c:v>12.913333333333311</c:v>
                </c:pt>
                <c:pt idx="4">
                  <c:v>12.049999999999995</c:v>
                </c:pt>
                <c:pt idx="5">
                  <c:v>5.75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1C-4EB8-BEA6-D9523CD4A71F}"/>
            </c:ext>
          </c:extLst>
        </c:ser>
        <c:ser>
          <c:idx val="1"/>
          <c:order val="1"/>
          <c:tx>
            <c:v>POR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'SS AOE'!$B$122:$P$122</c:f>
              <c:numCache>
                <c:formatCode>0.00</c:formatCode>
                <c:ptCount val="6"/>
                <c:pt idx="0">
                  <c:v>1.7162499999999994</c:v>
                </c:pt>
                <c:pt idx="1">
                  <c:v>4.3365909090909076</c:v>
                </c:pt>
                <c:pt idx="2">
                  <c:v>8.0476136363636286</c:v>
                </c:pt>
                <c:pt idx="3">
                  <c:v>12.778295454545431</c:v>
                </c:pt>
                <c:pt idx="4">
                  <c:v>11.616931818181811</c:v>
                </c:pt>
                <c:pt idx="5">
                  <c:v>3.7998863636363613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61C-4EB8-BEA6-D9523CD4A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931392"/>
        <c:axId val="116461568"/>
      </c:lineChart>
      <c:catAx>
        <c:axId val="115931392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16461568"/>
        <c:crosses val="autoZero"/>
        <c:auto val="1"/>
        <c:lblAlgn val="ctr"/>
        <c:lblOffset val="100"/>
        <c:noMultiLvlLbl val="0"/>
      </c:catAx>
      <c:valAx>
        <c:axId val="1164615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0" sourceLinked="1"/>
        <c:majorTickMark val="none"/>
        <c:minorTickMark val="none"/>
        <c:tickLblPos val="nextTo"/>
        <c:crossAx val="11593139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Sussex </a:t>
            </a:r>
            <a:r>
              <a:rPr lang="en-US" baseline="0"/>
              <a:t> </a:t>
            </a:r>
            <a:r>
              <a:rPr lang="en-US"/>
              <a:t>Contribution from</a:t>
            </a:r>
            <a:r>
              <a:rPr lang="en-US" baseline="0"/>
              <a:t> </a:t>
            </a:r>
            <a:r>
              <a:rPr lang="en-US"/>
              <a:t>Binned Events (Expressed as a Percentage of Annual Precip) Climatology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1981 - 2010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'SS AOE'!$U$121:$AI$121</c:f>
              <c:numCache>
                <c:formatCode>0.0%</c:formatCode>
                <c:ptCount val="6"/>
                <c:pt idx="0">
                  <c:v>4.2654363111030637E-2</c:v>
                </c:pt>
                <c:pt idx="1">
                  <c:v>0.10677906325847687</c:v>
                </c:pt>
                <c:pt idx="2">
                  <c:v>0.17967540262271461</c:v>
                </c:pt>
                <c:pt idx="3">
                  <c:v>0.29017227946563828</c:v>
                </c:pt>
                <c:pt idx="4">
                  <c:v>0.26622967118067908</c:v>
                </c:pt>
                <c:pt idx="5">
                  <c:v>0.1163142030528824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A4-44E4-965D-2D2F36FF43CE}"/>
            </c:ext>
          </c:extLst>
        </c:ser>
        <c:ser>
          <c:idx val="1"/>
          <c:order val="1"/>
          <c:tx>
            <c:v>POR Climatology</c:v>
          </c:tx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'SS AOE'!$U$122:$AI$122</c:f>
              <c:numCache>
                <c:formatCode>0.0%</c:formatCode>
                <c:ptCount val="6"/>
                <c:pt idx="0">
                  <c:v>4.1040560034988099E-2</c:v>
                </c:pt>
                <c:pt idx="1">
                  <c:v>0.10447412089389164</c:v>
                </c:pt>
                <c:pt idx="2">
                  <c:v>0.19388672081510264</c:v>
                </c:pt>
                <c:pt idx="3">
                  <c:v>0.30639591348319017</c:v>
                </c:pt>
                <c:pt idx="4">
                  <c:v>0.26765635809396932</c:v>
                </c:pt>
                <c:pt idx="5">
                  <c:v>8.4386127035765993E-2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4-44E4-965D-2D2F36FF4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504064"/>
        <c:axId val="116505600"/>
      </c:lineChart>
      <c:catAx>
        <c:axId val="116504064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16505600"/>
        <c:crosses val="autoZero"/>
        <c:auto val="1"/>
        <c:lblAlgn val="ctr"/>
        <c:lblOffset val="100"/>
        <c:noMultiLvlLbl val="0"/>
      </c:catAx>
      <c:valAx>
        <c:axId val="11650560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1"/>
        <c:majorTickMark val="none"/>
        <c:minorTickMark val="none"/>
        <c:tickLblPos val="nextTo"/>
        <c:crossAx val="11650406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Indian Mills: Number of Binned Events (Small)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0.03 - 0.10</c:v>
          </c:tx>
          <c:spPr>
            <a:ln>
              <a:solidFill>
                <a:schemeClr val="accent1">
                  <a:alpha val="60000"/>
                </a:schemeClr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tx2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60603631013784964"/>
                  <c:y val="-0.25929609696212896"/>
                </c:manualLayout>
              </c:layout>
              <c:numFmt formatCode="General" sourceLinked="0"/>
            </c:trendlineLbl>
          </c:trendline>
          <c:xVal>
            <c:numRef>
              <c:f>'IM NOE'!$A$2:$A$117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NOE'!$C$2:$C$117</c:f>
              <c:numCache>
                <c:formatCode>General</c:formatCode>
                <c:ptCount val="116"/>
                <c:pt idx="0">
                  <c:v>28</c:v>
                </c:pt>
                <c:pt idx="1">
                  <c:v>29</c:v>
                </c:pt>
                <c:pt idx="2">
                  <c:v>32</c:v>
                </c:pt>
                <c:pt idx="3">
                  <c:v>29</c:v>
                </c:pt>
                <c:pt idx="4">
                  <c:v>32</c:v>
                </c:pt>
                <c:pt idx="5">
                  <c:v>27</c:v>
                </c:pt>
                <c:pt idx="6">
                  <c:v>26</c:v>
                </c:pt>
                <c:pt idx="7">
                  <c:v>31</c:v>
                </c:pt>
                <c:pt idx="8">
                  <c:v>22</c:v>
                </c:pt>
                <c:pt idx="9">
                  <c:v>31</c:v>
                </c:pt>
                <c:pt idx="10">
                  <c:v>29</c:v>
                </c:pt>
                <c:pt idx="11">
                  <c:v>44</c:v>
                </c:pt>
                <c:pt idx="12">
                  <c:v>30</c:v>
                </c:pt>
                <c:pt idx="13">
                  <c:v>32</c:v>
                </c:pt>
                <c:pt idx="14">
                  <c:v>32</c:v>
                </c:pt>
                <c:pt idx="15">
                  <c:v>24</c:v>
                </c:pt>
                <c:pt idx="16">
                  <c:v>35</c:v>
                </c:pt>
                <c:pt idx="17">
                  <c:v>31</c:v>
                </c:pt>
                <c:pt idx="18">
                  <c:v>29</c:v>
                </c:pt>
                <c:pt idx="19">
                  <c:v>37</c:v>
                </c:pt>
                <c:pt idx="20">
                  <c:v>30</c:v>
                </c:pt>
                <c:pt idx="21">
                  <c:v>25</c:v>
                </c:pt>
                <c:pt idx="22">
                  <c:v>17</c:v>
                </c:pt>
                <c:pt idx="23">
                  <c:v>28</c:v>
                </c:pt>
                <c:pt idx="24">
                  <c:v>26</c:v>
                </c:pt>
                <c:pt idx="25">
                  <c:v>27</c:v>
                </c:pt>
                <c:pt idx="26">
                  <c:v>29</c:v>
                </c:pt>
                <c:pt idx="27">
                  <c:v>26</c:v>
                </c:pt>
                <c:pt idx="28">
                  <c:v>26</c:v>
                </c:pt>
                <c:pt idx="29">
                  <c:v>27</c:v>
                </c:pt>
                <c:pt idx="30">
                  <c:v>22</c:v>
                </c:pt>
                <c:pt idx="31">
                  <c:v>23</c:v>
                </c:pt>
                <c:pt idx="32">
                  <c:v>28</c:v>
                </c:pt>
                <c:pt idx="33">
                  <c:v>28</c:v>
                </c:pt>
                <c:pt idx="34">
                  <c:v>23</c:v>
                </c:pt>
                <c:pt idx="35">
                  <c:v>30</c:v>
                </c:pt>
                <c:pt idx="36">
                  <c:v>30</c:v>
                </c:pt>
                <c:pt idx="37">
                  <c:v>35</c:v>
                </c:pt>
                <c:pt idx="38">
                  <c:v>31</c:v>
                </c:pt>
                <c:pt idx="39">
                  <c:v>25</c:v>
                </c:pt>
                <c:pt idx="40">
                  <c:v>22</c:v>
                </c:pt>
                <c:pt idx="41">
                  <c:v>33</c:v>
                </c:pt>
                <c:pt idx="42">
                  <c:v>35</c:v>
                </c:pt>
                <c:pt idx="43">
                  <c:v>40</c:v>
                </c:pt>
                <c:pt idx="44">
                  <c:v>31</c:v>
                </c:pt>
                <c:pt idx="45">
                  <c:v>33</c:v>
                </c:pt>
                <c:pt idx="46">
                  <c:v>43</c:v>
                </c:pt>
                <c:pt idx="47">
                  <c:v>31</c:v>
                </c:pt>
                <c:pt idx="48">
                  <c:v>36</c:v>
                </c:pt>
                <c:pt idx="49">
                  <c:v>32</c:v>
                </c:pt>
                <c:pt idx="50">
                  <c:v>25</c:v>
                </c:pt>
                <c:pt idx="51">
                  <c:v>18</c:v>
                </c:pt>
                <c:pt idx="52">
                  <c:v>23</c:v>
                </c:pt>
                <c:pt idx="53">
                  <c:v>28</c:v>
                </c:pt>
                <c:pt idx="54">
                  <c:v>26</c:v>
                </c:pt>
                <c:pt idx="55">
                  <c:v>27</c:v>
                </c:pt>
                <c:pt idx="56">
                  <c:v>29</c:v>
                </c:pt>
                <c:pt idx="57">
                  <c:v>24</c:v>
                </c:pt>
                <c:pt idx="58">
                  <c:v>29</c:v>
                </c:pt>
                <c:pt idx="59">
                  <c:v>26</c:v>
                </c:pt>
                <c:pt idx="60">
                  <c:v>31</c:v>
                </c:pt>
                <c:pt idx="61">
                  <c:v>26</c:v>
                </c:pt>
                <c:pt idx="62">
                  <c:v>25</c:v>
                </c:pt>
                <c:pt idx="63">
                  <c:v>29</c:v>
                </c:pt>
                <c:pt idx="64">
                  <c:v>24</c:v>
                </c:pt>
                <c:pt idx="65">
                  <c:v>25</c:v>
                </c:pt>
                <c:pt idx="66">
                  <c:v>23</c:v>
                </c:pt>
                <c:pt idx="67">
                  <c:v>22</c:v>
                </c:pt>
                <c:pt idx="68">
                  <c:v>24</c:v>
                </c:pt>
                <c:pt idx="69">
                  <c:v>25</c:v>
                </c:pt>
                <c:pt idx="70">
                  <c:v>32</c:v>
                </c:pt>
                <c:pt idx="71">
                  <c:v>29</c:v>
                </c:pt>
                <c:pt idx="72">
                  <c:v>32</c:v>
                </c:pt>
                <c:pt idx="73">
                  <c:v>38</c:v>
                </c:pt>
                <c:pt idx="74">
                  <c:v>27</c:v>
                </c:pt>
                <c:pt idx="75">
                  <c:v>33</c:v>
                </c:pt>
                <c:pt idx="76">
                  <c:v>22</c:v>
                </c:pt>
                <c:pt idx="77">
                  <c:v>35</c:v>
                </c:pt>
                <c:pt idx="78">
                  <c:v>21</c:v>
                </c:pt>
                <c:pt idx="79">
                  <c:v>25</c:v>
                </c:pt>
                <c:pt idx="80">
                  <c:v>28</c:v>
                </c:pt>
                <c:pt idx="81">
                  <c:v>18</c:v>
                </c:pt>
                <c:pt idx="82">
                  <c:v>21</c:v>
                </c:pt>
                <c:pt idx="83">
                  <c:v>33</c:v>
                </c:pt>
                <c:pt idx="84">
                  <c:v>32</c:v>
                </c:pt>
                <c:pt idx="85">
                  <c:v>23</c:v>
                </c:pt>
                <c:pt idx="86">
                  <c:v>21</c:v>
                </c:pt>
                <c:pt idx="87">
                  <c:v>11</c:v>
                </c:pt>
                <c:pt idx="88">
                  <c:v>28</c:v>
                </c:pt>
                <c:pt idx="89">
                  <c:v>22</c:v>
                </c:pt>
                <c:pt idx="90">
                  <c:v>30</c:v>
                </c:pt>
                <c:pt idx="91">
                  <c:v>21</c:v>
                </c:pt>
                <c:pt idx="92">
                  <c:v>24</c:v>
                </c:pt>
                <c:pt idx="93">
                  <c:v>22</c:v>
                </c:pt>
                <c:pt idx="94">
                  <c:v>27</c:v>
                </c:pt>
                <c:pt idx="95">
                  <c:v>12</c:v>
                </c:pt>
                <c:pt idx="96">
                  <c:v>16</c:v>
                </c:pt>
                <c:pt idx="97">
                  <c:v>12</c:v>
                </c:pt>
                <c:pt idx="98">
                  <c:v>14</c:v>
                </c:pt>
                <c:pt idx="99">
                  <c:v>13</c:v>
                </c:pt>
                <c:pt idx="100">
                  <c:v>24</c:v>
                </c:pt>
                <c:pt idx="101">
                  <c:v>18</c:v>
                </c:pt>
                <c:pt idx="102">
                  <c:v>21</c:v>
                </c:pt>
                <c:pt idx="103">
                  <c:v>15</c:v>
                </c:pt>
                <c:pt idx="104">
                  <c:v>11</c:v>
                </c:pt>
                <c:pt idx="105">
                  <c:v>17</c:v>
                </c:pt>
                <c:pt idx="106">
                  <c:v>17</c:v>
                </c:pt>
                <c:pt idx="107">
                  <c:v>13</c:v>
                </c:pt>
                <c:pt idx="108">
                  <c:v>16</c:v>
                </c:pt>
                <c:pt idx="109">
                  <c:v>13</c:v>
                </c:pt>
                <c:pt idx="110">
                  <c:v>13</c:v>
                </c:pt>
                <c:pt idx="111">
                  <c:v>14</c:v>
                </c:pt>
                <c:pt idx="112">
                  <c:v>13</c:v>
                </c:pt>
                <c:pt idx="113">
                  <c:v>16</c:v>
                </c:pt>
                <c:pt idx="114">
                  <c:v>7</c:v>
                </c:pt>
                <c:pt idx="115">
                  <c:v>10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CE0-43C9-97CB-CB07C86EF15F}"/>
            </c:ext>
          </c:extLst>
        </c:ser>
        <c:ser>
          <c:idx val="1"/>
          <c:order val="1"/>
          <c:tx>
            <c:v>0.11 - 0.25</c:v>
          </c:tx>
          <c:spPr>
            <a:ln>
              <a:solidFill>
                <a:schemeClr val="accent2">
                  <a:alpha val="60000"/>
                </a:schemeClr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2">
                    <a:lumMod val="75000"/>
                  </a:schemeClr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61794259070084667"/>
                  <c:y val="-8.6599477364831992E-2"/>
                </c:manualLayout>
              </c:layout>
              <c:numFmt formatCode="General" sourceLinked="0"/>
            </c:trendlineLbl>
          </c:trendline>
          <c:xVal>
            <c:numRef>
              <c:f>'IM NOE'!$A$2:$A$117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NOE'!$D$2:$D$117</c:f>
              <c:numCache>
                <c:formatCode>General</c:formatCode>
                <c:ptCount val="116"/>
                <c:pt idx="0">
                  <c:v>28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34</c:v>
                </c:pt>
                <c:pt idx="5">
                  <c:v>34</c:v>
                </c:pt>
                <c:pt idx="6">
                  <c:v>24</c:v>
                </c:pt>
                <c:pt idx="7">
                  <c:v>26</c:v>
                </c:pt>
                <c:pt idx="8">
                  <c:v>25</c:v>
                </c:pt>
                <c:pt idx="9">
                  <c:v>24</c:v>
                </c:pt>
                <c:pt idx="10">
                  <c:v>22</c:v>
                </c:pt>
                <c:pt idx="11">
                  <c:v>29</c:v>
                </c:pt>
                <c:pt idx="12">
                  <c:v>21</c:v>
                </c:pt>
                <c:pt idx="13">
                  <c:v>21</c:v>
                </c:pt>
                <c:pt idx="14">
                  <c:v>29</c:v>
                </c:pt>
                <c:pt idx="15">
                  <c:v>26</c:v>
                </c:pt>
                <c:pt idx="16">
                  <c:v>17</c:v>
                </c:pt>
                <c:pt idx="17">
                  <c:v>26</c:v>
                </c:pt>
                <c:pt idx="18">
                  <c:v>32</c:v>
                </c:pt>
                <c:pt idx="19">
                  <c:v>28</c:v>
                </c:pt>
                <c:pt idx="20">
                  <c:v>34</c:v>
                </c:pt>
                <c:pt idx="21">
                  <c:v>21</c:v>
                </c:pt>
                <c:pt idx="22">
                  <c:v>27</c:v>
                </c:pt>
                <c:pt idx="23">
                  <c:v>22</c:v>
                </c:pt>
                <c:pt idx="24">
                  <c:v>23</c:v>
                </c:pt>
                <c:pt idx="25">
                  <c:v>28</c:v>
                </c:pt>
                <c:pt idx="26">
                  <c:v>25</c:v>
                </c:pt>
                <c:pt idx="27">
                  <c:v>26</c:v>
                </c:pt>
                <c:pt idx="28">
                  <c:v>30</c:v>
                </c:pt>
                <c:pt idx="29">
                  <c:v>16</c:v>
                </c:pt>
                <c:pt idx="30">
                  <c:v>27</c:v>
                </c:pt>
                <c:pt idx="31">
                  <c:v>28</c:v>
                </c:pt>
                <c:pt idx="32">
                  <c:v>21</c:v>
                </c:pt>
                <c:pt idx="33">
                  <c:v>32</c:v>
                </c:pt>
                <c:pt idx="34">
                  <c:v>22</c:v>
                </c:pt>
                <c:pt idx="35">
                  <c:v>32</c:v>
                </c:pt>
                <c:pt idx="36">
                  <c:v>35</c:v>
                </c:pt>
                <c:pt idx="37">
                  <c:v>26</c:v>
                </c:pt>
                <c:pt idx="38">
                  <c:v>29</c:v>
                </c:pt>
                <c:pt idx="39">
                  <c:v>20</c:v>
                </c:pt>
                <c:pt idx="40">
                  <c:v>25</c:v>
                </c:pt>
                <c:pt idx="41">
                  <c:v>19</c:v>
                </c:pt>
                <c:pt idx="42">
                  <c:v>27</c:v>
                </c:pt>
                <c:pt idx="43">
                  <c:v>36</c:v>
                </c:pt>
                <c:pt idx="44">
                  <c:v>27</c:v>
                </c:pt>
                <c:pt idx="45">
                  <c:v>21</c:v>
                </c:pt>
                <c:pt idx="46">
                  <c:v>25</c:v>
                </c:pt>
                <c:pt idx="47">
                  <c:v>15</c:v>
                </c:pt>
                <c:pt idx="48">
                  <c:v>34</c:v>
                </c:pt>
                <c:pt idx="49">
                  <c:v>25</c:v>
                </c:pt>
                <c:pt idx="50">
                  <c:v>15</c:v>
                </c:pt>
                <c:pt idx="51">
                  <c:v>21</c:v>
                </c:pt>
                <c:pt idx="52">
                  <c:v>20</c:v>
                </c:pt>
                <c:pt idx="53">
                  <c:v>18</c:v>
                </c:pt>
                <c:pt idx="54">
                  <c:v>28</c:v>
                </c:pt>
                <c:pt idx="55">
                  <c:v>34</c:v>
                </c:pt>
                <c:pt idx="56">
                  <c:v>14</c:v>
                </c:pt>
                <c:pt idx="57">
                  <c:v>31</c:v>
                </c:pt>
                <c:pt idx="58">
                  <c:v>23</c:v>
                </c:pt>
                <c:pt idx="59">
                  <c:v>21</c:v>
                </c:pt>
                <c:pt idx="60">
                  <c:v>23</c:v>
                </c:pt>
                <c:pt idx="61">
                  <c:v>22</c:v>
                </c:pt>
                <c:pt idx="62">
                  <c:v>15</c:v>
                </c:pt>
                <c:pt idx="63">
                  <c:v>23</c:v>
                </c:pt>
                <c:pt idx="64">
                  <c:v>17</c:v>
                </c:pt>
                <c:pt idx="65">
                  <c:v>31</c:v>
                </c:pt>
                <c:pt idx="66">
                  <c:v>17</c:v>
                </c:pt>
                <c:pt idx="67">
                  <c:v>20</c:v>
                </c:pt>
                <c:pt idx="68">
                  <c:v>22</c:v>
                </c:pt>
                <c:pt idx="69">
                  <c:v>19</c:v>
                </c:pt>
                <c:pt idx="70">
                  <c:v>30</c:v>
                </c:pt>
                <c:pt idx="71">
                  <c:v>20</c:v>
                </c:pt>
                <c:pt idx="72">
                  <c:v>23</c:v>
                </c:pt>
                <c:pt idx="73">
                  <c:v>25</c:v>
                </c:pt>
                <c:pt idx="74">
                  <c:v>16</c:v>
                </c:pt>
                <c:pt idx="75">
                  <c:v>29</c:v>
                </c:pt>
                <c:pt idx="76">
                  <c:v>22</c:v>
                </c:pt>
                <c:pt idx="77">
                  <c:v>37</c:v>
                </c:pt>
                <c:pt idx="78">
                  <c:v>18</c:v>
                </c:pt>
                <c:pt idx="79">
                  <c:v>20</c:v>
                </c:pt>
                <c:pt idx="80">
                  <c:v>26</c:v>
                </c:pt>
                <c:pt idx="81">
                  <c:v>20</c:v>
                </c:pt>
                <c:pt idx="82">
                  <c:v>21</c:v>
                </c:pt>
                <c:pt idx="83">
                  <c:v>17</c:v>
                </c:pt>
                <c:pt idx="84">
                  <c:v>18</c:v>
                </c:pt>
                <c:pt idx="85">
                  <c:v>18</c:v>
                </c:pt>
                <c:pt idx="86">
                  <c:v>13</c:v>
                </c:pt>
                <c:pt idx="87">
                  <c:v>16</c:v>
                </c:pt>
                <c:pt idx="88">
                  <c:v>22</c:v>
                </c:pt>
                <c:pt idx="89">
                  <c:v>16</c:v>
                </c:pt>
                <c:pt idx="90">
                  <c:v>26</c:v>
                </c:pt>
                <c:pt idx="91">
                  <c:v>26</c:v>
                </c:pt>
                <c:pt idx="92">
                  <c:v>22</c:v>
                </c:pt>
                <c:pt idx="93">
                  <c:v>25</c:v>
                </c:pt>
                <c:pt idx="94">
                  <c:v>22</c:v>
                </c:pt>
                <c:pt idx="95">
                  <c:v>29</c:v>
                </c:pt>
                <c:pt idx="96">
                  <c:v>24</c:v>
                </c:pt>
                <c:pt idx="97">
                  <c:v>25</c:v>
                </c:pt>
                <c:pt idx="98">
                  <c:v>22</c:v>
                </c:pt>
                <c:pt idx="99">
                  <c:v>32</c:v>
                </c:pt>
                <c:pt idx="100">
                  <c:v>20</c:v>
                </c:pt>
                <c:pt idx="101">
                  <c:v>33</c:v>
                </c:pt>
                <c:pt idx="102">
                  <c:v>26</c:v>
                </c:pt>
                <c:pt idx="103">
                  <c:v>24</c:v>
                </c:pt>
                <c:pt idx="104">
                  <c:v>16</c:v>
                </c:pt>
                <c:pt idx="105">
                  <c:v>23</c:v>
                </c:pt>
                <c:pt idx="106">
                  <c:v>20</c:v>
                </c:pt>
                <c:pt idx="107">
                  <c:v>24</c:v>
                </c:pt>
                <c:pt idx="108">
                  <c:v>16</c:v>
                </c:pt>
                <c:pt idx="109">
                  <c:v>20</c:v>
                </c:pt>
                <c:pt idx="110">
                  <c:v>26</c:v>
                </c:pt>
                <c:pt idx="111">
                  <c:v>19</c:v>
                </c:pt>
                <c:pt idx="112">
                  <c:v>30</c:v>
                </c:pt>
                <c:pt idx="113">
                  <c:v>28</c:v>
                </c:pt>
                <c:pt idx="114">
                  <c:v>32</c:v>
                </c:pt>
                <c:pt idx="115">
                  <c:v>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CE0-43C9-97CB-CB07C86EF15F}"/>
            </c:ext>
          </c:extLst>
        </c:ser>
        <c:ser>
          <c:idx val="2"/>
          <c:order val="2"/>
          <c:tx>
            <c:v>0.26 - 0.50</c:v>
          </c:tx>
          <c:spPr>
            <a:ln>
              <a:solidFill>
                <a:schemeClr val="accent3">
                  <a:alpha val="60000"/>
                </a:schemeClr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3">
                    <a:lumMod val="75000"/>
                  </a:schemeClr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60943810458442027"/>
                  <c:y val="-5.2595661125669088E-2"/>
                </c:manualLayout>
              </c:layout>
              <c:numFmt formatCode="General" sourceLinked="0"/>
            </c:trendlineLbl>
          </c:trendline>
          <c:xVal>
            <c:numRef>
              <c:f>'IM NOE'!$A$2:$A$117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NOE'!$E$2:$E$117</c:f>
              <c:numCache>
                <c:formatCode>General</c:formatCode>
                <c:ptCount val="116"/>
                <c:pt idx="0">
                  <c:v>17</c:v>
                </c:pt>
                <c:pt idx="1">
                  <c:v>25</c:v>
                </c:pt>
                <c:pt idx="2">
                  <c:v>23</c:v>
                </c:pt>
                <c:pt idx="3">
                  <c:v>27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26</c:v>
                </c:pt>
                <c:pt idx="9">
                  <c:v>30</c:v>
                </c:pt>
                <c:pt idx="10">
                  <c:v>17</c:v>
                </c:pt>
                <c:pt idx="11">
                  <c:v>14</c:v>
                </c:pt>
                <c:pt idx="12">
                  <c:v>21</c:v>
                </c:pt>
                <c:pt idx="13">
                  <c:v>33</c:v>
                </c:pt>
                <c:pt idx="14">
                  <c:v>22</c:v>
                </c:pt>
                <c:pt idx="15">
                  <c:v>27</c:v>
                </c:pt>
                <c:pt idx="16">
                  <c:v>25</c:v>
                </c:pt>
                <c:pt idx="17">
                  <c:v>26</c:v>
                </c:pt>
                <c:pt idx="18">
                  <c:v>22</c:v>
                </c:pt>
                <c:pt idx="19">
                  <c:v>24</c:v>
                </c:pt>
                <c:pt idx="20">
                  <c:v>22</c:v>
                </c:pt>
                <c:pt idx="21">
                  <c:v>27</c:v>
                </c:pt>
                <c:pt idx="22">
                  <c:v>24</c:v>
                </c:pt>
                <c:pt idx="23">
                  <c:v>26</c:v>
                </c:pt>
                <c:pt idx="24">
                  <c:v>31</c:v>
                </c:pt>
                <c:pt idx="25">
                  <c:v>30</c:v>
                </c:pt>
                <c:pt idx="26">
                  <c:v>21</c:v>
                </c:pt>
                <c:pt idx="27">
                  <c:v>25</c:v>
                </c:pt>
                <c:pt idx="28">
                  <c:v>18</c:v>
                </c:pt>
                <c:pt idx="29">
                  <c:v>16</c:v>
                </c:pt>
                <c:pt idx="30">
                  <c:v>15</c:v>
                </c:pt>
                <c:pt idx="31">
                  <c:v>19</c:v>
                </c:pt>
                <c:pt idx="32">
                  <c:v>18</c:v>
                </c:pt>
                <c:pt idx="33">
                  <c:v>22</c:v>
                </c:pt>
                <c:pt idx="34">
                  <c:v>19</c:v>
                </c:pt>
                <c:pt idx="35">
                  <c:v>23</c:v>
                </c:pt>
                <c:pt idx="36">
                  <c:v>23</c:v>
                </c:pt>
                <c:pt idx="37">
                  <c:v>19</c:v>
                </c:pt>
                <c:pt idx="38">
                  <c:v>17</c:v>
                </c:pt>
                <c:pt idx="39">
                  <c:v>16</c:v>
                </c:pt>
                <c:pt idx="40">
                  <c:v>21</c:v>
                </c:pt>
                <c:pt idx="41">
                  <c:v>17</c:v>
                </c:pt>
                <c:pt idx="42">
                  <c:v>13</c:v>
                </c:pt>
                <c:pt idx="43">
                  <c:v>25</c:v>
                </c:pt>
                <c:pt idx="44">
                  <c:v>19</c:v>
                </c:pt>
                <c:pt idx="45">
                  <c:v>23</c:v>
                </c:pt>
                <c:pt idx="46">
                  <c:v>24</c:v>
                </c:pt>
                <c:pt idx="47">
                  <c:v>29</c:v>
                </c:pt>
                <c:pt idx="48">
                  <c:v>11</c:v>
                </c:pt>
                <c:pt idx="49">
                  <c:v>15</c:v>
                </c:pt>
                <c:pt idx="50">
                  <c:v>27</c:v>
                </c:pt>
                <c:pt idx="51">
                  <c:v>26</c:v>
                </c:pt>
                <c:pt idx="52">
                  <c:v>16</c:v>
                </c:pt>
                <c:pt idx="53">
                  <c:v>16</c:v>
                </c:pt>
                <c:pt idx="54">
                  <c:v>32</c:v>
                </c:pt>
                <c:pt idx="55">
                  <c:v>22</c:v>
                </c:pt>
                <c:pt idx="56">
                  <c:v>18</c:v>
                </c:pt>
                <c:pt idx="57">
                  <c:v>23</c:v>
                </c:pt>
                <c:pt idx="58">
                  <c:v>19</c:v>
                </c:pt>
                <c:pt idx="59">
                  <c:v>27</c:v>
                </c:pt>
                <c:pt idx="60">
                  <c:v>15</c:v>
                </c:pt>
                <c:pt idx="61">
                  <c:v>14</c:v>
                </c:pt>
                <c:pt idx="62">
                  <c:v>11</c:v>
                </c:pt>
                <c:pt idx="63">
                  <c:v>21</c:v>
                </c:pt>
                <c:pt idx="64">
                  <c:v>17</c:v>
                </c:pt>
                <c:pt idx="65">
                  <c:v>21</c:v>
                </c:pt>
                <c:pt idx="66">
                  <c:v>13</c:v>
                </c:pt>
                <c:pt idx="67">
                  <c:v>14</c:v>
                </c:pt>
                <c:pt idx="68">
                  <c:v>23</c:v>
                </c:pt>
                <c:pt idx="69">
                  <c:v>15</c:v>
                </c:pt>
                <c:pt idx="70">
                  <c:v>24</c:v>
                </c:pt>
                <c:pt idx="71">
                  <c:v>24</c:v>
                </c:pt>
                <c:pt idx="72">
                  <c:v>22</c:v>
                </c:pt>
                <c:pt idx="73">
                  <c:v>11</c:v>
                </c:pt>
                <c:pt idx="74">
                  <c:v>16</c:v>
                </c:pt>
                <c:pt idx="75">
                  <c:v>21</c:v>
                </c:pt>
                <c:pt idx="76">
                  <c:v>19</c:v>
                </c:pt>
                <c:pt idx="77">
                  <c:v>15</c:v>
                </c:pt>
                <c:pt idx="78">
                  <c:v>30</c:v>
                </c:pt>
                <c:pt idx="79">
                  <c:v>23</c:v>
                </c:pt>
                <c:pt idx="80">
                  <c:v>20</c:v>
                </c:pt>
                <c:pt idx="81">
                  <c:v>23</c:v>
                </c:pt>
                <c:pt idx="82">
                  <c:v>19</c:v>
                </c:pt>
                <c:pt idx="83">
                  <c:v>21</c:v>
                </c:pt>
                <c:pt idx="84">
                  <c:v>22</c:v>
                </c:pt>
                <c:pt idx="85">
                  <c:v>19</c:v>
                </c:pt>
                <c:pt idx="86">
                  <c:v>20</c:v>
                </c:pt>
                <c:pt idx="87">
                  <c:v>12</c:v>
                </c:pt>
                <c:pt idx="88">
                  <c:v>21</c:v>
                </c:pt>
                <c:pt idx="89">
                  <c:v>17</c:v>
                </c:pt>
                <c:pt idx="90">
                  <c:v>23</c:v>
                </c:pt>
                <c:pt idx="91">
                  <c:v>22</c:v>
                </c:pt>
                <c:pt idx="92">
                  <c:v>23</c:v>
                </c:pt>
                <c:pt idx="93">
                  <c:v>16</c:v>
                </c:pt>
                <c:pt idx="94">
                  <c:v>27</c:v>
                </c:pt>
                <c:pt idx="95">
                  <c:v>24</c:v>
                </c:pt>
                <c:pt idx="96">
                  <c:v>21</c:v>
                </c:pt>
                <c:pt idx="97">
                  <c:v>22</c:v>
                </c:pt>
                <c:pt idx="98">
                  <c:v>23</c:v>
                </c:pt>
                <c:pt idx="99">
                  <c:v>16</c:v>
                </c:pt>
                <c:pt idx="100">
                  <c:v>18</c:v>
                </c:pt>
                <c:pt idx="101">
                  <c:v>27</c:v>
                </c:pt>
                <c:pt idx="102">
                  <c:v>21</c:v>
                </c:pt>
                <c:pt idx="103">
                  <c:v>22</c:v>
                </c:pt>
                <c:pt idx="104">
                  <c:v>16</c:v>
                </c:pt>
                <c:pt idx="105">
                  <c:v>14</c:v>
                </c:pt>
                <c:pt idx="106">
                  <c:v>21</c:v>
                </c:pt>
                <c:pt idx="107">
                  <c:v>23</c:v>
                </c:pt>
                <c:pt idx="108">
                  <c:v>21</c:v>
                </c:pt>
                <c:pt idx="109">
                  <c:v>30</c:v>
                </c:pt>
                <c:pt idx="110">
                  <c:v>22</c:v>
                </c:pt>
                <c:pt idx="111">
                  <c:v>28</c:v>
                </c:pt>
                <c:pt idx="112">
                  <c:v>18</c:v>
                </c:pt>
                <c:pt idx="113">
                  <c:v>17</c:v>
                </c:pt>
                <c:pt idx="114">
                  <c:v>16</c:v>
                </c:pt>
                <c:pt idx="115">
                  <c:v>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CE0-43C9-97CB-CB07C86EF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569216"/>
        <c:axId val="116571136"/>
      </c:scatterChart>
      <c:valAx>
        <c:axId val="116569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71136"/>
        <c:crosses val="autoZero"/>
        <c:crossBetween val="midCat"/>
      </c:valAx>
      <c:valAx>
        <c:axId val="116571136"/>
        <c:scaling>
          <c:orientation val="minMax"/>
          <c:max val="45"/>
          <c:min val="0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Events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692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tx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Indian Mills Annual Precipitation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IM Annual Precip</c:v>
          </c:tx>
          <c:marker>
            <c:symbol val="none"/>
          </c:marker>
          <c:trendline>
            <c:spPr>
              <a:ln w="38100">
                <a:solidFill>
                  <a:schemeClr val="accent1"/>
                </a:solidFill>
                <a:prstDash val="lgDash"/>
              </a:ln>
            </c:spPr>
            <c:trendlineType val="linear"/>
            <c:dispRSqr val="1"/>
            <c:dispEq val="1"/>
            <c:trendlineLbl>
              <c:layout>
                <c:manualLayout>
                  <c:x val="9.085141457616E-2"/>
                  <c:y val="1.7226799892313193E-2"/>
                </c:manualLayout>
              </c:layout>
              <c:numFmt formatCode="General" sourceLinked="0"/>
            </c:trendlineLbl>
          </c:trendline>
          <c:xVal>
            <c:numRef>
              <c:f>'IM AOE'!$U$2:$U$117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AOE'!$V$2:$V$117</c:f>
              <c:numCache>
                <c:formatCode>General</c:formatCode>
                <c:ptCount val="116"/>
                <c:pt idx="0">
                  <c:v>55.4</c:v>
                </c:pt>
                <c:pt idx="1">
                  <c:v>47.07</c:v>
                </c:pt>
                <c:pt idx="2">
                  <c:v>39.26</c:v>
                </c:pt>
                <c:pt idx="3">
                  <c:v>46.02</c:v>
                </c:pt>
                <c:pt idx="4">
                  <c:v>50.98</c:v>
                </c:pt>
                <c:pt idx="5">
                  <c:v>58</c:v>
                </c:pt>
                <c:pt idx="6">
                  <c:v>46.84</c:v>
                </c:pt>
                <c:pt idx="7">
                  <c:v>40.67</c:v>
                </c:pt>
                <c:pt idx="8">
                  <c:v>41.07</c:v>
                </c:pt>
                <c:pt idx="9">
                  <c:v>58.67</c:v>
                </c:pt>
                <c:pt idx="10">
                  <c:v>50.96</c:v>
                </c:pt>
                <c:pt idx="11">
                  <c:v>45.56</c:v>
                </c:pt>
                <c:pt idx="12">
                  <c:v>39.96</c:v>
                </c:pt>
                <c:pt idx="13">
                  <c:v>48.89</c:v>
                </c:pt>
                <c:pt idx="14">
                  <c:v>40.909999999999997</c:v>
                </c:pt>
                <c:pt idx="15">
                  <c:v>50.37</c:v>
                </c:pt>
                <c:pt idx="16">
                  <c:v>41.13</c:v>
                </c:pt>
                <c:pt idx="17">
                  <c:v>51.91</c:v>
                </c:pt>
                <c:pt idx="18">
                  <c:v>50.45</c:v>
                </c:pt>
                <c:pt idx="19">
                  <c:v>36.14</c:v>
                </c:pt>
                <c:pt idx="20">
                  <c:v>39.369999999999997</c:v>
                </c:pt>
                <c:pt idx="21">
                  <c:v>44.28</c:v>
                </c:pt>
                <c:pt idx="22">
                  <c:v>53.24</c:v>
                </c:pt>
                <c:pt idx="23">
                  <c:v>44.91</c:v>
                </c:pt>
                <c:pt idx="24">
                  <c:v>49.67</c:v>
                </c:pt>
                <c:pt idx="25">
                  <c:v>48.88</c:v>
                </c:pt>
                <c:pt idx="26">
                  <c:v>51.31</c:v>
                </c:pt>
                <c:pt idx="27">
                  <c:v>45.75</c:v>
                </c:pt>
                <c:pt idx="28">
                  <c:v>36.15</c:v>
                </c:pt>
                <c:pt idx="29">
                  <c:v>38.58</c:v>
                </c:pt>
                <c:pt idx="30">
                  <c:v>52.24</c:v>
                </c:pt>
                <c:pt idx="31">
                  <c:v>56.84</c:v>
                </c:pt>
                <c:pt idx="32">
                  <c:v>51.36</c:v>
                </c:pt>
                <c:pt idx="33">
                  <c:v>48.37</c:v>
                </c:pt>
                <c:pt idx="34">
                  <c:v>46.15</c:v>
                </c:pt>
                <c:pt idx="35">
                  <c:v>51.43</c:v>
                </c:pt>
                <c:pt idx="36">
                  <c:v>53.97</c:v>
                </c:pt>
                <c:pt idx="37">
                  <c:v>49.96</c:v>
                </c:pt>
                <c:pt idx="38">
                  <c:v>51.82</c:v>
                </c:pt>
                <c:pt idx="39">
                  <c:v>37.409999999999997</c:v>
                </c:pt>
                <c:pt idx="40">
                  <c:v>42.63</c:v>
                </c:pt>
                <c:pt idx="41">
                  <c:v>36.07</c:v>
                </c:pt>
                <c:pt idx="42">
                  <c:v>43.91</c:v>
                </c:pt>
                <c:pt idx="43">
                  <c:v>48.98</c:v>
                </c:pt>
                <c:pt idx="44">
                  <c:v>39.93</c:v>
                </c:pt>
                <c:pt idx="45">
                  <c:v>41.64</c:v>
                </c:pt>
                <c:pt idx="46">
                  <c:v>55.45</c:v>
                </c:pt>
                <c:pt idx="47">
                  <c:v>40.68</c:v>
                </c:pt>
                <c:pt idx="48">
                  <c:v>39.67</c:v>
                </c:pt>
                <c:pt idx="49">
                  <c:v>41.47</c:v>
                </c:pt>
                <c:pt idx="50">
                  <c:v>52.88</c:v>
                </c:pt>
                <c:pt idx="51">
                  <c:v>46.39</c:v>
                </c:pt>
                <c:pt idx="52">
                  <c:v>40.590000000000003</c:v>
                </c:pt>
                <c:pt idx="53">
                  <c:v>34.17</c:v>
                </c:pt>
                <c:pt idx="54">
                  <c:v>48.86</c:v>
                </c:pt>
                <c:pt idx="55">
                  <c:v>34.83</c:v>
                </c:pt>
                <c:pt idx="56">
                  <c:v>64.44</c:v>
                </c:pt>
                <c:pt idx="57">
                  <c:v>39.97</c:v>
                </c:pt>
                <c:pt idx="58">
                  <c:v>46.19</c:v>
                </c:pt>
                <c:pt idx="59">
                  <c:v>45.23</c:v>
                </c:pt>
                <c:pt idx="60">
                  <c:v>48.63</c:v>
                </c:pt>
                <c:pt idx="61">
                  <c:v>36.53</c:v>
                </c:pt>
                <c:pt idx="62">
                  <c:v>35.979999999999997</c:v>
                </c:pt>
                <c:pt idx="63">
                  <c:v>29.4</c:v>
                </c:pt>
                <c:pt idx="64">
                  <c:v>42.45</c:v>
                </c:pt>
                <c:pt idx="65">
                  <c:v>44.73</c:v>
                </c:pt>
                <c:pt idx="66">
                  <c:v>38.409999999999997</c:v>
                </c:pt>
                <c:pt idx="67">
                  <c:v>52.04</c:v>
                </c:pt>
                <c:pt idx="68">
                  <c:v>37.25</c:v>
                </c:pt>
                <c:pt idx="69">
                  <c:v>50.39</c:v>
                </c:pt>
                <c:pt idx="70">
                  <c:v>58.6</c:v>
                </c:pt>
                <c:pt idx="71">
                  <c:v>45.21</c:v>
                </c:pt>
                <c:pt idx="72">
                  <c:v>49.85</c:v>
                </c:pt>
                <c:pt idx="73">
                  <c:v>56.42</c:v>
                </c:pt>
                <c:pt idx="74">
                  <c:v>40.56</c:v>
                </c:pt>
                <c:pt idx="75">
                  <c:v>44.61</c:v>
                </c:pt>
                <c:pt idx="76">
                  <c:v>43.02</c:v>
                </c:pt>
                <c:pt idx="77">
                  <c:v>59.6</c:v>
                </c:pt>
                <c:pt idx="78">
                  <c:v>36.36</c:v>
                </c:pt>
                <c:pt idx="79">
                  <c:v>40.340000000000003</c:v>
                </c:pt>
                <c:pt idx="80">
                  <c:v>38.4</c:v>
                </c:pt>
                <c:pt idx="81">
                  <c:v>58.25</c:v>
                </c:pt>
                <c:pt idx="82">
                  <c:v>45.45</c:v>
                </c:pt>
                <c:pt idx="83">
                  <c:v>35.880000000000003</c:v>
                </c:pt>
                <c:pt idx="84">
                  <c:v>44.76</c:v>
                </c:pt>
                <c:pt idx="85">
                  <c:v>48.12</c:v>
                </c:pt>
                <c:pt idx="86">
                  <c:v>36.090000000000003</c:v>
                </c:pt>
                <c:pt idx="87">
                  <c:v>40.47</c:v>
                </c:pt>
                <c:pt idx="88">
                  <c:v>51</c:v>
                </c:pt>
                <c:pt idx="89">
                  <c:v>48.58</c:v>
                </c:pt>
                <c:pt idx="90">
                  <c:v>44.22</c:v>
                </c:pt>
                <c:pt idx="91">
                  <c:v>47.36</c:v>
                </c:pt>
                <c:pt idx="92">
                  <c:v>49.96</c:v>
                </c:pt>
                <c:pt idx="93">
                  <c:v>38.82</c:v>
                </c:pt>
                <c:pt idx="94">
                  <c:v>59.58</c:v>
                </c:pt>
                <c:pt idx="95">
                  <c:v>44.67</c:v>
                </c:pt>
                <c:pt idx="96">
                  <c:v>42.24</c:v>
                </c:pt>
                <c:pt idx="97">
                  <c:v>49.23</c:v>
                </c:pt>
                <c:pt idx="98">
                  <c:v>48.15</c:v>
                </c:pt>
                <c:pt idx="99">
                  <c:v>35.72</c:v>
                </c:pt>
                <c:pt idx="100">
                  <c:v>45.83</c:v>
                </c:pt>
                <c:pt idx="101">
                  <c:v>58.65</c:v>
                </c:pt>
                <c:pt idx="102">
                  <c:v>56.86</c:v>
                </c:pt>
                <c:pt idx="103">
                  <c:v>52.16</c:v>
                </c:pt>
                <c:pt idx="104">
                  <c:v>54.98</c:v>
                </c:pt>
                <c:pt idx="105">
                  <c:v>43.67</c:v>
                </c:pt>
                <c:pt idx="106">
                  <c:v>47.94</c:v>
                </c:pt>
                <c:pt idx="107">
                  <c:v>56.89</c:v>
                </c:pt>
                <c:pt idx="108">
                  <c:v>42.47</c:v>
                </c:pt>
                <c:pt idx="109">
                  <c:v>62.6</c:v>
                </c:pt>
                <c:pt idx="110">
                  <c:v>46.98</c:v>
                </c:pt>
                <c:pt idx="111">
                  <c:v>53.33</c:v>
                </c:pt>
                <c:pt idx="112">
                  <c:v>54.87</c:v>
                </c:pt>
                <c:pt idx="113">
                  <c:v>43.87</c:v>
                </c:pt>
                <c:pt idx="114">
                  <c:v>43.16</c:v>
                </c:pt>
                <c:pt idx="115">
                  <c:v>48.25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3CF-4E83-BE22-427A4F30A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683520"/>
        <c:axId val="116685440"/>
      </c:scatterChart>
      <c:valAx>
        <c:axId val="11668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685440"/>
        <c:crosses val="autoZero"/>
        <c:crossBetween val="midCat"/>
      </c:valAx>
      <c:valAx>
        <c:axId val="116685440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Rainfall (Inches)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6835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bg2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Indian Mills: Total Precipitation Within</a:t>
            </a:r>
            <a:r>
              <a:rPr lang="en-US" baseline="0"/>
              <a:t> Bins (Small)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0.03 - 0.10</c:v>
          </c:tx>
          <c:marker>
            <c:symbol val="none"/>
          </c:marker>
          <c:trendline>
            <c:spPr>
              <a:ln w="28575">
                <a:solidFill>
                  <a:schemeClr val="accent1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8726018706918273E-2"/>
                  <c:y val="-2.3916662474560021E-3"/>
                </c:manualLayout>
              </c:layout>
              <c:numFmt formatCode="General" sourceLinked="0"/>
            </c:trendlineLbl>
          </c:trendline>
          <c:xVal>
            <c:numRef>
              <c:f>'IM AOE'!$A$2:$A$117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AOE'!$C$2:$C$117</c:f>
              <c:numCache>
                <c:formatCode>General</c:formatCode>
                <c:ptCount val="116"/>
                <c:pt idx="0">
                  <c:v>1.68</c:v>
                </c:pt>
                <c:pt idx="1">
                  <c:v>1.66</c:v>
                </c:pt>
                <c:pt idx="2">
                  <c:v>2.06</c:v>
                </c:pt>
                <c:pt idx="3">
                  <c:v>1.87</c:v>
                </c:pt>
                <c:pt idx="4">
                  <c:v>1.88</c:v>
                </c:pt>
                <c:pt idx="5">
                  <c:v>1.73</c:v>
                </c:pt>
                <c:pt idx="6">
                  <c:v>1.82</c:v>
                </c:pt>
                <c:pt idx="7">
                  <c:v>1.82</c:v>
                </c:pt>
                <c:pt idx="8">
                  <c:v>1.28</c:v>
                </c:pt>
                <c:pt idx="9">
                  <c:v>1.76</c:v>
                </c:pt>
                <c:pt idx="10">
                  <c:v>1.75</c:v>
                </c:pt>
                <c:pt idx="11">
                  <c:v>2.54</c:v>
                </c:pt>
                <c:pt idx="12">
                  <c:v>2.0499999999999998</c:v>
                </c:pt>
                <c:pt idx="13">
                  <c:v>1.78</c:v>
                </c:pt>
                <c:pt idx="14">
                  <c:v>2</c:v>
                </c:pt>
                <c:pt idx="15">
                  <c:v>1.55</c:v>
                </c:pt>
                <c:pt idx="16">
                  <c:v>2.46</c:v>
                </c:pt>
                <c:pt idx="17">
                  <c:v>1.97</c:v>
                </c:pt>
                <c:pt idx="18">
                  <c:v>1.76</c:v>
                </c:pt>
                <c:pt idx="19">
                  <c:v>2.48</c:v>
                </c:pt>
                <c:pt idx="20">
                  <c:v>1.89</c:v>
                </c:pt>
                <c:pt idx="21">
                  <c:v>1.59</c:v>
                </c:pt>
                <c:pt idx="22">
                  <c:v>1.22</c:v>
                </c:pt>
                <c:pt idx="23">
                  <c:v>1.98</c:v>
                </c:pt>
                <c:pt idx="24">
                  <c:v>1.68</c:v>
                </c:pt>
                <c:pt idx="25">
                  <c:v>1.71</c:v>
                </c:pt>
                <c:pt idx="26">
                  <c:v>1.73</c:v>
                </c:pt>
                <c:pt idx="27">
                  <c:v>1.74</c:v>
                </c:pt>
                <c:pt idx="28">
                  <c:v>1.8</c:v>
                </c:pt>
                <c:pt idx="29">
                  <c:v>1.67</c:v>
                </c:pt>
                <c:pt idx="30">
                  <c:v>1.5</c:v>
                </c:pt>
                <c:pt idx="31">
                  <c:v>1.34</c:v>
                </c:pt>
                <c:pt idx="32">
                  <c:v>1.59</c:v>
                </c:pt>
                <c:pt idx="33">
                  <c:v>1.84</c:v>
                </c:pt>
                <c:pt idx="34">
                  <c:v>1.47</c:v>
                </c:pt>
                <c:pt idx="35">
                  <c:v>1.74</c:v>
                </c:pt>
                <c:pt idx="36">
                  <c:v>1.78</c:v>
                </c:pt>
                <c:pt idx="37">
                  <c:v>2.11</c:v>
                </c:pt>
                <c:pt idx="38">
                  <c:v>1.99</c:v>
                </c:pt>
                <c:pt idx="39">
                  <c:v>1.54</c:v>
                </c:pt>
                <c:pt idx="40">
                  <c:v>1.52</c:v>
                </c:pt>
                <c:pt idx="41">
                  <c:v>2.02</c:v>
                </c:pt>
                <c:pt idx="42">
                  <c:v>2.19</c:v>
                </c:pt>
                <c:pt idx="43">
                  <c:v>2.4500000000000002</c:v>
                </c:pt>
                <c:pt idx="44">
                  <c:v>1.97</c:v>
                </c:pt>
                <c:pt idx="45">
                  <c:v>1.92</c:v>
                </c:pt>
                <c:pt idx="46">
                  <c:v>2.76</c:v>
                </c:pt>
                <c:pt idx="47">
                  <c:v>1.88</c:v>
                </c:pt>
                <c:pt idx="48">
                  <c:v>2.02</c:v>
                </c:pt>
                <c:pt idx="49">
                  <c:v>1.91</c:v>
                </c:pt>
                <c:pt idx="50">
                  <c:v>1.26</c:v>
                </c:pt>
                <c:pt idx="51">
                  <c:v>1.06</c:v>
                </c:pt>
                <c:pt idx="52">
                  <c:v>1.24</c:v>
                </c:pt>
                <c:pt idx="53">
                  <c:v>1.71</c:v>
                </c:pt>
                <c:pt idx="54">
                  <c:v>1.68</c:v>
                </c:pt>
                <c:pt idx="55">
                  <c:v>2.02</c:v>
                </c:pt>
                <c:pt idx="56">
                  <c:v>1.72</c:v>
                </c:pt>
                <c:pt idx="57">
                  <c:v>1.61</c:v>
                </c:pt>
                <c:pt idx="58">
                  <c:v>1.74</c:v>
                </c:pt>
                <c:pt idx="59">
                  <c:v>1.72</c:v>
                </c:pt>
                <c:pt idx="60">
                  <c:v>1.57</c:v>
                </c:pt>
                <c:pt idx="61">
                  <c:v>1.38</c:v>
                </c:pt>
                <c:pt idx="62">
                  <c:v>1.48</c:v>
                </c:pt>
                <c:pt idx="63">
                  <c:v>1.68</c:v>
                </c:pt>
                <c:pt idx="64">
                  <c:v>1.37</c:v>
                </c:pt>
                <c:pt idx="65">
                  <c:v>1.46</c:v>
                </c:pt>
                <c:pt idx="66">
                  <c:v>1.36</c:v>
                </c:pt>
                <c:pt idx="67">
                  <c:v>1.24</c:v>
                </c:pt>
                <c:pt idx="68">
                  <c:v>1.36</c:v>
                </c:pt>
                <c:pt idx="69">
                  <c:v>1.57</c:v>
                </c:pt>
                <c:pt idx="70">
                  <c:v>1.96</c:v>
                </c:pt>
                <c:pt idx="71">
                  <c:v>1.93</c:v>
                </c:pt>
                <c:pt idx="72">
                  <c:v>1.74</c:v>
                </c:pt>
                <c:pt idx="73">
                  <c:v>2.1800000000000002</c:v>
                </c:pt>
                <c:pt idx="74">
                  <c:v>1.44</c:v>
                </c:pt>
                <c:pt idx="75">
                  <c:v>1.63</c:v>
                </c:pt>
                <c:pt idx="76">
                  <c:v>1.33</c:v>
                </c:pt>
                <c:pt idx="77">
                  <c:v>2.1800000000000002</c:v>
                </c:pt>
                <c:pt idx="78">
                  <c:v>1.28</c:v>
                </c:pt>
                <c:pt idx="79">
                  <c:v>1.49</c:v>
                </c:pt>
                <c:pt idx="80">
                  <c:v>1.53</c:v>
                </c:pt>
                <c:pt idx="81">
                  <c:v>0.98</c:v>
                </c:pt>
                <c:pt idx="82">
                  <c:v>1.2</c:v>
                </c:pt>
                <c:pt idx="83">
                  <c:v>2.02</c:v>
                </c:pt>
                <c:pt idx="84">
                  <c:v>1.79</c:v>
                </c:pt>
                <c:pt idx="85">
                  <c:v>1.3</c:v>
                </c:pt>
                <c:pt idx="86">
                  <c:v>1.27</c:v>
                </c:pt>
                <c:pt idx="87">
                  <c:v>0.63</c:v>
                </c:pt>
                <c:pt idx="88">
                  <c:v>1.75</c:v>
                </c:pt>
                <c:pt idx="89">
                  <c:v>1.24</c:v>
                </c:pt>
                <c:pt idx="90">
                  <c:v>1.79</c:v>
                </c:pt>
                <c:pt idx="91">
                  <c:v>1.1499999999999999</c:v>
                </c:pt>
                <c:pt idx="92">
                  <c:v>1.61</c:v>
                </c:pt>
                <c:pt idx="93">
                  <c:v>1.04</c:v>
                </c:pt>
                <c:pt idx="94">
                  <c:v>1.66</c:v>
                </c:pt>
                <c:pt idx="95">
                  <c:v>0.8</c:v>
                </c:pt>
                <c:pt idx="96">
                  <c:v>0.98</c:v>
                </c:pt>
                <c:pt idx="97">
                  <c:v>0.7</c:v>
                </c:pt>
                <c:pt idx="98">
                  <c:v>0.91999999999999904</c:v>
                </c:pt>
                <c:pt idx="99">
                  <c:v>0.81</c:v>
                </c:pt>
                <c:pt idx="100">
                  <c:v>1.57</c:v>
                </c:pt>
                <c:pt idx="101">
                  <c:v>1.26</c:v>
                </c:pt>
                <c:pt idx="102">
                  <c:v>1.24</c:v>
                </c:pt>
                <c:pt idx="103">
                  <c:v>1.06</c:v>
                </c:pt>
                <c:pt idx="104">
                  <c:v>0.80999999999999905</c:v>
                </c:pt>
                <c:pt idx="105">
                  <c:v>1.18</c:v>
                </c:pt>
                <c:pt idx="106">
                  <c:v>1.1100000000000001</c:v>
                </c:pt>
                <c:pt idx="107">
                  <c:v>0.91</c:v>
                </c:pt>
                <c:pt idx="108">
                  <c:v>1.1599999999999999</c:v>
                </c:pt>
                <c:pt idx="109">
                  <c:v>0.93</c:v>
                </c:pt>
                <c:pt idx="110">
                  <c:v>0.8</c:v>
                </c:pt>
                <c:pt idx="111">
                  <c:v>0.89</c:v>
                </c:pt>
                <c:pt idx="112">
                  <c:v>0.83</c:v>
                </c:pt>
                <c:pt idx="113">
                  <c:v>1.24</c:v>
                </c:pt>
                <c:pt idx="114">
                  <c:v>0.51999999999999902</c:v>
                </c:pt>
                <c:pt idx="115">
                  <c:v>0.71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F78-4DBA-9FB4-C6B8F178B24D}"/>
            </c:ext>
          </c:extLst>
        </c:ser>
        <c:ser>
          <c:idx val="1"/>
          <c:order val="1"/>
          <c:tx>
            <c:v>0.11 - 0.25</c:v>
          </c:tx>
          <c:marker>
            <c:symbol val="none"/>
          </c:marker>
          <c:trendline>
            <c:spPr>
              <a:ln w="28575">
                <a:solidFill>
                  <a:schemeClr val="accent2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0.10214209505810759"/>
                  <c:y val="2.1223164548570079E-3"/>
                </c:manualLayout>
              </c:layout>
              <c:numFmt formatCode="General" sourceLinked="0"/>
            </c:trendlineLbl>
          </c:trendline>
          <c:xVal>
            <c:numRef>
              <c:f>'IM AOE'!$A$2:$A$117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AOE'!$D$2:$D$117</c:f>
              <c:numCache>
                <c:formatCode>General</c:formatCode>
                <c:ptCount val="116"/>
                <c:pt idx="0">
                  <c:v>4.8600000000000003</c:v>
                </c:pt>
                <c:pt idx="1">
                  <c:v>4.4000000000000004</c:v>
                </c:pt>
                <c:pt idx="2">
                  <c:v>5.6</c:v>
                </c:pt>
                <c:pt idx="3">
                  <c:v>4.3099999999999996</c:v>
                </c:pt>
                <c:pt idx="4">
                  <c:v>5.94</c:v>
                </c:pt>
                <c:pt idx="5">
                  <c:v>5.92</c:v>
                </c:pt>
                <c:pt idx="6">
                  <c:v>4.3600000000000003</c:v>
                </c:pt>
                <c:pt idx="7">
                  <c:v>4.2699999999999996</c:v>
                </c:pt>
                <c:pt idx="8">
                  <c:v>4.3</c:v>
                </c:pt>
                <c:pt idx="9">
                  <c:v>3.86</c:v>
                </c:pt>
                <c:pt idx="10">
                  <c:v>3.9</c:v>
                </c:pt>
                <c:pt idx="11">
                  <c:v>5.46</c:v>
                </c:pt>
                <c:pt idx="12">
                  <c:v>3.43</c:v>
                </c:pt>
                <c:pt idx="13">
                  <c:v>3.64</c:v>
                </c:pt>
                <c:pt idx="14">
                  <c:v>5.0999999999999996</c:v>
                </c:pt>
                <c:pt idx="15">
                  <c:v>4.8</c:v>
                </c:pt>
                <c:pt idx="16">
                  <c:v>3.05</c:v>
                </c:pt>
                <c:pt idx="17">
                  <c:v>4.58</c:v>
                </c:pt>
                <c:pt idx="18">
                  <c:v>5.69</c:v>
                </c:pt>
                <c:pt idx="19">
                  <c:v>4.8</c:v>
                </c:pt>
                <c:pt idx="20">
                  <c:v>5.69</c:v>
                </c:pt>
                <c:pt idx="21">
                  <c:v>3.73</c:v>
                </c:pt>
                <c:pt idx="22">
                  <c:v>4.79</c:v>
                </c:pt>
                <c:pt idx="23">
                  <c:v>3.98</c:v>
                </c:pt>
                <c:pt idx="24">
                  <c:v>4.03</c:v>
                </c:pt>
                <c:pt idx="25">
                  <c:v>4.87</c:v>
                </c:pt>
                <c:pt idx="26">
                  <c:v>4.62</c:v>
                </c:pt>
                <c:pt idx="27">
                  <c:v>4.66</c:v>
                </c:pt>
                <c:pt idx="28">
                  <c:v>5.15</c:v>
                </c:pt>
                <c:pt idx="29">
                  <c:v>2.77</c:v>
                </c:pt>
                <c:pt idx="30">
                  <c:v>5.03</c:v>
                </c:pt>
                <c:pt idx="31">
                  <c:v>5.08</c:v>
                </c:pt>
                <c:pt idx="32">
                  <c:v>3.78</c:v>
                </c:pt>
                <c:pt idx="33">
                  <c:v>5.87</c:v>
                </c:pt>
                <c:pt idx="34">
                  <c:v>3.73</c:v>
                </c:pt>
                <c:pt idx="35">
                  <c:v>5.78</c:v>
                </c:pt>
                <c:pt idx="36">
                  <c:v>5.97</c:v>
                </c:pt>
                <c:pt idx="37">
                  <c:v>4.78</c:v>
                </c:pt>
                <c:pt idx="38">
                  <c:v>4.8099999999999996</c:v>
                </c:pt>
                <c:pt idx="39">
                  <c:v>3.3699999999999899</c:v>
                </c:pt>
                <c:pt idx="40">
                  <c:v>4.25</c:v>
                </c:pt>
                <c:pt idx="41">
                  <c:v>3.2899999999999898</c:v>
                </c:pt>
                <c:pt idx="42">
                  <c:v>4.63</c:v>
                </c:pt>
                <c:pt idx="43">
                  <c:v>6.08</c:v>
                </c:pt>
                <c:pt idx="44">
                  <c:v>4.57</c:v>
                </c:pt>
                <c:pt idx="45">
                  <c:v>3.53</c:v>
                </c:pt>
                <c:pt idx="46">
                  <c:v>4.26</c:v>
                </c:pt>
                <c:pt idx="47">
                  <c:v>2.5</c:v>
                </c:pt>
                <c:pt idx="48">
                  <c:v>5.9</c:v>
                </c:pt>
                <c:pt idx="49">
                  <c:v>4.4399999999999897</c:v>
                </c:pt>
                <c:pt idx="50">
                  <c:v>2.7999999999999901</c:v>
                </c:pt>
                <c:pt idx="51">
                  <c:v>3.6</c:v>
                </c:pt>
                <c:pt idx="52">
                  <c:v>3.4299999999999899</c:v>
                </c:pt>
                <c:pt idx="53">
                  <c:v>3.12</c:v>
                </c:pt>
                <c:pt idx="54">
                  <c:v>5.03</c:v>
                </c:pt>
                <c:pt idx="55">
                  <c:v>6.13</c:v>
                </c:pt>
                <c:pt idx="56">
                  <c:v>2.4</c:v>
                </c:pt>
                <c:pt idx="57">
                  <c:v>5.2</c:v>
                </c:pt>
                <c:pt idx="58">
                  <c:v>4.03</c:v>
                </c:pt>
                <c:pt idx="59">
                  <c:v>3.8299999999999899</c:v>
                </c:pt>
                <c:pt idx="60">
                  <c:v>4.01</c:v>
                </c:pt>
                <c:pt idx="61">
                  <c:v>3.64</c:v>
                </c:pt>
                <c:pt idx="62">
                  <c:v>2.5499999999999998</c:v>
                </c:pt>
                <c:pt idx="63">
                  <c:v>3.9599999999999902</c:v>
                </c:pt>
                <c:pt idx="64">
                  <c:v>3.21</c:v>
                </c:pt>
                <c:pt idx="65">
                  <c:v>5.69</c:v>
                </c:pt>
                <c:pt idx="66">
                  <c:v>3.1799999999999899</c:v>
                </c:pt>
                <c:pt idx="67">
                  <c:v>3.52</c:v>
                </c:pt>
                <c:pt idx="68">
                  <c:v>3.53</c:v>
                </c:pt>
                <c:pt idx="69">
                  <c:v>3.38</c:v>
                </c:pt>
                <c:pt idx="70">
                  <c:v>5.26</c:v>
                </c:pt>
                <c:pt idx="71">
                  <c:v>3.5</c:v>
                </c:pt>
                <c:pt idx="72">
                  <c:v>3.56</c:v>
                </c:pt>
                <c:pt idx="73">
                  <c:v>4.2699999999999996</c:v>
                </c:pt>
                <c:pt idx="74">
                  <c:v>2.8</c:v>
                </c:pt>
                <c:pt idx="75">
                  <c:v>4.82</c:v>
                </c:pt>
                <c:pt idx="76">
                  <c:v>3.65</c:v>
                </c:pt>
                <c:pt idx="77">
                  <c:v>6.58</c:v>
                </c:pt>
                <c:pt idx="78">
                  <c:v>3.2</c:v>
                </c:pt>
                <c:pt idx="79">
                  <c:v>3.15</c:v>
                </c:pt>
                <c:pt idx="80">
                  <c:v>4.3099999999999996</c:v>
                </c:pt>
                <c:pt idx="81">
                  <c:v>3.39</c:v>
                </c:pt>
                <c:pt idx="82">
                  <c:v>3.61</c:v>
                </c:pt>
                <c:pt idx="83">
                  <c:v>3.0799999999999899</c:v>
                </c:pt>
                <c:pt idx="84">
                  <c:v>3.37</c:v>
                </c:pt>
                <c:pt idx="85">
                  <c:v>2.97</c:v>
                </c:pt>
                <c:pt idx="86">
                  <c:v>2.4</c:v>
                </c:pt>
                <c:pt idx="87">
                  <c:v>2.73999999999999</c:v>
                </c:pt>
                <c:pt idx="88">
                  <c:v>3.54</c:v>
                </c:pt>
                <c:pt idx="89">
                  <c:v>2.46</c:v>
                </c:pt>
                <c:pt idx="90">
                  <c:v>4.92</c:v>
                </c:pt>
                <c:pt idx="91">
                  <c:v>4.4800000000000004</c:v>
                </c:pt>
                <c:pt idx="92">
                  <c:v>3.29</c:v>
                </c:pt>
                <c:pt idx="93">
                  <c:v>3.86</c:v>
                </c:pt>
                <c:pt idx="94">
                  <c:v>3.15</c:v>
                </c:pt>
                <c:pt idx="95">
                  <c:v>5.05</c:v>
                </c:pt>
                <c:pt idx="96">
                  <c:v>4.01</c:v>
                </c:pt>
                <c:pt idx="97">
                  <c:v>4.32</c:v>
                </c:pt>
                <c:pt idx="98">
                  <c:v>3.4199999999999902</c:v>
                </c:pt>
                <c:pt idx="99">
                  <c:v>5.25999999999999</c:v>
                </c:pt>
                <c:pt idx="100">
                  <c:v>3.43</c:v>
                </c:pt>
                <c:pt idx="101">
                  <c:v>5.43</c:v>
                </c:pt>
                <c:pt idx="102">
                  <c:v>4.0199999999999996</c:v>
                </c:pt>
                <c:pt idx="103">
                  <c:v>4.46</c:v>
                </c:pt>
                <c:pt idx="104">
                  <c:v>2.48</c:v>
                </c:pt>
                <c:pt idx="105">
                  <c:v>4.12</c:v>
                </c:pt>
                <c:pt idx="106">
                  <c:v>3.4299999999999899</c:v>
                </c:pt>
                <c:pt idx="107">
                  <c:v>3.97</c:v>
                </c:pt>
                <c:pt idx="108">
                  <c:v>2.69</c:v>
                </c:pt>
                <c:pt idx="109">
                  <c:v>3.62</c:v>
                </c:pt>
                <c:pt idx="110">
                  <c:v>4.54</c:v>
                </c:pt>
                <c:pt idx="111">
                  <c:v>3.08</c:v>
                </c:pt>
                <c:pt idx="112">
                  <c:v>5.03</c:v>
                </c:pt>
                <c:pt idx="113">
                  <c:v>4.76</c:v>
                </c:pt>
                <c:pt idx="114">
                  <c:v>5.47</c:v>
                </c:pt>
                <c:pt idx="115">
                  <c:v>4.53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F78-4DBA-9FB4-C6B8F178B24D}"/>
            </c:ext>
          </c:extLst>
        </c:ser>
        <c:ser>
          <c:idx val="2"/>
          <c:order val="2"/>
          <c:tx>
            <c:v>0.26 - 0.50</c:v>
          </c:tx>
          <c:marker>
            <c:symbol val="none"/>
          </c:marker>
          <c:trendline>
            <c:spPr>
              <a:ln w="28575">
                <a:solidFill>
                  <a:schemeClr val="accent3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0.10128807597031027"/>
                  <c:y val="4.380890256866754E-4"/>
                </c:manualLayout>
              </c:layout>
              <c:numFmt formatCode="General" sourceLinked="0"/>
            </c:trendlineLbl>
          </c:trendline>
          <c:xVal>
            <c:numRef>
              <c:f>'IM AOE'!$A$2:$A$117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AOE'!$E$2:$E$117</c:f>
              <c:numCache>
                <c:formatCode>General</c:formatCode>
                <c:ptCount val="116"/>
                <c:pt idx="0">
                  <c:v>6.35</c:v>
                </c:pt>
                <c:pt idx="1">
                  <c:v>9.2200000000000006</c:v>
                </c:pt>
                <c:pt idx="2">
                  <c:v>8.94</c:v>
                </c:pt>
                <c:pt idx="3">
                  <c:v>10.199999999999999</c:v>
                </c:pt>
                <c:pt idx="4">
                  <c:v>8.39</c:v>
                </c:pt>
                <c:pt idx="5">
                  <c:v>8.5699999999999896</c:v>
                </c:pt>
                <c:pt idx="6">
                  <c:v>8.25</c:v>
                </c:pt>
                <c:pt idx="7">
                  <c:v>10.36</c:v>
                </c:pt>
                <c:pt idx="8">
                  <c:v>9.25</c:v>
                </c:pt>
                <c:pt idx="9">
                  <c:v>11.07</c:v>
                </c:pt>
                <c:pt idx="10">
                  <c:v>6.6</c:v>
                </c:pt>
                <c:pt idx="11">
                  <c:v>5.2399999999999904</c:v>
                </c:pt>
                <c:pt idx="12">
                  <c:v>7.72</c:v>
                </c:pt>
                <c:pt idx="13">
                  <c:v>12.28</c:v>
                </c:pt>
                <c:pt idx="14">
                  <c:v>8.8499999999999908</c:v>
                </c:pt>
                <c:pt idx="15">
                  <c:v>10.44</c:v>
                </c:pt>
                <c:pt idx="16">
                  <c:v>9.3000000000000007</c:v>
                </c:pt>
                <c:pt idx="17">
                  <c:v>9.19</c:v>
                </c:pt>
                <c:pt idx="18">
                  <c:v>7.6399999999999899</c:v>
                </c:pt>
                <c:pt idx="19">
                  <c:v>9.19</c:v>
                </c:pt>
                <c:pt idx="20">
                  <c:v>9.02</c:v>
                </c:pt>
                <c:pt idx="21">
                  <c:v>9.9</c:v>
                </c:pt>
                <c:pt idx="22">
                  <c:v>8.9499999999999993</c:v>
                </c:pt>
                <c:pt idx="23">
                  <c:v>8.9299999999999908</c:v>
                </c:pt>
                <c:pt idx="24">
                  <c:v>11.86</c:v>
                </c:pt>
                <c:pt idx="25">
                  <c:v>10.48</c:v>
                </c:pt>
                <c:pt idx="26">
                  <c:v>7.4799999999999898</c:v>
                </c:pt>
                <c:pt idx="27">
                  <c:v>9.1999999999999993</c:v>
                </c:pt>
                <c:pt idx="28">
                  <c:v>6.93</c:v>
                </c:pt>
                <c:pt idx="29">
                  <c:v>6.18</c:v>
                </c:pt>
                <c:pt idx="30">
                  <c:v>5.6</c:v>
                </c:pt>
                <c:pt idx="31">
                  <c:v>7.24</c:v>
                </c:pt>
                <c:pt idx="32">
                  <c:v>7.46999999999999</c:v>
                </c:pt>
                <c:pt idx="33">
                  <c:v>8.48</c:v>
                </c:pt>
                <c:pt idx="34">
                  <c:v>6.64</c:v>
                </c:pt>
                <c:pt idx="35">
                  <c:v>8.83</c:v>
                </c:pt>
                <c:pt idx="36">
                  <c:v>8.01</c:v>
                </c:pt>
                <c:pt idx="37">
                  <c:v>7.2299999999999898</c:v>
                </c:pt>
                <c:pt idx="38">
                  <c:v>6.57</c:v>
                </c:pt>
                <c:pt idx="39">
                  <c:v>5.6899999999999897</c:v>
                </c:pt>
                <c:pt idx="40">
                  <c:v>7.5799999999999903</c:v>
                </c:pt>
                <c:pt idx="41">
                  <c:v>6.56</c:v>
                </c:pt>
                <c:pt idx="42">
                  <c:v>4.4000000000000004</c:v>
                </c:pt>
                <c:pt idx="43">
                  <c:v>9.2100000000000009</c:v>
                </c:pt>
                <c:pt idx="44">
                  <c:v>6.71</c:v>
                </c:pt>
                <c:pt idx="45">
                  <c:v>8.69</c:v>
                </c:pt>
                <c:pt idx="46">
                  <c:v>8.8899999999999899</c:v>
                </c:pt>
                <c:pt idx="47">
                  <c:v>10.41</c:v>
                </c:pt>
                <c:pt idx="48">
                  <c:v>4.09</c:v>
                </c:pt>
                <c:pt idx="49">
                  <c:v>5.61</c:v>
                </c:pt>
                <c:pt idx="50">
                  <c:v>10.29</c:v>
                </c:pt>
                <c:pt idx="51">
                  <c:v>8.93</c:v>
                </c:pt>
                <c:pt idx="52">
                  <c:v>6.25</c:v>
                </c:pt>
                <c:pt idx="53">
                  <c:v>6.1299999999999901</c:v>
                </c:pt>
                <c:pt idx="54">
                  <c:v>11.96</c:v>
                </c:pt>
                <c:pt idx="55">
                  <c:v>8.3799999999999901</c:v>
                </c:pt>
                <c:pt idx="56">
                  <c:v>6.54</c:v>
                </c:pt>
                <c:pt idx="57">
                  <c:v>8.46999999999999</c:v>
                </c:pt>
                <c:pt idx="58">
                  <c:v>7.12</c:v>
                </c:pt>
                <c:pt idx="59">
                  <c:v>9.56</c:v>
                </c:pt>
                <c:pt idx="60">
                  <c:v>5.89</c:v>
                </c:pt>
                <c:pt idx="61">
                  <c:v>5.2</c:v>
                </c:pt>
                <c:pt idx="62">
                  <c:v>3.98</c:v>
                </c:pt>
                <c:pt idx="63">
                  <c:v>7.81</c:v>
                </c:pt>
                <c:pt idx="64">
                  <c:v>6.02</c:v>
                </c:pt>
                <c:pt idx="65">
                  <c:v>7.85</c:v>
                </c:pt>
                <c:pt idx="66">
                  <c:v>4.8999999999999897</c:v>
                </c:pt>
                <c:pt idx="67">
                  <c:v>5.65</c:v>
                </c:pt>
                <c:pt idx="68">
                  <c:v>8.41</c:v>
                </c:pt>
                <c:pt idx="69">
                  <c:v>5.31</c:v>
                </c:pt>
                <c:pt idx="70">
                  <c:v>8.6999999999999993</c:v>
                </c:pt>
                <c:pt idx="71">
                  <c:v>9.0399999999999991</c:v>
                </c:pt>
                <c:pt idx="72">
                  <c:v>7.85</c:v>
                </c:pt>
                <c:pt idx="73">
                  <c:v>3.95</c:v>
                </c:pt>
                <c:pt idx="74">
                  <c:v>5.75999999999999</c:v>
                </c:pt>
                <c:pt idx="75">
                  <c:v>7.21</c:v>
                </c:pt>
                <c:pt idx="76">
                  <c:v>6.9099999999999904</c:v>
                </c:pt>
                <c:pt idx="77">
                  <c:v>5.12</c:v>
                </c:pt>
                <c:pt idx="78">
                  <c:v>11.569999999999901</c:v>
                </c:pt>
                <c:pt idx="79">
                  <c:v>8.5399999999999991</c:v>
                </c:pt>
                <c:pt idx="80">
                  <c:v>7.2799999999999896</c:v>
                </c:pt>
                <c:pt idx="81">
                  <c:v>8.48</c:v>
                </c:pt>
                <c:pt idx="82">
                  <c:v>7</c:v>
                </c:pt>
                <c:pt idx="83">
                  <c:v>8.0500000000000007</c:v>
                </c:pt>
                <c:pt idx="84">
                  <c:v>8.4999999999999893</c:v>
                </c:pt>
                <c:pt idx="85">
                  <c:v>6.7299999999999898</c:v>
                </c:pt>
                <c:pt idx="86">
                  <c:v>7.49</c:v>
                </c:pt>
                <c:pt idx="87">
                  <c:v>4.2699999999999996</c:v>
                </c:pt>
                <c:pt idx="88">
                  <c:v>7.27</c:v>
                </c:pt>
                <c:pt idx="89">
                  <c:v>6.32</c:v>
                </c:pt>
                <c:pt idx="90">
                  <c:v>8.76</c:v>
                </c:pt>
                <c:pt idx="91">
                  <c:v>7.92</c:v>
                </c:pt>
                <c:pt idx="92">
                  <c:v>8.2200000000000006</c:v>
                </c:pt>
                <c:pt idx="93">
                  <c:v>5.95</c:v>
                </c:pt>
                <c:pt idx="94">
                  <c:v>11.03</c:v>
                </c:pt>
                <c:pt idx="95">
                  <c:v>8.3799999999999901</c:v>
                </c:pt>
                <c:pt idx="96">
                  <c:v>7.6099999999999897</c:v>
                </c:pt>
                <c:pt idx="97">
                  <c:v>8.0399999999999991</c:v>
                </c:pt>
                <c:pt idx="98">
                  <c:v>8.1099999999999905</c:v>
                </c:pt>
                <c:pt idx="99">
                  <c:v>5.65</c:v>
                </c:pt>
                <c:pt idx="100">
                  <c:v>6.23</c:v>
                </c:pt>
                <c:pt idx="101">
                  <c:v>10.2599999999999</c:v>
                </c:pt>
                <c:pt idx="102">
                  <c:v>7.54</c:v>
                </c:pt>
                <c:pt idx="103">
                  <c:v>8.2099999999999902</c:v>
                </c:pt>
                <c:pt idx="104">
                  <c:v>5.39</c:v>
                </c:pt>
                <c:pt idx="105">
                  <c:v>5.4899999999999904</c:v>
                </c:pt>
                <c:pt idx="106">
                  <c:v>8.01</c:v>
                </c:pt>
                <c:pt idx="107">
                  <c:v>8.02</c:v>
                </c:pt>
                <c:pt idx="108">
                  <c:v>7.81</c:v>
                </c:pt>
                <c:pt idx="109">
                  <c:v>10.58</c:v>
                </c:pt>
                <c:pt idx="110">
                  <c:v>7.9399999999999897</c:v>
                </c:pt>
                <c:pt idx="111">
                  <c:v>9.7899999999999903</c:v>
                </c:pt>
                <c:pt idx="112">
                  <c:v>6.4099999999999904</c:v>
                </c:pt>
                <c:pt idx="113">
                  <c:v>6.21</c:v>
                </c:pt>
                <c:pt idx="114">
                  <c:v>5.81</c:v>
                </c:pt>
                <c:pt idx="115">
                  <c:v>9.17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6F78-4DBA-9FB4-C6B8F178B24D}"/>
            </c:ext>
          </c:extLst>
        </c:ser>
        <c:ser>
          <c:idx val="3"/>
          <c:order val="3"/>
          <c:tx>
            <c:v>0.51 - 1.00</c:v>
          </c:tx>
          <c:marker>
            <c:symbol val="none"/>
          </c:marker>
          <c:trendline>
            <c:spPr>
              <a:ln w="28575">
                <a:solidFill>
                  <a:schemeClr val="accent4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4404682122663772E-2"/>
                  <c:y val="-4.5657871460348947E-4"/>
                </c:manualLayout>
              </c:layout>
              <c:numFmt formatCode="General" sourceLinked="0"/>
            </c:trendlineLbl>
          </c:trendline>
          <c:xVal>
            <c:numRef>
              <c:f>'IM AOE'!$A$2:$A$117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AOE'!$F$2:$F$117</c:f>
              <c:numCache>
                <c:formatCode>General</c:formatCode>
                <c:ptCount val="116"/>
                <c:pt idx="0">
                  <c:v>21.22</c:v>
                </c:pt>
                <c:pt idx="1">
                  <c:v>15.75</c:v>
                </c:pt>
                <c:pt idx="2">
                  <c:v>10.24</c:v>
                </c:pt>
                <c:pt idx="3">
                  <c:v>13.84</c:v>
                </c:pt>
                <c:pt idx="4">
                  <c:v>16.279999999999902</c:v>
                </c:pt>
                <c:pt idx="5">
                  <c:v>18.849999999999898</c:v>
                </c:pt>
                <c:pt idx="6">
                  <c:v>6.35</c:v>
                </c:pt>
                <c:pt idx="7">
                  <c:v>6.45</c:v>
                </c:pt>
                <c:pt idx="8">
                  <c:v>10.119999999999999</c:v>
                </c:pt>
                <c:pt idx="9">
                  <c:v>15.22</c:v>
                </c:pt>
                <c:pt idx="10">
                  <c:v>14.659999999999901</c:v>
                </c:pt>
                <c:pt idx="11">
                  <c:v>15.58</c:v>
                </c:pt>
                <c:pt idx="12">
                  <c:v>14.299999999999899</c:v>
                </c:pt>
                <c:pt idx="13">
                  <c:v>13.54</c:v>
                </c:pt>
                <c:pt idx="14">
                  <c:v>12.38</c:v>
                </c:pt>
                <c:pt idx="15">
                  <c:v>13.719999999999899</c:v>
                </c:pt>
                <c:pt idx="16">
                  <c:v>10.050000000000001</c:v>
                </c:pt>
                <c:pt idx="17">
                  <c:v>17.940000000000001</c:v>
                </c:pt>
                <c:pt idx="18">
                  <c:v>14.77</c:v>
                </c:pt>
                <c:pt idx="19">
                  <c:v>13.739999999999901</c:v>
                </c:pt>
                <c:pt idx="20">
                  <c:v>14.28</c:v>
                </c:pt>
                <c:pt idx="21">
                  <c:v>10.5299999999999</c:v>
                </c:pt>
                <c:pt idx="22">
                  <c:v>9.77</c:v>
                </c:pt>
                <c:pt idx="23">
                  <c:v>9.14</c:v>
                </c:pt>
                <c:pt idx="24">
                  <c:v>18.68</c:v>
                </c:pt>
                <c:pt idx="25">
                  <c:v>11.059999999999899</c:v>
                </c:pt>
                <c:pt idx="26">
                  <c:v>15.87</c:v>
                </c:pt>
                <c:pt idx="27">
                  <c:v>10.1299999999999</c:v>
                </c:pt>
                <c:pt idx="28">
                  <c:v>8</c:v>
                </c:pt>
                <c:pt idx="29">
                  <c:v>11.95</c:v>
                </c:pt>
                <c:pt idx="30">
                  <c:v>14.48</c:v>
                </c:pt>
                <c:pt idx="31">
                  <c:v>19.2</c:v>
                </c:pt>
                <c:pt idx="32">
                  <c:v>15.55</c:v>
                </c:pt>
                <c:pt idx="33">
                  <c:v>12.4599999999999</c:v>
                </c:pt>
                <c:pt idx="34">
                  <c:v>14.9299999999999</c:v>
                </c:pt>
                <c:pt idx="35">
                  <c:v>17.97</c:v>
                </c:pt>
                <c:pt idx="36">
                  <c:v>15.3599999999999</c:v>
                </c:pt>
                <c:pt idx="37">
                  <c:v>11.719999999999899</c:v>
                </c:pt>
                <c:pt idx="38">
                  <c:v>13.729999999999899</c:v>
                </c:pt>
                <c:pt idx="39">
                  <c:v>10.92</c:v>
                </c:pt>
                <c:pt idx="40">
                  <c:v>16.57</c:v>
                </c:pt>
                <c:pt idx="41">
                  <c:v>7.5299999999999896</c:v>
                </c:pt>
                <c:pt idx="42">
                  <c:v>9.7799999999999994</c:v>
                </c:pt>
                <c:pt idx="43">
                  <c:v>17.350000000000001</c:v>
                </c:pt>
                <c:pt idx="44">
                  <c:v>10.69</c:v>
                </c:pt>
                <c:pt idx="45">
                  <c:v>14.0899999999999</c:v>
                </c:pt>
                <c:pt idx="46">
                  <c:v>13.77</c:v>
                </c:pt>
                <c:pt idx="47">
                  <c:v>14.75</c:v>
                </c:pt>
                <c:pt idx="48">
                  <c:v>10.9399999999999</c:v>
                </c:pt>
                <c:pt idx="49">
                  <c:v>9.17</c:v>
                </c:pt>
                <c:pt idx="50">
                  <c:v>12.64</c:v>
                </c:pt>
                <c:pt idx="51">
                  <c:v>13.5299999999999</c:v>
                </c:pt>
                <c:pt idx="52">
                  <c:v>14.05</c:v>
                </c:pt>
                <c:pt idx="53">
                  <c:v>11.229999999999899</c:v>
                </c:pt>
                <c:pt idx="54">
                  <c:v>12.79</c:v>
                </c:pt>
                <c:pt idx="55">
                  <c:v>9.8800000000000008</c:v>
                </c:pt>
                <c:pt idx="56">
                  <c:v>19.6799999999999</c:v>
                </c:pt>
                <c:pt idx="57">
                  <c:v>13.01</c:v>
                </c:pt>
                <c:pt idx="58">
                  <c:v>14.41</c:v>
                </c:pt>
                <c:pt idx="59">
                  <c:v>13.98</c:v>
                </c:pt>
                <c:pt idx="60">
                  <c:v>9.68</c:v>
                </c:pt>
                <c:pt idx="61">
                  <c:v>11.94</c:v>
                </c:pt>
                <c:pt idx="62">
                  <c:v>16.63</c:v>
                </c:pt>
                <c:pt idx="63">
                  <c:v>8.8799999999999901</c:v>
                </c:pt>
                <c:pt idx="64">
                  <c:v>14.78</c:v>
                </c:pt>
                <c:pt idx="65">
                  <c:v>10.75</c:v>
                </c:pt>
                <c:pt idx="66">
                  <c:v>8.4499999999999993</c:v>
                </c:pt>
                <c:pt idx="67">
                  <c:v>16.169999999999899</c:v>
                </c:pt>
                <c:pt idx="68">
                  <c:v>7.73</c:v>
                </c:pt>
                <c:pt idx="69">
                  <c:v>13.399999999999901</c:v>
                </c:pt>
                <c:pt idx="70">
                  <c:v>16.34</c:v>
                </c:pt>
                <c:pt idx="71">
                  <c:v>11.799999999999899</c:v>
                </c:pt>
                <c:pt idx="72">
                  <c:v>14.22</c:v>
                </c:pt>
                <c:pt idx="73">
                  <c:v>17.829999999999998</c:v>
                </c:pt>
                <c:pt idx="74">
                  <c:v>12.47</c:v>
                </c:pt>
                <c:pt idx="75">
                  <c:v>13.08</c:v>
                </c:pt>
                <c:pt idx="76">
                  <c:v>11.04</c:v>
                </c:pt>
                <c:pt idx="77">
                  <c:v>16.39</c:v>
                </c:pt>
                <c:pt idx="78">
                  <c:v>11.059999999999899</c:v>
                </c:pt>
                <c:pt idx="79">
                  <c:v>13.389999999999899</c:v>
                </c:pt>
                <c:pt idx="80">
                  <c:v>12.02</c:v>
                </c:pt>
                <c:pt idx="81">
                  <c:v>19.32</c:v>
                </c:pt>
                <c:pt idx="82">
                  <c:v>14.73</c:v>
                </c:pt>
                <c:pt idx="83">
                  <c:v>10.6299999999999</c:v>
                </c:pt>
                <c:pt idx="84">
                  <c:v>15.33</c:v>
                </c:pt>
                <c:pt idx="85">
                  <c:v>15.139999999999899</c:v>
                </c:pt>
                <c:pt idx="86">
                  <c:v>19.399999999999999</c:v>
                </c:pt>
                <c:pt idx="87">
                  <c:v>12.1</c:v>
                </c:pt>
                <c:pt idx="88">
                  <c:v>12.74</c:v>
                </c:pt>
                <c:pt idx="89">
                  <c:v>10.41</c:v>
                </c:pt>
                <c:pt idx="90">
                  <c:v>9.4499999999999993</c:v>
                </c:pt>
                <c:pt idx="91">
                  <c:v>12.03</c:v>
                </c:pt>
                <c:pt idx="92">
                  <c:v>12.04</c:v>
                </c:pt>
                <c:pt idx="93">
                  <c:v>11.39</c:v>
                </c:pt>
                <c:pt idx="94">
                  <c:v>19.170000000000002</c:v>
                </c:pt>
                <c:pt idx="95">
                  <c:v>15.83</c:v>
                </c:pt>
                <c:pt idx="96">
                  <c:v>14.989999999999901</c:v>
                </c:pt>
                <c:pt idx="97">
                  <c:v>11.28</c:v>
                </c:pt>
                <c:pt idx="98">
                  <c:v>11.66</c:v>
                </c:pt>
                <c:pt idx="99">
                  <c:v>13.78</c:v>
                </c:pt>
                <c:pt idx="100">
                  <c:v>16.07</c:v>
                </c:pt>
                <c:pt idx="101">
                  <c:v>19.14</c:v>
                </c:pt>
                <c:pt idx="102">
                  <c:v>19.739999999999998</c:v>
                </c:pt>
                <c:pt idx="103">
                  <c:v>10.81</c:v>
                </c:pt>
                <c:pt idx="104">
                  <c:v>17.09</c:v>
                </c:pt>
                <c:pt idx="105">
                  <c:v>10.01</c:v>
                </c:pt>
                <c:pt idx="106">
                  <c:v>15.61</c:v>
                </c:pt>
                <c:pt idx="107">
                  <c:v>20.169999999999899</c:v>
                </c:pt>
                <c:pt idx="108">
                  <c:v>12.45</c:v>
                </c:pt>
                <c:pt idx="109">
                  <c:v>12.9</c:v>
                </c:pt>
                <c:pt idx="110">
                  <c:v>10.8</c:v>
                </c:pt>
                <c:pt idx="111">
                  <c:v>19.649999999999999</c:v>
                </c:pt>
                <c:pt idx="112">
                  <c:v>13.9299999999999</c:v>
                </c:pt>
                <c:pt idx="113">
                  <c:v>10.89</c:v>
                </c:pt>
                <c:pt idx="114">
                  <c:v>13.9299999999999</c:v>
                </c:pt>
                <c:pt idx="115">
                  <c:v>12.03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6F78-4DBA-9FB4-C6B8F178B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79680"/>
        <c:axId val="117494144"/>
      </c:scatterChart>
      <c:valAx>
        <c:axId val="117479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494144"/>
        <c:crosses val="autoZero"/>
        <c:crossBetween val="midCat"/>
      </c:valAx>
      <c:valAx>
        <c:axId val="117494144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Precipitation</a:t>
                </a:r>
                <a:r>
                  <a:rPr lang="en-US" baseline="0"/>
                  <a:t> (Inches)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4796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40000"/>
        <a:lumOff val="60000"/>
      </a:schemeClr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Indian</a:t>
            </a:r>
            <a:r>
              <a:rPr lang="en-US" baseline="0"/>
              <a:t> Mills:</a:t>
            </a:r>
            <a:r>
              <a:rPr lang="en-US"/>
              <a:t> Binned Precipitation as a Percentage of Annual Rainfall (Small</a:t>
            </a:r>
            <a:r>
              <a:rPr lang="en-US" baseline="0"/>
              <a:t>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0.03 - 0.10</c:v>
          </c:tx>
          <c:marker>
            <c:symbol val="none"/>
          </c:marker>
          <c:trendline>
            <c:spPr>
              <a:ln w="28575">
                <a:solidFill>
                  <a:schemeClr val="accent1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1497032050688112E-2"/>
                  <c:y val="9.732421519480122E-5"/>
                </c:manualLayout>
              </c:layout>
              <c:numFmt formatCode="General" sourceLinked="0"/>
            </c:trendlineLbl>
          </c:trendline>
          <c:xVal>
            <c:numRef>
              <c:f>'IM AOE'!$U$2:$U$117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AOE'!$W$2:$W$119</c:f>
              <c:numCache>
                <c:formatCode>0.0%</c:formatCode>
                <c:ptCount val="118"/>
                <c:pt idx="0">
                  <c:v>3.032490974729242E-2</c:v>
                </c:pt>
                <c:pt idx="1">
                  <c:v>3.5266624176758021E-2</c:v>
                </c:pt>
                <c:pt idx="2">
                  <c:v>5.2470708099847177E-2</c:v>
                </c:pt>
                <c:pt idx="3">
                  <c:v>4.0634506736201649E-2</c:v>
                </c:pt>
                <c:pt idx="4">
                  <c:v>3.6877206747744216E-2</c:v>
                </c:pt>
                <c:pt idx="5">
                  <c:v>2.9827586206896552E-2</c:v>
                </c:pt>
                <c:pt idx="6">
                  <c:v>3.8855678906917164E-2</c:v>
                </c:pt>
                <c:pt idx="7">
                  <c:v>4.4750430292598967E-2</c:v>
                </c:pt>
                <c:pt idx="8">
                  <c:v>3.1166301436571706E-2</c:v>
                </c:pt>
                <c:pt idx="9">
                  <c:v>2.9998295551389127E-2</c:v>
                </c:pt>
                <c:pt idx="10">
                  <c:v>3.4340659340659337E-2</c:v>
                </c:pt>
                <c:pt idx="11">
                  <c:v>5.5750658472344158E-2</c:v>
                </c:pt>
                <c:pt idx="12">
                  <c:v>5.1301301301301297E-2</c:v>
                </c:pt>
                <c:pt idx="13">
                  <c:v>3.6408263448557986E-2</c:v>
                </c:pt>
                <c:pt idx="14">
                  <c:v>4.8887802493277933E-2</c:v>
                </c:pt>
                <c:pt idx="15">
                  <c:v>3.0772285090331548E-2</c:v>
                </c:pt>
                <c:pt idx="16">
                  <c:v>5.9810357403355212E-2</c:v>
                </c:pt>
                <c:pt idx="17">
                  <c:v>3.79502985937199E-2</c:v>
                </c:pt>
                <c:pt idx="18">
                  <c:v>3.4886025768087213E-2</c:v>
                </c:pt>
                <c:pt idx="19">
                  <c:v>6.8622025456557822E-2</c:v>
                </c:pt>
                <c:pt idx="20">
                  <c:v>4.8006096012192023E-2</c:v>
                </c:pt>
                <c:pt idx="21">
                  <c:v>3.5907859078590787E-2</c:v>
                </c:pt>
                <c:pt idx="22">
                  <c:v>2.291510142749812E-2</c:v>
                </c:pt>
                <c:pt idx="23">
                  <c:v>4.4088176352705413E-2</c:v>
                </c:pt>
                <c:pt idx="24">
                  <c:v>3.3823233340044292E-2</c:v>
                </c:pt>
                <c:pt idx="25">
                  <c:v>3.4983633387888707E-2</c:v>
                </c:pt>
                <c:pt idx="26">
                  <c:v>3.3716624439680369E-2</c:v>
                </c:pt>
                <c:pt idx="27">
                  <c:v>3.8032786885245903E-2</c:v>
                </c:pt>
                <c:pt idx="28">
                  <c:v>4.9792531120331954E-2</c:v>
                </c:pt>
                <c:pt idx="29">
                  <c:v>4.3286677034733025E-2</c:v>
                </c:pt>
                <c:pt idx="30">
                  <c:v>2.8713629402756506E-2</c:v>
                </c:pt>
                <c:pt idx="31">
                  <c:v>2.3574947220267418E-2</c:v>
                </c:pt>
                <c:pt idx="32">
                  <c:v>3.0957943925233648E-2</c:v>
                </c:pt>
                <c:pt idx="33">
                  <c:v>3.804010750465165E-2</c:v>
                </c:pt>
                <c:pt idx="34">
                  <c:v>3.1852654387865657E-2</c:v>
                </c:pt>
                <c:pt idx="35">
                  <c:v>3.3832393544623758E-2</c:v>
                </c:pt>
                <c:pt idx="36">
                  <c:v>3.2981285899573838E-2</c:v>
                </c:pt>
                <c:pt idx="37">
                  <c:v>4.2233787029623694E-2</c:v>
                </c:pt>
                <c:pt idx="38">
                  <c:v>3.8402161327672713E-2</c:v>
                </c:pt>
                <c:pt idx="39">
                  <c:v>4.1165463779738044E-2</c:v>
                </c:pt>
                <c:pt idx="40">
                  <c:v>3.5655641566971617E-2</c:v>
                </c:pt>
                <c:pt idx="41">
                  <c:v>5.6002217909620185E-2</c:v>
                </c:pt>
                <c:pt idx="42">
                  <c:v>4.9874743794124349E-2</c:v>
                </c:pt>
                <c:pt idx="43">
                  <c:v>5.0020416496529205E-2</c:v>
                </c:pt>
                <c:pt idx="44">
                  <c:v>4.9336338592536937E-2</c:v>
                </c:pt>
                <c:pt idx="45">
                  <c:v>4.6109510086455328E-2</c:v>
                </c:pt>
                <c:pt idx="46">
                  <c:v>4.9774571686203778E-2</c:v>
                </c:pt>
                <c:pt idx="47">
                  <c:v>4.6214355948869218E-2</c:v>
                </c:pt>
                <c:pt idx="48">
                  <c:v>5.092009074867658E-2</c:v>
                </c:pt>
                <c:pt idx="49">
                  <c:v>4.6057390884977088E-2</c:v>
                </c:pt>
                <c:pt idx="50">
                  <c:v>2.3827534039334342E-2</c:v>
                </c:pt>
                <c:pt idx="51">
                  <c:v>2.2849752101746067E-2</c:v>
                </c:pt>
                <c:pt idx="52">
                  <c:v>3.0549396403054936E-2</c:v>
                </c:pt>
                <c:pt idx="53">
                  <c:v>5.0043898156277432E-2</c:v>
                </c:pt>
                <c:pt idx="54">
                  <c:v>3.4383954154727794E-2</c:v>
                </c:pt>
                <c:pt idx="55">
                  <c:v>5.7995980476600636E-2</c:v>
                </c:pt>
                <c:pt idx="56">
                  <c:v>2.6691495965238982E-2</c:v>
                </c:pt>
                <c:pt idx="57">
                  <c:v>4.0280210157618214E-2</c:v>
                </c:pt>
                <c:pt idx="58">
                  <c:v>3.7670491448365449E-2</c:v>
                </c:pt>
                <c:pt idx="59">
                  <c:v>3.8027857616626137E-2</c:v>
                </c:pt>
                <c:pt idx="60">
                  <c:v>3.2284597984783052E-2</c:v>
                </c:pt>
                <c:pt idx="61">
                  <c:v>3.7777169449767313E-2</c:v>
                </c:pt>
                <c:pt idx="62">
                  <c:v>4.1133963312951646E-2</c:v>
                </c:pt>
                <c:pt idx="63">
                  <c:v>5.7142857142857141E-2</c:v>
                </c:pt>
                <c:pt idx="64">
                  <c:v>3.2273262661955245E-2</c:v>
                </c:pt>
                <c:pt idx="65">
                  <c:v>3.2640286161412922E-2</c:v>
                </c:pt>
                <c:pt idx="66">
                  <c:v>3.5407445977610003E-2</c:v>
                </c:pt>
                <c:pt idx="67">
                  <c:v>2.3827824750192159E-2</c:v>
                </c:pt>
                <c:pt idx="68">
                  <c:v>3.6510067114093964E-2</c:v>
                </c:pt>
                <c:pt idx="69">
                  <c:v>3.115697559039492E-2</c:v>
                </c:pt>
                <c:pt idx="70">
                  <c:v>3.3447098976109216E-2</c:v>
                </c:pt>
                <c:pt idx="71">
                  <c:v>4.2689670426896704E-2</c:v>
                </c:pt>
                <c:pt idx="72">
                  <c:v>3.4904714142427282E-2</c:v>
                </c:pt>
                <c:pt idx="73">
                  <c:v>3.8638780574264446E-2</c:v>
                </c:pt>
                <c:pt idx="74">
                  <c:v>3.5502958579881651E-2</c:v>
                </c:pt>
                <c:pt idx="75">
                  <c:v>3.653889262497198E-2</c:v>
                </c:pt>
                <c:pt idx="76">
                  <c:v>3.0915853091585309E-2</c:v>
                </c:pt>
                <c:pt idx="77">
                  <c:v>3.6577181208053693E-2</c:v>
                </c:pt>
                <c:pt idx="78">
                  <c:v>3.5203520352035202E-2</c:v>
                </c:pt>
                <c:pt idx="79">
                  <c:v>3.6936043629152204E-2</c:v>
                </c:pt>
                <c:pt idx="80">
                  <c:v>3.9843750000000004E-2</c:v>
                </c:pt>
                <c:pt idx="81">
                  <c:v>1.6824034334763947E-2</c:v>
                </c:pt>
                <c:pt idx="82">
                  <c:v>2.6402640264026399E-2</c:v>
                </c:pt>
                <c:pt idx="83">
                  <c:v>5.6298773690078033E-2</c:v>
                </c:pt>
                <c:pt idx="84">
                  <c:v>3.9991063449508493E-2</c:v>
                </c:pt>
                <c:pt idx="85">
                  <c:v>2.7015793848711556E-2</c:v>
                </c:pt>
                <c:pt idx="86">
                  <c:v>3.5189803269603769E-2</c:v>
                </c:pt>
                <c:pt idx="87">
                  <c:v>1.5567086730911787E-2</c:v>
                </c:pt>
                <c:pt idx="88">
                  <c:v>3.4313725490196081E-2</c:v>
                </c:pt>
                <c:pt idx="89">
                  <c:v>2.5524907369287773E-2</c:v>
                </c:pt>
                <c:pt idx="90">
                  <c:v>4.0479421076436005E-2</c:v>
                </c:pt>
                <c:pt idx="91">
                  <c:v>2.4282094594594593E-2</c:v>
                </c:pt>
                <c:pt idx="92">
                  <c:v>3.22257806244996E-2</c:v>
                </c:pt>
                <c:pt idx="93">
                  <c:v>2.6790314270994334E-2</c:v>
                </c:pt>
                <c:pt idx="94">
                  <c:v>2.7861698556562606E-2</c:v>
                </c:pt>
                <c:pt idx="95">
                  <c:v>1.7909111260353706E-2</c:v>
                </c:pt>
                <c:pt idx="96">
                  <c:v>2.3200757575757576E-2</c:v>
                </c:pt>
                <c:pt idx="97">
                  <c:v>1.4218972171440178E-2</c:v>
                </c:pt>
                <c:pt idx="98">
                  <c:v>1.9106957424714414E-2</c:v>
                </c:pt>
                <c:pt idx="99">
                  <c:v>2.2676371780515119E-2</c:v>
                </c:pt>
                <c:pt idx="100">
                  <c:v>3.4257036875409125E-2</c:v>
                </c:pt>
                <c:pt idx="101">
                  <c:v>2.1483375959079284E-2</c:v>
                </c:pt>
                <c:pt idx="102">
                  <c:v>2.1807949349278932E-2</c:v>
                </c:pt>
                <c:pt idx="103">
                  <c:v>2.0322085889570553E-2</c:v>
                </c:pt>
                <c:pt idx="104">
                  <c:v>1.4732630047289906E-2</c:v>
                </c:pt>
                <c:pt idx="105">
                  <c:v>2.7020838103961529E-2</c:v>
                </c:pt>
                <c:pt idx="106">
                  <c:v>2.3153942428035049E-2</c:v>
                </c:pt>
                <c:pt idx="107">
                  <c:v>1.5995781332395851E-2</c:v>
                </c:pt>
                <c:pt idx="108">
                  <c:v>2.7313397692488816E-2</c:v>
                </c:pt>
                <c:pt idx="109">
                  <c:v>1.4856230031948883E-2</c:v>
                </c:pt>
                <c:pt idx="110">
                  <c:v>1.7028522775649216E-2</c:v>
                </c:pt>
                <c:pt idx="111">
                  <c:v>1.6688543033939622E-2</c:v>
                </c:pt>
                <c:pt idx="112">
                  <c:v>1.5126663021687626E-2</c:v>
                </c:pt>
                <c:pt idx="113">
                  <c:v>2.8265329382265787E-2</c:v>
                </c:pt>
                <c:pt idx="114">
                  <c:v>1.2048192771084315E-2</c:v>
                </c:pt>
                <c:pt idx="115">
                  <c:v>1.471502590673575E-2</c:v>
                </c:pt>
                <c:pt idx="117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1F-4855-8960-91D8D74A8265}"/>
            </c:ext>
          </c:extLst>
        </c:ser>
        <c:ser>
          <c:idx val="1"/>
          <c:order val="1"/>
          <c:tx>
            <c:v>0.11 - 0.25</c:v>
          </c:tx>
          <c:marker>
            <c:symbol val="none"/>
          </c:marker>
          <c:trendline>
            <c:spPr>
              <a:ln w="28575">
                <a:solidFill>
                  <a:schemeClr val="accent2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4051389926014806E-2"/>
                  <c:y val="8.0051658231901346E-4"/>
                </c:manualLayout>
              </c:layout>
              <c:numFmt formatCode="General" sourceLinked="0"/>
            </c:trendlineLbl>
          </c:trendline>
          <c:xVal>
            <c:numRef>
              <c:f>'IM AOE'!$U$2:$U$117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AOE'!$X$2:$X$119</c:f>
              <c:numCache>
                <c:formatCode>0.0%</c:formatCode>
                <c:ptCount val="118"/>
                <c:pt idx="0">
                  <c:v>8.772563176895308E-2</c:v>
                </c:pt>
                <c:pt idx="1">
                  <c:v>9.3477799022732108E-2</c:v>
                </c:pt>
                <c:pt idx="2">
                  <c:v>0.14263881813550688</c:v>
                </c:pt>
                <c:pt idx="3">
                  <c:v>9.3654932637983468E-2</c:v>
                </c:pt>
                <c:pt idx="4">
                  <c:v>0.11651628089446843</c:v>
                </c:pt>
                <c:pt idx="5">
                  <c:v>0.10206896551724137</c:v>
                </c:pt>
                <c:pt idx="6">
                  <c:v>9.308283518360376E-2</c:v>
                </c:pt>
                <c:pt idx="7">
                  <c:v>0.10499139414802064</c:v>
                </c:pt>
                <c:pt idx="8">
                  <c:v>0.10469929388848308</c:v>
                </c:pt>
                <c:pt idx="9">
                  <c:v>6.5791716379751147E-2</c:v>
                </c:pt>
                <c:pt idx="10">
                  <c:v>7.6530612244897961E-2</c:v>
                </c:pt>
                <c:pt idx="11">
                  <c:v>0.11984196663740122</c:v>
                </c:pt>
                <c:pt idx="12">
                  <c:v>8.5835835835835844E-2</c:v>
                </c:pt>
                <c:pt idx="13">
                  <c:v>7.4452853344242176E-2</c:v>
                </c:pt>
                <c:pt idx="14">
                  <c:v>0.12466389635785871</c:v>
                </c:pt>
                <c:pt idx="15">
                  <c:v>9.5294818344252533E-2</c:v>
                </c:pt>
                <c:pt idx="16">
                  <c:v>7.4155117918794061E-2</c:v>
                </c:pt>
                <c:pt idx="17">
                  <c:v>8.822962820265845E-2</c:v>
                </c:pt>
                <c:pt idx="18">
                  <c:v>0.11278493557978196</c:v>
                </c:pt>
                <c:pt idx="19">
                  <c:v>0.13281682346430548</c:v>
                </c:pt>
                <c:pt idx="20">
                  <c:v>0.14452628905257811</c:v>
                </c:pt>
                <c:pt idx="21">
                  <c:v>8.423667570009033E-2</c:v>
                </c:pt>
                <c:pt idx="22">
                  <c:v>8.9969947407963935E-2</c:v>
                </c:pt>
                <c:pt idx="23">
                  <c:v>8.8621687820084616E-2</c:v>
                </c:pt>
                <c:pt idx="24">
                  <c:v>8.1135494262130056E-2</c:v>
                </c:pt>
                <c:pt idx="25">
                  <c:v>9.9631751227495902E-2</c:v>
                </c:pt>
                <c:pt idx="26">
                  <c:v>9.0040927694406553E-2</c:v>
                </c:pt>
                <c:pt idx="27">
                  <c:v>0.10185792349726776</c:v>
                </c:pt>
                <c:pt idx="28">
                  <c:v>0.14246196403872755</c:v>
                </c:pt>
                <c:pt idx="29">
                  <c:v>7.1798859512700888E-2</c:v>
                </c:pt>
                <c:pt idx="30">
                  <c:v>9.6286370597243487E-2</c:v>
                </c:pt>
                <c:pt idx="31">
                  <c:v>8.9373680506685427E-2</c:v>
                </c:pt>
                <c:pt idx="32">
                  <c:v>7.359813084112149E-2</c:v>
                </c:pt>
                <c:pt idx="33">
                  <c:v>0.12135621252842672</c:v>
                </c:pt>
                <c:pt idx="34">
                  <c:v>8.0823401950162521E-2</c:v>
                </c:pt>
                <c:pt idx="35">
                  <c:v>0.11238576706202606</c:v>
                </c:pt>
                <c:pt idx="36">
                  <c:v>0.11061700944969427</c:v>
                </c:pt>
                <c:pt idx="37">
                  <c:v>9.5676541232986398E-2</c:v>
                </c:pt>
                <c:pt idx="38">
                  <c:v>9.2821304515631017E-2</c:v>
                </c:pt>
                <c:pt idx="39">
                  <c:v>9.0082865543971935E-2</c:v>
                </c:pt>
                <c:pt idx="40">
                  <c:v>9.9695050433966689E-2</c:v>
                </c:pt>
                <c:pt idx="41">
                  <c:v>9.1211533130024669E-2</c:v>
                </c:pt>
                <c:pt idx="42">
                  <c:v>0.10544295149168754</c:v>
                </c:pt>
                <c:pt idx="43">
                  <c:v>0.12413229889750919</c:v>
                </c:pt>
                <c:pt idx="44">
                  <c:v>0.11445028800400701</c:v>
                </c:pt>
                <c:pt idx="45">
                  <c:v>8.4774255523535055E-2</c:v>
                </c:pt>
                <c:pt idx="46">
                  <c:v>7.6825969341749317E-2</c:v>
                </c:pt>
                <c:pt idx="47">
                  <c:v>6.1455260570304822E-2</c:v>
                </c:pt>
                <c:pt idx="48">
                  <c:v>0.14872699773128309</c:v>
                </c:pt>
                <c:pt idx="49">
                  <c:v>0.10706534844465855</c:v>
                </c:pt>
                <c:pt idx="50">
                  <c:v>5.2950075642965014E-2</c:v>
                </c:pt>
                <c:pt idx="51">
                  <c:v>7.7602931666307398E-2</c:v>
                </c:pt>
                <c:pt idx="52">
                  <c:v>8.4503572308450098E-2</c:v>
                </c:pt>
                <c:pt idx="53">
                  <c:v>9.1308165057067597E-2</c:v>
                </c:pt>
                <c:pt idx="54">
                  <c:v>0.10294719607040524</c:v>
                </c:pt>
                <c:pt idx="55">
                  <c:v>0.17599770312948609</c:v>
                </c:pt>
                <c:pt idx="56">
                  <c:v>3.7243947858473E-2</c:v>
                </c:pt>
                <c:pt idx="57">
                  <c:v>0.13009757317988493</c:v>
                </c:pt>
                <c:pt idx="58">
                  <c:v>8.724832214765102E-2</c:v>
                </c:pt>
                <c:pt idx="59">
                  <c:v>8.4678310855626576E-2</c:v>
                </c:pt>
                <c:pt idx="60">
                  <c:v>8.2459387209541421E-2</c:v>
                </c:pt>
                <c:pt idx="61">
                  <c:v>9.9644128113879002E-2</c:v>
                </c:pt>
                <c:pt idx="62">
                  <c:v>7.0872707059477486E-2</c:v>
                </c:pt>
                <c:pt idx="63">
                  <c:v>0.13469387755102008</c:v>
                </c:pt>
                <c:pt idx="64">
                  <c:v>7.5618374558303877E-2</c:v>
                </c:pt>
                <c:pt idx="65">
                  <c:v>0.12720769058797229</c:v>
                </c:pt>
                <c:pt idx="66">
                  <c:v>8.2790939859411355E-2</c:v>
                </c:pt>
                <c:pt idx="67">
                  <c:v>6.7640276710222907E-2</c:v>
                </c:pt>
                <c:pt idx="68">
                  <c:v>9.4765100671140939E-2</c:v>
                </c:pt>
                <c:pt idx="69">
                  <c:v>6.7076800952569945E-2</c:v>
                </c:pt>
                <c:pt idx="70">
                  <c:v>8.976109215017064E-2</c:v>
                </c:pt>
                <c:pt idx="71">
                  <c:v>7.7416500774165009E-2</c:v>
                </c:pt>
                <c:pt idx="72">
                  <c:v>7.1414242728184557E-2</c:v>
                </c:pt>
                <c:pt idx="73">
                  <c:v>7.568238213399503E-2</c:v>
                </c:pt>
                <c:pt idx="74">
                  <c:v>6.9033530571992102E-2</c:v>
                </c:pt>
                <c:pt idx="75">
                  <c:v>0.10804752297691102</c:v>
                </c:pt>
                <c:pt idx="76">
                  <c:v>8.4844258484425839E-2</c:v>
                </c:pt>
                <c:pt idx="77">
                  <c:v>0.11040268456375839</c:v>
                </c:pt>
                <c:pt idx="78">
                  <c:v>8.8008800880088014E-2</c:v>
                </c:pt>
                <c:pt idx="79">
                  <c:v>7.8086266732771428E-2</c:v>
                </c:pt>
                <c:pt idx="80">
                  <c:v>0.11223958333333332</c:v>
                </c:pt>
                <c:pt idx="81">
                  <c:v>5.8197424892703867E-2</c:v>
                </c:pt>
                <c:pt idx="82">
                  <c:v>7.9427942794279421E-2</c:v>
                </c:pt>
                <c:pt idx="83">
                  <c:v>8.5841694537346427E-2</c:v>
                </c:pt>
                <c:pt idx="84">
                  <c:v>7.5290437890974088E-2</c:v>
                </c:pt>
                <c:pt idx="85">
                  <c:v>6.1720698254364097E-2</c:v>
                </c:pt>
                <c:pt idx="86">
                  <c:v>6.6500415627597662E-2</c:v>
                </c:pt>
                <c:pt idx="87">
                  <c:v>6.770447244872721E-2</c:v>
                </c:pt>
                <c:pt idx="88">
                  <c:v>6.9411764705882353E-2</c:v>
                </c:pt>
                <c:pt idx="89">
                  <c:v>5.0638122684232192E-2</c:v>
                </c:pt>
                <c:pt idx="90">
                  <c:v>0.11126187245590231</c:v>
                </c:pt>
                <c:pt idx="91">
                  <c:v>9.45945945945946E-2</c:v>
                </c:pt>
                <c:pt idx="92">
                  <c:v>6.5852682145716573E-2</c:v>
                </c:pt>
                <c:pt idx="93">
                  <c:v>9.9433281813498198E-2</c:v>
                </c:pt>
                <c:pt idx="94">
                  <c:v>5.2870090634441085E-2</c:v>
                </c:pt>
                <c:pt idx="95">
                  <c:v>0.11305126483098275</c:v>
                </c:pt>
                <c:pt idx="96">
                  <c:v>9.4933712121212113E-2</c:v>
                </c:pt>
                <c:pt idx="97">
                  <c:v>8.7751371115173685E-2</c:v>
                </c:pt>
                <c:pt idx="98">
                  <c:v>7.1028037383177367E-2</c:v>
                </c:pt>
                <c:pt idx="99">
                  <c:v>0.14725643896976456</c:v>
                </c:pt>
                <c:pt idx="100">
                  <c:v>7.4841806676849226E-2</c:v>
                </c:pt>
                <c:pt idx="101">
                  <c:v>9.2583120204603575E-2</c:v>
                </c:pt>
                <c:pt idx="102">
                  <c:v>7.069996482588814E-2</c:v>
                </c:pt>
                <c:pt idx="103">
                  <c:v>8.5506134969325159E-2</c:v>
                </c:pt>
                <c:pt idx="104">
                  <c:v>4.5107311749727173E-2</c:v>
                </c:pt>
                <c:pt idx="105">
                  <c:v>9.4343943210441955E-2</c:v>
                </c:pt>
                <c:pt idx="106">
                  <c:v>7.1547768043387361E-2</c:v>
                </c:pt>
                <c:pt idx="107">
                  <c:v>6.9783793285287402E-2</c:v>
                </c:pt>
                <c:pt idx="108">
                  <c:v>6.333882740758183E-2</c:v>
                </c:pt>
                <c:pt idx="109">
                  <c:v>5.7827476038338661E-2</c:v>
                </c:pt>
                <c:pt idx="110">
                  <c:v>9.6636866751809283E-2</c:v>
                </c:pt>
                <c:pt idx="111">
                  <c:v>5.7753609600600039E-2</c:v>
                </c:pt>
                <c:pt idx="112">
                  <c:v>9.167122289046839E-2</c:v>
                </c:pt>
                <c:pt idx="113">
                  <c:v>0.10850239343514931</c:v>
                </c:pt>
                <c:pt idx="114">
                  <c:v>0.12673772011121409</c:v>
                </c:pt>
                <c:pt idx="115">
                  <c:v>9.3886010362694311E-2</c:v>
                </c:pt>
                <c:pt idx="117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11F-4855-8960-91D8D74A8265}"/>
            </c:ext>
          </c:extLst>
        </c:ser>
        <c:ser>
          <c:idx val="2"/>
          <c:order val="2"/>
          <c:tx>
            <c:v>0.26 - 0.50</c:v>
          </c:tx>
          <c:marker>
            <c:symbol val="none"/>
          </c:marker>
          <c:trendline>
            <c:spPr>
              <a:ln w="28575">
                <a:solidFill>
                  <a:schemeClr val="accent3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7239768925143638E-2"/>
                  <c:y val="-4.4177886078186222E-4"/>
                </c:manualLayout>
              </c:layout>
              <c:numFmt formatCode="General" sourceLinked="0"/>
            </c:trendlineLbl>
          </c:trendline>
          <c:xVal>
            <c:numRef>
              <c:f>'IM AOE'!$U$2:$U$117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AOE'!$Y$2:$Y$119</c:f>
              <c:numCache>
                <c:formatCode>0.0%</c:formatCode>
                <c:ptCount val="118"/>
                <c:pt idx="0">
                  <c:v>0.11462093862815884</c:v>
                </c:pt>
                <c:pt idx="1">
                  <c:v>0.19587847886127047</c:v>
                </c:pt>
                <c:pt idx="2">
                  <c:v>0.22771268466632705</c:v>
                </c:pt>
                <c:pt idx="3">
                  <c:v>0.22164276401564534</c:v>
                </c:pt>
                <c:pt idx="4">
                  <c:v>0.16457434287956063</c:v>
                </c:pt>
                <c:pt idx="5">
                  <c:v>0.14775862068965501</c:v>
                </c:pt>
                <c:pt idx="6">
                  <c:v>0.17613151152860801</c:v>
                </c:pt>
                <c:pt idx="7">
                  <c:v>0.25473321858864023</c:v>
                </c:pt>
                <c:pt idx="8">
                  <c:v>0.22522522522522523</c:v>
                </c:pt>
                <c:pt idx="9">
                  <c:v>0.18868246122379409</c:v>
                </c:pt>
                <c:pt idx="10">
                  <c:v>0.12951334379905807</c:v>
                </c:pt>
                <c:pt idx="11">
                  <c:v>0.11501316944688302</c:v>
                </c:pt>
                <c:pt idx="12">
                  <c:v>0.1931931931931932</c:v>
                </c:pt>
                <c:pt idx="13">
                  <c:v>0.25117610963387194</c:v>
                </c:pt>
                <c:pt idx="14">
                  <c:v>0.21632852603275463</c:v>
                </c:pt>
                <c:pt idx="15">
                  <c:v>0.20726622989874927</c:v>
                </c:pt>
                <c:pt idx="16">
                  <c:v>0.2261123267687819</c:v>
                </c:pt>
                <c:pt idx="17">
                  <c:v>0.17703717973415528</c:v>
                </c:pt>
                <c:pt idx="18">
                  <c:v>0.15143706640237839</c:v>
                </c:pt>
                <c:pt idx="19">
                  <c:v>0.25428887659103483</c:v>
                </c:pt>
                <c:pt idx="20">
                  <c:v>0.22910845821691644</c:v>
                </c:pt>
                <c:pt idx="21">
                  <c:v>0.22357723577235772</c:v>
                </c:pt>
                <c:pt idx="22">
                  <c:v>0.16810668670172801</c:v>
                </c:pt>
                <c:pt idx="23">
                  <c:v>0.19884212870184795</c:v>
                </c:pt>
                <c:pt idx="24">
                  <c:v>0.23877592107912218</c:v>
                </c:pt>
                <c:pt idx="25">
                  <c:v>0.2144026186579378</c:v>
                </c:pt>
                <c:pt idx="26">
                  <c:v>0.14578054960046755</c:v>
                </c:pt>
                <c:pt idx="27">
                  <c:v>0.20109289617486337</c:v>
                </c:pt>
                <c:pt idx="28">
                  <c:v>0.19170124481327802</c:v>
                </c:pt>
                <c:pt idx="29">
                  <c:v>0.16018662519440124</c:v>
                </c:pt>
                <c:pt idx="30">
                  <c:v>0.10719754977029096</c:v>
                </c:pt>
                <c:pt idx="31">
                  <c:v>0.12737508796622096</c:v>
                </c:pt>
                <c:pt idx="32">
                  <c:v>0.14544392523364466</c:v>
                </c:pt>
                <c:pt idx="33">
                  <c:v>0.17531527806491629</c:v>
                </c:pt>
                <c:pt idx="34">
                  <c:v>0.14387865655471288</c:v>
                </c:pt>
                <c:pt idx="35">
                  <c:v>0.1716896752867976</c:v>
                </c:pt>
                <c:pt idx="36">
                  <c:v>0.14841578654808227</c:v>
                </c:pt>
                <c:pt idx="37">
                  <c:v>0.14471577261809426</c:v>
                </c:pt>
                <c:pt idx="38">
                  <c:v>0.12678502508683906</c:v>
                </c:pt>
                <c:pt idx="39">
                  <c:v>0.15209836941994093</c:v>
                </c:pt>
                <c:pt idx="40">
                  <c:v>0.17780905465634506</c:v>
                </c:pt>
                <c:pt idx="41">
                  <c:v>0.18186858885500415</c:v>
                </c:pt>
                <c:pt idx="42">
                  <c:v>0.10020496470052381</c:v>
                </c:pt>
                <c:pt idx="43">
                  <c:v>0.18803593303389141</c:v>
                </c:pt>
                <c:pt idx="44">
                  <c:v>0.16804407713498623</c:v>
                </c:pt>
                <c:pt idx="45">
                  <c:v>0.20869356388088375</c:v>
                </c:pt>
                <c:pt idx="46">
                  <c:v>0.16032461677186635</c:v>
                </c:pt>
                <c:pt idx="47">
                  <c:v>0.25589970501474929</c:v>
                </c:pt>
                <c:pt idx="48">
                  <c:v>0.10310057978321149</c:v>
                </c:pt>
                <c:pt idx="49">
                  <c:v>0.13527851458885942</c:v>
                </c:pt>
                <c:pt idx="50">
                  <c:v>0.19459152798789711</c:v>
                </c:pt>
                <c:pt idx="51">
                  <c:v>0.19249838327225693</c:v>
                </c:pt>
                <c:pt idx="52">
                  <c:v>0.15397881251539786</c:v>
                </c:pt>
                <c:pt idx="53">
                  <c:v>0.1793971319871229</c:v>
                </c:pt>
                <c:pt idx="54">
                  <c:v>0.2447810069586574</c:v>
                </c:pt>
                <c:pt idx="55">
                  <c:v>0.24059718633362018</c:v>
                </c:pt>
                <c:pt idx="56">
                  <c:v>0.10148975791433892</c:v>
                </c:pt>
                <c:pt idx="57">
                  <c:v>0.21190893169877384</c:v>
                </c:pt>
                <c:pt idx="58">
                  <c:v>0.15414591903009311</c:v>
                </c:pt>
                <c:pt idx="59">
                  <c:v>0.21136413884589877</c:v>
                </c:pt>
                <c:pt idx="60">
                  <c:v>0.12111865103845362</c:v>
                </c:pt>
                <c:pt idx="61">
                  <c:v>0.14234875444839859</c:v>
                </c:pt>
                <c:pt idx="62">
                  <c:v>0.11061700944969428</c:v>
                </c:pt>
                <c:pt idx="63">
                  <c:v>0.26564625850340134</c:v>
                </c:pt>
                <c:pt idx="64">
                  <c:v>0.14181389870435804</c:v>
                </c:pt>
                <c:pt idx="65">
                  <c:v>0.17549742901855578</c:v>
                </c:pt>
                <c:pt idx="66">
                  <c:v>0.12757094506638869</c:v>
                </c:pt>
                <c:pt idx="67">
                  <c:v>0.10857033051498848</c:v>
                </c:pt>
                <c:pt idx="68">
                  <c:v>0.22577181208053693</c:v>
                </c:pt>
                <c:pt idx="69">
                  <c:v>0.10537805120063504</c:v>
                </c:pt>
                <c:pt idx="70">
                  <c:v>0.14846416382252559</c:v>
                </c:pt>
                <c:pt idx="71">
                  <c:v>0.19995576199955759</c:v>
                </c:pt>
                <c:pt idx="72">
                  <c:v>0.15747241725175526</c:v>
                </c:pt>
                <c:pt idx="73">
                  <c:v>7.0010634526763565E-2</c:v>
                </c:pt>
                <c:pt idx="74">
                  <c:v>0.14201183431952638</c:v>
                </c:pt>
                <c:pt idx="75">
                  <c:v>0.16162295449450795</c:v>
                </c:pt>
                <c:pt idx="76">
                  <c:v>0.16062296606229637</c:v>
                </c:pt>
                <c:pt idx="77">
                  <c:v>8.5906040268456371E-2</c:v>
                </c:pt>
                <c:pt idx="78">
                  <c:v>0.31820682068206546</c:v>
                </c:pt>
                <c:pt idx="79">
                  <c:v>0.21170054536440253</c:v>
                </c:pt>
                <c:pt idx="80">
                  <c:v>0.18958333333333308</c:v>
                </c:pt>
                <c:pt idx="81">
                  <c:v>0.1455793991416309</c:v>
                </c:pt>
                <c:pt idx="82">
                  <c:v>0.154015401540154</c:v>
                </c:pt>
                <c:pt idx="83">
                  <c:v>0.22435897435897437</c:v>
                </c:pt>
                <c:pt idx="84">
                  <c:v>0.18990169794459316</c:v>
                </c:pt>
                <c:pt idx="85">
                  <c:v>0.13985868661679116</c:v>
                </c:pt>
                <c:pt idx="86">
                  <c:v>0.20753671377112773</c:v>
                </c:pt>
                <c:pt idx="87">
                  <c:v>0.10551025450951321</c:v>
                </c:pt>
                <c:pt idx="88">
                  <c:v>0.14254901960784314</c:v>
                </c:pt>
                <c:pt idx="89">
                  <c:v>0.13009468917249897</c:v>
                </c:pt>
                <c:pt idx="90">
                  <c:v>0.19810040705563092</c:v>
                </c:pt>
                <c:pt idx="91">
                  <c:v>0.16722972972972974</c:v>
                </c:pt>
                <c:pt idx="92">
                  <c:v>0.16453162530024021</c:v>
                </c:pt>
                <c:pt idx="93">
                  <c:v>0.1532715095311695</c:v>
                </c:pt>
                <c:pt idx="94">
                  <c:v>0.18512923799932862</c:v>
                </c:pt>
                <c:pt idx="95">
                  <c:v>0.18759794045220482</c:v>
                </c:pt>
                <c:pt idx="96">
                  <c:v>0.18016098484848458</c:v>
                </c:pt>
                <c:pt idx="97">
                  <c:v>0.16331505179768432</c:v>
                </c:pt>
                <c:pt idx="98">
                  <c:v>0.16843198338525422</c:v>
                </c:pt>
                <c:pt idx="99">
                  <c:v>0.15817469204927212</c:v>
                </c:pt>
                <c:pt idx="100">
                  <c:v>0.13593715906611392</c:v>
                </c:pt>
                <c:pt idx="101">
                  <c:v>0.17493606138107248</c:v>
                </c:pt>
                <c:pt idx="102">
                  <c:v>0.13260640168835738</c:v>
                </c:pt>
                <c:pt idx="103">
                  <c:v>0.15740030674846608</c:v>
                </c:pt>
                <c:pt idx="104">
                  <c:v>9.8035649327028004E-2</c:v>
                </c:pt>
                <c:pt idx="105">
                  <c:v>0.12571559422944792</c:v>
                </c:pt>
                <c:pt idx="106">
                  <c:v>0.16708385481852317</c:v>
                </c:pt>
                <c:pt idx="107">
                  <c:v>0.14097380910529089</c:v>
                </c:pt>
                <c:pt idx="108">
                  <c:v>0.183894513774429</c:v>
                </c:pt>
                <c:pt idx="109">
                  <c:v>0.16900958466453675</c:v>
                </c:pt>
                <c:pt idx="110">
                  <c:v>0.16900808854831822</c:v>
                </c:pt>
                <c:pt idx="111">
                  <c:v>0.18357397337333567</c:v>
                </c:pt>
                <c:pt idx="112">
                  <c:v>0.11682157827592474</c:v>
                </c:pt>
                <c:pt idx="113">
                  <c:v>0.14155459311602461</c:v>
                </c:pt>
                <c:pt idx="114">
                  <c:v>0.13461538461538461</c:v>
                </c:pt>
                <c:pt idx="115">
                  <c:v>0.1900518134715026</c:v>
                </c:pt>
                <c:pt idx="117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611F-4855-8960-91D8D74A8265}"/>
            </c:ext>
          </c:extLst>
        </c:ser>
        <c:ser>
          <c:idx val="3"/>
          <c:order val="3"/>
          <c:tx>
            <c:v>0.51 - 1.00</c:v>
          </c:tx>
          <c:marker>
            <c:symbol val="none"/>
          </c:marker>
          <c:trendline>
            <c:spPr>
              <a:ln w="28575">
                <a:solidFill>
                  <a:schemeClr val="accent4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9129993752885384E-2"/>
                  <c:y val="-1.0567483215724935E-2"/>
                </c:manualLayout>
              </c:layout>
              <c:numFmt formatCode="General" sourceLinked="0"/>
            </c:trendlineLbl>
          </c:trendline>
          <c:xVal>
            <c:numRef>
              <c:f>'IM AOE'!$U$2:$U$117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AOE'!$Z$2:$Z$119</c:f>
              <c:numCache>
                <c:formatCode>0.0%</c:formatCode>
                <c:ptCount val="118"/>
                <c:pt idx="0">
                  <c:v>0.38303249097472925</c:v>
                </c:pt>
                <c:pt idx="1">
                  <c:v>0.33460803059273425</c:v>
                </c:pt>
                <c:pt idx="2">
                  <c:v>0.260825267447784</c:v>
                </c:pt>
                <c:pt idx="3">
                  <c:v>0.30073880921338547</c:v>
                </c:pt>
                <c:pt idx="4">
                  <c:v>0.31934091800705966</c:v>
                </c:pt>
                <c:pt idx="5">
                  <c:v>0.32499999999999823</c:v>
                </c:pt>
                <c:pt idx="6">
                  <c:v>0.13556789069171646</c:v>
                </c:pt>
                <c:pt idx="7">
                  <c:v>0.15859355790508975</c:v>
                </c:pt>
                <c:pt idx="8">
                  <c:v>0.24640857073289504</c:v>
                </c:pt>
                <c:pt idx="9">
                  <c:v>0.25941707857508095</c:v>
                </c:pt>
                <c:pt idx="10">
                  <c:v>0.28767660910517856</c:v>
                </c:pt>
                <c:pt idx="11">
                  <c:v>0.34196663740122912</c:v>
                </c:pt>
                <c:pt idx="12">
                  <c:v>0.35785785785785534</c:v>
                </c:pt>
                <c:pt idx="13">
                  <c:v>0.27694825117610961</c:v>
                </c:pt>
                <c:pt idx="14">
                  <c:v>0.30261549743339039</c:v>
                </c:pt>
                <c:pt idx="15">
                  <c:v>0.27238435576731984</c:v>
                </c:pt>
                <c:pt idx="16">
                  <c:v>0.24434719183078046</c:v>
                </c:pt>
                <c:pt idx="17">
                  <c:v>0.34559815064534777</c:v>
                </c:pt>
                <c:pt idx="18">
                  <c:v>0.29276511397423188</c:v>
                </c:pt>
                <c:pt idx="19">
                  <c:v>0.38018815716657167</c:v>
                </c:pt>
                <c:pt idx="20">
                  <c:v>0.36271272542545085</c:v>
                </c:pt>
                <c:pt idx="21">
                  <c:v>0.23780487804877823</c:v>
                </c:pt>
                <c:pt idx="22">
                  <c:v>0.18350864012021034</c:v>
                </c:pt>
                <c:pt idx="23">
                  <c:v>0.20351814740592297</c:v>
                </c:pt>
                <c:pt idx="24">
                  <c:v>0.37608214213811153</c:v>
                </c:pt>
                <c:pt idx="25">
                  <c:v>0.22626841243862314</c:v>
                </c:pt>
                <c:pt idx="26">
                  <c:v>0.30929643344377311</c:v>
                </c:pt>
                <c:pt idx="27">
                  <c:v>0.22142076502732022</c:v>
                </c:pt>
                <c:pt idx="28">
                  <c:v>0.22130013831258646</c:v>
                </c:pt>
                <c:pt idx="29">
                  <c:v>0.30974598237428719</c:v>
                </c:pt>
                <c:pt idx="30">
                  <c:v>0.27718223583460949</c:v>
                </c:pt>
                <c:pt idx="31">
                  <c:v>0.33779028852920473</c:v>
                </c:pt>
                <c:pt idx="32">
                  <c:v>0.30276479750778817</c:v>
                </c:pt>
                <c:pt idx="33">
                  <c:v>0.25759768451519333</c:v>
                </c:pt>
                <c:pt idx="34">
                  <c:v>0.32351029252437485</c:v>
                </c:pt>
                <c:pt idx="35">
                  <c:v>0.34940696091775225</c:v>
                </c:pt>
                <c:pt idx="36">
                  <c:v>0.28460255697609599</c:v>
                </c:pt>
                <c:pt idx="37">
                  <c:v>0.23458767013610687</c:v>
                </c:pt>
                <c:pt idx="38">
                  <c:v>0.26495561559243341</c:v>
                </c:pt>
                <c:pt idx="39">
                  <c:v>0.29190056134723341</c:v>
                </c:pt>
                <c:pt idx="40">
                  <c:v>0.38869340839784189</c:v>
                </c:pt>
                <c:pt idx="41">
                  <c:v>0.20876074299972247</c:v>
                </c:pt>
                <c:pt idx="42">
                  <c:v>0.2227283079025279</c:v>
                </c:pt>
                <c:pt idx="43">
                  <c:v>0.35422621478154354</c:v>
                </c:pt>
                <c:pt idx="44">
                  <c:v>0.26771850738792885</c:v>
                </c:pt>
                <c:pt idx="45">
                  <c:v>0.33837656099903701</c:v>
                </c:pt>
                <c:pt idx="46">
                  <c:v>0.24833183047790799</c:v>
                </c:pt>
                <c:pt idx="47">
                  <c:v>0.36258603736479844</c:v>
                </c:pt>
                <c:pt idx="48">
                  <c:v>0.27577514494580035</c:v>
                </c:pt>
                <c:pt idx="49">
                  <c:v>0.22112370388232458</c:v>
                </c:pt>
                <c:pt idx="50">
                  <c:v>0.23903177004538578</c:v>
                </c:pt>
                <c:pt idx="51">
                  <c:v>0.29165768484586979</c:v>
                </c:pt>
                <c:pt idx="52">
                  <c:v>0.34614437053461444</c:v>
                </c:pt>
                <c:pt idx="53">
                  <c:v>0.32865086333040383</c:v>
                </c:pt>
                <c:pt idx="54">
                  <c:v>0.26176831764224312</c:v>
                </c:pt>
                <c:pt idx="55">
                  <c:v>0.28366350846971006</c:v>
                </c:pt>
                <c:pt idx="56">
                  <c:v>0.30540037243947704</c:v>
                </c:pt>
                <c:pt idx="57">
                  <c:v>0.32549412059044286</c:v>
                </c:pt>
                <c:pt idx="58">
                  <c:v>0.31197228837410695</c:v>
                </c:pt>
                <c:pt idx="59">
                  <c:v>0.30908688923281014</c:v>
                </c:pt>
                <c:pt idx="60">
                  <c:v>0.19905408184248405</c:v>
                </c:pt>
                <c:pt idx="61">
                  <c:v>0.32685464002189979</c:v>
                </c:pt>
                <c:pt idx="62">
                  <c:v>0.46220122290161203</c:v>
                </c:pt>
                <c:pt idx="63">
                  <c:v>0.30204081632653029</c:v>
                </c:pt>
                <c:pt idx="64">
                  <c:v>0.34817432273262661</c:v>
                </c:pt>
                <c:pt idx="65">
                  <c:v>0.24033087413369106</c:v>
                </c:pt>
                <c:pt idx="66">
                  <c:v>0.21999479302265035</c:v>
                </c:pt>
                <c:pt idx="67">
                  <c:v>0.31072252113758453</c:v>
                </c:pt>
                <c:pt idx="68">
                  <c:v>0.20751677852348993</c:v>
                </c:pt>
                <c:pt idx="69">
                  <c:v>0.26592577892438779</c:v>
                </c:pt>
                <c:pt idx="70">
                  <c:v>0.278839590443686</c:v>
                </c:pt>
                <c:pt idx="71">
                  <c:v>0.26100420261003981</c:v>
                </c:pt>
                <c:pt idx="72">
                  <c:v>0.28525576730190572</c:v>
                </c:pt>
                <c:pt idx="73">
                  <c:v>0.3160226869904289</c:v>
                </c:pt>
                <c:pt idx="74">
                  <c:v>0.30744575936883628</c:v>
                </c:pt>
                <c:pt idx="75">
                  <c:v>0.29320780094149296</c:v>
                </c:pt>
                <c:pt idx="76">
                  <c:v>0.25662482566248251</c:v>
                </c:pt>
                <c:pt idx="77">
                  <c:v>0.27500000000000002</c:v>
                </c:pt>
                <c:pt idx="78">
                  <c:v>0.3041804180418014</c:v>
                </c:pt>
                <c:pt idx="79">
                  <c:v>0.33192860684184178</c:v>
                </c:pt>
                <c:pt idx="80">
                  <c:v>0.31302083333333336</c:v>
                </c:pt>
                <c:pt idx="81">
                  <c:v>0.33167381974248927</c:v>
                </c:pt>
                <c:pt idx="82">
                  <c:v>0.32409240924092408</c:v>
                </c:pt>
                <c:pt idx="83">
                  <c:v>0.29626532887402168</c:v>
                </c:pt>
                <c:pt idx="84">
                  <c:v>0.34249329758713137</c:v>
                </c:pt>
                <c:pt idx="85">
                  <c:v>0.31463009143806941</c:v>
                </c:pt>
                <c:pt idx="86">
                  <c:v>0.5375450263230811</c:v>
                </c:pt>
                <c:pt idx="87">
                  <c:v>0.29898690387941684</c:v>
                </c:pt>
                <c:pt idx="88">
                  <c:v>0.24980392156862746</c:v>
                </c:pt>
                <c:pt idx="89">
                  <c:v>0.2142857142857143</c:v>
                </c:pt>
                <c:pt idx="90">
                  <c:v>0.21370420624151967</c:v>
                </c:pt>
                <c:pt idx="91">
                  <c:v>0.25401182432432429</c:v>
                </c:pt>
                <c:pt idx="92">
                  <c:v>0.2409927942353883</c:v>
                </c:pt>
                <c:pt idx="93">
                  <c:v>0.29340546110252447</c:v>
                </c:pt>
                <c:pt idx="94">
                  <c:v>0.32175226586102723</c:v>
                </c:pt>
                <c:pt idx="95">
                  <c:v>0.35437653906424893</c:v>
                </c:pt>
                <c:pt idx="96">
                  <c:v>0.35487689393939159</c:v>
                </c:pt>
                <c:pt idx="97">
                  <c:v>0.22912858013406459</c:v>
                </c:pt>
                <c:pt idx="98">
                  <c:v>0.24215991692627209</c:v>
                </c:pt>
                <c:pt idx="99">
                  <c:v>0.38577827547592386</c:v>
                </c:pt>
                <c:pt idx="100">
                  <c:v>0.35064368317695832</c:v>
                </c:pt>
                <c:pt idx="101">
                  <c:v>0.3263427109974425</c:v>
                </c:pt>
                <c:pt idx="102">
                  <c:v>0.3471684839957791</c:v>
                </c:pt>
                <c:pt idx="103">
                  <c:v>0.20724693251533743</c:v>
                </c:pt>
                <c:pt idx="104">
                  <c:v>0.31084030556566028</c:v>
                </c:pt>
                <c:pt idx="105">
                  <c:v>0.22921914357682618</c:v>
                </c:pt>
                <c:pt idx="106">
                  <c:v>0.32561535252398832</c:v>
                </c:pt>
                <c:pt idx="107">
                  <c:v>0.35454385656529969</c:v>
                </c:pt>
                <c:pt idx="108">
                  <c:v>0.29314810454438428</c:v>
                </c:pt>
                <c:pt idx="109">
                  <c:v>0.20607028753993611</c:v>
                </c:pt>
                <c:pt idx="110">
                  <c:v>0.22988505747126439</c:v>
                </c:pt>
                <c:pt idx="111">
                  <c:v>0.36846052878304891</c:v>
                </c:pt>
                <c:pt idx="112">
                  <c:v>0.25387279023145437</c:v>
                </c:pt>
                <c:pt idx="113">
                  <c:v>0.24823341691360842</c:v>
                </c:pt>
                <c:pt idx="114">
                  <c:v>0.32275254865616082</c:v>
                </c:pt>
                <c:pt idx="115">
                  <c:v>0.2493264248704663</c:v>
                </c:pt>
                <c:pt idx="117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611F-4855-8960-91D8D74A8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616640"/>
        <c:axId val="117618560"/>
      </c:scatterChart>
      <c:valAx>
        <c:axId val="11761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618560"/>
        <c:crosses val="autoZero"/>
        <c:crossBetween val="midCat"/>
      </c:valAx>
      <c:valAx>
        <c:axId val="117618560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17616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40000"/>
        <a:lumOff val="60000"/>
      </a:schemeClr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Indian Mills: Binned Precipitation as a Percentage of Annual </a:t>
            </a:r>
            <a:r>
              <a:rPr lang="en-US" sz="1800" b="1" i="0" u="none" strike="noStrike" baseline="0">
                <a:effectLst/>
              </a:rPr>
              <a:t>Rainfall </a:t>
            </a:r>
            <a:r>
              <a:rPr lang="en-US"/>
              <a:t>(Large)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1.01 - 2.00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5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0594492268072688E-2"/>
                  <c:y val="8.5529051776482481E-3"/>
                </c:manualLayout>
              </c:layout>
              <c:numFmt formatCode="General" sourceLinked="0"/>
            </c:trendlineLbl>
          </c:trendline>
          <c:xVal>
            <c:numRef>
              <c:f>'IM AOE'!$U$2:$U$117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AOE'!$AJ$2:$AJ$117</c:f>
              <c:numCache>
                <c:formatCode>0.0%</c:formatCode>
                <c:ptCount val="116"/>
                <c:pt idx="0">
                  <c:v>0.2983754512635361</c:v>
                </c:pt>
                <c:pt idx="1">
                  <c:v>0.22073507541958781</c:v>
                </c:pt>
                <c:pt idx="2">
                  <c:v>0.12939378502292409</c:v>
                </c:pt>
                <c:pt idx="3">
                  <c:v>0.22120817036071272</c:v>
                </c:pt>
                <c:pt idx="4">
                  <c:v>0.22204786190663006</c:v>
                </c:pt>
                <c:pt idx="5">
                  <c:v>0.29913793103448272</c:v>
                </c:pt>
                <c:pt idx="6">
                  <c:v>0.45068317677198955</c:v>
                </c:pt>
                <c:pt idx="7">
                  <c:v>0.31522006392918611</c:v>
                </c:pt>
                <c:pt idx="8">
                  <c:v>0.26272218164110056</c:v>
                </c:pt>
                <c:pt idx="9">
                  <c:v>0.24595193454917336</c:v>
                </c:pt>
                <c:pt idx="10">
                  <c:v>0.42955259026687598</c:v>
                </c:pt>
                <c:pt idx="11">
                  <c:v>0.26690079016681295</c:v>
                </c:pt>
                <c:pt idx="12">
                  <c:v>0.24349349349349347</c:v>
                </c:pt>
                <c:pt idx="13">
                  <c:v>0.17856412354264675</c:v>
                </c:pt>
                <c:pt idx="14">
                  <c:v>0.25592764605231</c:v>
                </c:pt>
                <c:pt idx="15">
                  <c:v>0.18979551320230298</c:v>
                </c:pt>
                <c:pt idx="16">
                  <c:v>0.29880865548261604</c:v>
                </c:pt>
                <c:pt idx="17">
                  <c:v>0.24850703140050068</c:v>
                </c:pt>
                <c:pt idx="18">
                  <c:v>0.27016848364717344</c:v>
                </c:pt>
                <c:pt idx="19">
                  <c:v>0.16159380188157169</c:v>
                </c:pt>
                <c:pt idx="20">
                  <c:v>0.21361442722885449</c:v>
                </c:pt>
                <c:pt idx="21">
                  <c:v>0.35433604336043356</c:v>
                </c:pt>
                <c:pt idx="22">
                  <c:v>0.35706235912847295</c:v>
                </c:pt>
                <c:pt idx="23">
                  <c:v>0.31529726118904478</c:v>
                </c:pt>
                <c:pt idx="24">
                  <c:v>0.26978055164082926</c:v>
                </c:pt>
                <c:pt idx="25">
                  <c:v>0.336129296235679</c:v>
                </c:pt>
                <c:pt idx="26">
                  <c:v>0.421165464821672</c:v>
                </c:pt>
                <c:pt idx="27">
                  <c:v>0.4367213114754076</c:v>
                </c:pt>
                <c:pt idx="28">
                  <c:v>0.28132780082987552</c:v>
                </c:pt>
                <c:pt idx="29">
                  <c:v>0.41394504924831521</c:v>
                </c:pt>
                <c:pt idx="30">
                  <c:v>0.27431087289433365</c:v>
                </c:pt>
                <c:pt idx="31">
                  <c:v>0.24349049964813513</c:v>
                </c:pt>
                <c:pt idx="32">
                  <c:v>0.29147196261682051</c:v>
                </c:pt>
                <c:pt idx="33">
                  <c:v>0.1709737440562332</c:v>
                </c:pt>
                <c:pt idx="34">
                  <c:v>0.23380281690140825</c:v>
                </c:pt>
                <c:pt idx="35">
                  <c:v>0.29107524790977835</c:v>
                </c:pt>
                <c:pt idx="36">
                  <c:v>0.17083564943487103</c:v>
                </c:pt>
                <c:pt idx="37">
                  <c:v>0.27702161729383484</c:v>
                </c:pt>
                <c:pt idx="38">
                  <c:v>0.28270937861829393</c:v>
                </c:pt>
                <c:pt idx="39">
                  <c:v>0.42207965784549595</c:v>
                </c:pt>
                <c:pt idx="40">
                  <c:v>0.21885995777621392</c:v>
                </c:pt>
                <c:pt idx="41">
                  <c:v>0.3593013584696424</c:v>
                </c:pt>
                <c:pt idx="42">
                  <c:v>0.39353222500569351</c:v>
                </c:pt>
                <c:pt idx="43">
                  <c:v>0.12576561861984462</c:v>
                </c:pt>
                <c:pt idx="44">
                  <c:v>0.24693213122965163</c:v>
                </c:pt>
                <c:pt idx="45">
                  <c:v>0.31940441882804999</c:v>
                </c:pt>
                <c:pt idx="46">
                  <c:v>0.37745716862037693</c:v>
                </c:pt>
                <c:pt idx="47">
                  <c:v>0.18977384464110128</c:v>
                </c:pt>
                <c:pt idx="48">
                  <c:v>0.24905470128560622</c:v>
                </c:pt>
                <c:pt idx="49">
                  <c:v>0.42874367012298048</c:v>
                </c:pt>
                <c:pt idx="50">
                  <c:v>0.29292738275340391</c:v>
                </c:pt>
                <c:pt idx="51">
                  <c:v>0.36473377883164471</c:v>
                </c:pt>
                <c:pt idx="52">
                  <c:v>0.16334072431633406</c:v>
                </c:pt>
                <c:pt idx="53">
                  <c:v>0.17120280948200173</c:v>
                </c:pt>
                <c:pt idx="54">
                  <c:v>0.22451903397462136</c:v>
                </c:pt>
                <c:pt idx="55">
                  <c:v>0.23428079242032732</c:v>
                </c:pt>
                <c:pt idx="56">
                  <c:v>0.39773432650527629</c:v>
                </c:pt>
                <c:pt idx="57">
                  <c:v>0.28921691268451316</c:v>
                </c:pt>
                <c:pt idx="58">
                  <c:v>0.19961030526087897</c:v>
                </c:pt>
                <c:pt idx="59">
                  <c:v>0.24607561353084195</c:v>
                </c:pt>
                <c:pt idx="60">
                  <c:v>0.38823771334567136</c:v>
                </c:pt>
                <c:pt idx="61">
                  <c:v>0.31207226936764298</c:v>
                </c:pt>
                <c:pt idx="62">
                  <c:v>0.24624791550861591</c:v>
                </c:pt>
                <c:pt idx="63">
                  <c:v>0.12210884353741497</c:v>
                </c:pt>
                <c:pt idx="64">
                  <c:v>0.19104829210836277</c:v>
                </c:pt>
                <c:pt idx="65">
                  <c:v>0.30784708249496984</c:v>
                </c:pt>
                <c:pt idx="66">
                  <c:v>0.35485550637854729</c:v>
                </c:pt>
                <c:pt idx="67">
                  <c:v>0.2511529592621059</c:v>
                </c:pt>
                <c:pt idx="68">
                  <c:v>0.31758389261744968</c:v>
                </c:pt>
                <c:pt idx="69">
                  <c:v>0.18575114109942448</c:v>
                </c:pt>
                <c:pt idx="70">
                  <c:v>0.23993174061433448</c:v>
                </c:pt>
                <c:pt idx="71">
                  <c:v>0.26741871267418715</c:v>
                </c:pt>
                <c:pt idx="72">
                  <c:v>0.21584754262788364</c:v>
                </c:pt>
                <c:pt idx="73">
                  <c:v>0.40074441687344736</c:v>
                </c:pt>
                <c:pt idx="74">
                  <c:v>0.35724852071005914</c:v>
                </c:pt>
                <c:pt idx="75">
                  <c:v>0.34700739744451892</c:v>
                </c:pt>
                <c:pt idx="76">
                  <c:v>0.33728498372849836</c:v>
                </c:pt>
                <c:pt idx="77">
                  <c:v>0.33389261744966436</c:v>
                </c:pt>
                <c:pt idx="78">
                  <c:v>0.18894389438943895</c:v>
                </c:pt>
                <c:pt idx="79">
                  <c:v>0.16410510659395139</c:v>
                </c:pt>
                <c:pt idx="80">
                  <c:v>0.34375</c:v>
                </c:pt>
                <c:pt idx="81">
                  <c:v>0.40120171673819738</c:v>
                </c:pt>
                <c:pt idx="82">
                  <c:v>0.31133113311331129</c:v>
                </c:pt>
                <c:pt idx="83">
                  <c:v>0.13656633221850584</c:v>
                </c:pt>
                <c:pt idx="84">
                  <c:v>0.20129579982126899</c:v>
                </c:pt>
                <c:pt idx="85">
                  <c:v>0.30444721529509561</c:v>
                </c:pt>
                <c:pt idx="86">
                  <c:v>0.14962593516209474</c:v>
                </c:pt>
                <c:pt idx="87">
                  <c:v>0.3224610822831725</c:v>
                </c:pt>
                <c:pt idx="88">
                  <c:v>0.32529411764705685</c:v>
                </c:pt>
                <c:pt idx="89">
                  <c:v>0.38225607245780158</c:v>
                </c:pt>
                <c:pt idx="90">
                  <c:v>0.24559023066485755</c:v>
                </c:pt>
                <c:pt idx="91">
                  <c:v>0.30046452702702703</c:v>
                </c:pt>
                <c:pt idx="92">
                  <c:v>0.36148919135308244</c:v>
                </c:pt>
                <c:pt idx="93">
                  <c:v>0.35110767645543534</c:v>
                </c:pt>
                <c:pt idx="94">
                  <c:v>0.18345082242363209</c:v>
                </c:pt>
                <c:pt idx="95">
                  <c:v>0.20125363778822475</c:v>
                </c:pt>
                <c:pt idx="96">
                  <c:v>0.24337121212121213</c:v>
                </c:pt>
                <c:pt idx="97">
                  <c:v>0.346333536461507</c:v>
                </c:pt>
                <c:pt idx="98">
                  <c:v>0.25088265835929385</c:v>
                </c:pt>
                <c:pt idx="99">
                  <c:v>0.20996640537514</c:v>
                </c:pt>
                <c:pt idx="100">
                  <c:v>0.30634955269474146</c:v>
                </c:pt>
                <c:pt idx="101">
                  <c:v>0.28252344416027281</c:v>
                </c:pt>
                <c:pt idx="102">
                  <c:v>0.12803376714737952</c:v>
                </c:pt>
                <c:pt idx="103">
                  <c:v>0.378834355828219</c:v>
                </c:pt>
                <c:pt idx="104">
                  <c:v>0.29574390687522739</c:v>
                </c:pt>
                <c:pt idx="105">
                  <c:v>0.38493244790474007</c:v>
                </c:pt>
                <c:pt idx="106">
                  <c:v>0.35127242386316226</c:v>
                </c:pt>
                <c:pt idx="107">
                  <c:v>0.21567938126208469</c:v>
                </c:pt>
                <c:pt idx="108">
                  <c:v>0.31716505768777936</c:v>
                </c:pt>
                <c:pt idx="109">
                  <c:v>0.29616613418530352</c:v>
                </c:pt>
                <c:pt idx="110">
                  <c:v>0.29587058322690507</c:v>
                </c:pt>
                <c:pt idx="111">
                  <c:v>0.21826364147759236</c:v>
                </c:pt>
                <c:pt idx="112">
                  <c:v>0.2857663568434482</c:v>
                </c:pt>
                <c:pt idx="113">
                  <c:v>0.41554593116024618</c:v>
                </c:pt>
                <c:pt idx="114">
                  <c:v>0.34430027803521779</c:v>
                </c:pt>
                <c:pt idx="115">
                  <c:v>0.2590673575129534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09C-4B97-9CFC-64DA465E9E34}"/>
            </c:ext>
          </c:extLst>
        </c:ser>
        <c:ser>
          <c:idx val="2"/>
          <c:order val="1"/>
          <c:tx>
            <c:v>2.01+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6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4089394212240723E-2"/>
                  <c:y val="-8.3904767092855934E-4"/>
                </c:manualLayout>
              </c:layout>
              <c:numFmt formatCode="General" sourceLinked="0"/>
            </c:trendlineLbl>
          </c:trendline>
          <c:xVal>
            <c:numRef>
              <c:f>'IM AOE'!$U$2:$U$117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AOE'!$AL$2:$AL$117</c:f>
              <c:numCache>
                <c:formatCode>0.0%</c:formatCode>
                <c:ptCount val="116"/>
                <c:pt idx="0">
                  <c:v>8.4837545126353803E-2</c:v>
                </c:pt>
                <c:pt idx="1">
                  <c:v>0.12003399192691737</c:v>
                </c:pt>
                <c:pt idx="2">
                  <c:v>0.1859398879266429</c:v>
                </c:pt>
                <c:pt idx="3">
                  <c:v>0.12168622338113863</c:v>
                </c:pt>
                <c:pt idx="4">
                  <c:v>0.14025107885445273</c:v>
                </c:pt>
                <c:pt idx="5">
                  <c:v>9.551724137931035E-2</c:v>
                </c:pt>
                <c:pt idx="6">
                  <c:v>0.10397096498719041</c:v>
                </c:pt>
                <c:pt idx="7">
                  <c:v>0.11925252028522251</c:v>
                </c:pt>
                <c:pt idx="8">
                  <c:v>0.12734355977599221</c:v>
                </c:pt>
                <c:pt idx="9">
                  <c:v>0.20998806885972388</c:v>
                </c:pt>
                <c:pt idx="10">
                  <c:v>4.1797488226059651E-2</c:v>
                </c:pt>
                <c:pt idx="11">
                  <c:v>9.920983318700613E-2</c:v>
                </c:pt>
                <c:pt idx="12">
                  <c:v>6.5315315315315314E-2</c:v>
                </c:pt>
                <c:pt idx="13">
                  <c:v>0.18163223563100839</c:v>
                </c:pt>
                <c:pt idx="14">
                  <c:v>4.9865558543143493E-2</c:v>
                </c:pt>
                <c:pt idx="15">
                  <c:v>0.20309708159618803</c:v>
                </c:pt>
                <c:pt idx="16">
                  <c:v>9.5307561390712364E-2</c:v>
                </c:pt>
                <c:pt idx="17">
                  <c:v>0.1009439414371027</c:v>
                </c:pt>
                <c:pt idx="18">
                  <c:v>0.13518334985133795</c:v>
                </c:pt>
                <c:pt idx="19">
                  <c:v>0</c:v>
                </c:pt>
                <c:pt idx="20">
                  <c:v>0</c:v>
                </c:pt>
                <c:pt idx="21">
                  <c:v>6.2782294489611562E-2</c:v>
                </c:pt>
                <c:pt idx="22">
                  <c:v>0.17693463561232156</c:v>
                </c:pt>
                <c:pt idx="23">
                  <c:v>0.14918726341572033</c:v>
                </c:pt>
                <c:pt idx="24">
                  <c:v>0</c:v>
                </c:pt>
                <c:pt idx="25">
                  <c:v>8.6947626841243852E-2</c:v>
                </c:pt>
                <c:pt idx="26">
                  <c:v>0</c:v>
                </c:pt>
                <c:pt idx="27">
                  <c:v>0</c:v>
                </c:pt>
                <c:pt idx="28">
                  <c:v>0.11341632088520055</c:v>
                </c:pt>
                <c:pt idx="29">
                  <c:v>0</c:v>
                </c:pt>
                <c:pt idx="30">
                  <c:v>0.21630934150076567</c:v>
                </c:pt>
                <c:pt idx="31">
                  <c:v>0.17698803659394791</c:v>
                </c:pt>
                <c:pt idx="32">
                  <c:v>0.15459501557632399</c:v>
                </c:pt>
                <c:pt idx="33">
                  <c:v>0.23589001447178004</c:v>
                </c:pt>
                <c:pt idx="34">
                  <c:v>0.18504875406283855</c:v>
                </c:pt>
                <c:pt idx="35">
                  <c:v>4.0832199105580405E-2</c:v>
                </c:pt>
                <c:pt idx="36">
                  <c:v>0.24847137298499167</c:v>
                </c:pt>
                <c:pt idx="37">
                  <c:v>0.2011609287429944</c:v>
                </c:pt>
                <c:pt idx="38">
                  <c:v>0.18950212273253569</c:v>
                </c:pt>
                <c:pt idx="39">
                  <c:v>0</c:v>
                </c:pt>
                <c:pt idx="40">
                  <c:v>7.5064508562045509E-2</c:v>
                </c:pt>
                <c:pt idx="41">
                  <c:v>9.7033545883005265E-2</c:v>
                </c:pt>
                <c:pt idx="42">
                  <c:v>0.12434525165110455</c:v>
                </c:pt>
                <c:pt idx="43">
                  <c:v>0.15475704369130258</c:v>
                </c:pt>
                <c:pt idx="44">
                  <c:v>0.15001252191334838</c:v>
                </c:pt>
                <c:pt idx="45">
                  <c:v>0</c:v>
                </c:pt>
                <c:pt idx="46">
                  <c:v>8.4220018034265098E-2</c:v>
                </c:pt>
                <c:pt idx="47">
                  <c:v>7.940019665683383E-2</c:v>
                </c:pt>
                <c:pt idx="48">
                  <c:v>0.16536425510461306</c:v>
                </c:pt>
                <c:pt idx="49">
                  <c:v>5.8355437665782495E-2</c:v>
                </c:pt>
                <c:pt idx="50">
                  <c:v>0.19591527987897128</c:v>
                </c:pt>
                <c:pt idx="51">
                  <c:v>4.7855141194222899E-2</c:v>
                </c:pt>
                <c:pt idx="52">
                  <c:v>0.21261394432126138</c:v>
                </c:pt>
                <c:pt idx="53">
                  <c:v>0.17295873573309922</c:v>
                </c:pt>
                <c:pt idx="54">
                  <c:v>0.12996316004911992</c:v>
                </c:pt>
                <c:pt idx="55">
                  <c:v>0</c:v>
                </c:pt>
                <c:pt idx="56">
                  <c:v>0.13019863438857854</c:v>
                </c:pt>
                <c:pt idx="57">
                  <c:v>0</c:v>
                </c:pt>
                <c:pt idx="58">
                  <c:v>0.20718770296600997</c:v>
                </c:pt>
                <c:pt idx="59">
                  <c:v>0.10523988503205838</c:v>
                </c:pt>
                <c:pt idx="60">
                  <c:v>0.17520049352251693</c:v>
                </c:pt>
                <c:pt idx="61">
                  <c:v>7.6649329318368459E-2</c:v>
                </c:pt>
                <c:pt idx="62">
                  <c:v>6.3646470261256263E-2</c:v>
                </c:pt>
                <c:pt idx="63">
                  <c:v>0.11394557823129252</c:v>
                </c:pt>
                <c:pt idx="64">
                  <c:v>0.2073027090694935</c:v>
                </c:pt>
                <c:pt idx="65">
                  <c:v>0.11312318354571875</c:v>
                </c:pt>
                <c:pt idx="66">
                  <c:v>0.17781827649049728</c:v>
                </c:pt>
                <c:pt idx="67">
                  <c:v>0.23693312836279787</c:v>
                </c:pt>
                <c:pt idx="68">
                  <c:v>0.11140939597315437</c:v>
                </c:pt>
                <c:pt idx="69">
                  <c:v>0.34352053978964076</c:v>
                </c:pt>
                <c:pt idx="70">
                  <c:v>0.20853242320819113</c:v>
                </c:pt>
                <c:pt idx="71">
                  <c:v>0.14863968148639681</c:v>
                </c:pt>
                <c:pt idx="72">
                  <c:v>0.23249749247743232</c:v>
                </c:pt>
                <c:pt idx="73">
                  <c:v>9.624246721020914E-2</c:v>
                </c:pt>
                <c:pt idx="74">
                  <c:v>8.4319526627218935E-2</c:v>
                </c:pt>
                <c:pt idx="75">
                  <c:v>5.043712172158709E-2</c:v>
                </c:pt>
                <c:pt idx="76">
                  <c:v>0.12529056252905624</c:v>
                </c:pt>
                <c:pt idx="77">
                  <c:v>0.15654362416107381</c:v>
                </c:pt>
                <c:pt idx="78">
                  <c:v>6.4631463146314641E-2</c:v>
                </c:pt>
                <c:pt idx="79">
                  <c:v>0.17674764501735249</c:v>
                </c:pt>
                <c:pt idx="80">
                  <c:v>0</c:v>
                </c:pt>
                <c:pt idx="81">
                  <c:v>4.5150214592274675E-2</c:v>
                </c:pt>
                <c:pt idx="82">
                  <c:v>0.10209020902090207</c:v>
                </c:pt>
                <c:pt idx="83">
                  <c:v>0.19899665551839463</c:v>
                </c:pt>
                <c:pt idx="84">
                  <c:v>0.14700625558534405</c:v>
                </c:pt>
                <c:pt idx="85">
                  <c:v>0.1512884455527847</c:v>
                </c:pt>
                <c:pt idx="86">
                  <c:v>0</c:v>
                </c:pt>
                <c:pt idx="87">
                  <c:v>0.18878181368915248</c:v>
                </c:pt>
                <c:pt idx="88">
                  <c:v>0.1768627450980392</c:v>
                </c:pt>
                <c:pt idx="89">
                  <c:v>0.19596541786743515</c:v>
                </c:pt>
                <c:pt idx="90">
                  <c:v>0.18995929443690637</c:v>
                </c:pt>
                <c:pt idx="91">
                  <c:v>0.15899493243243243</c:v>
                </c:pt>
                <c:pt idx="92">
                  <c:v>0.13410728582866271</c:v>
                </c:pt>
                <c:pt idx="93">
                  <c:v>7.3415765069551775E-2</c:v>
                </c:pt>
                <c:pt idx="94">
                  <c:v>0.22860020140986909</c:v>
                </c:pt>
                <c:pt idx="95">
                  <c:v>0.12581150660398477</c:v>
                </c:pt>
                <c:pt idx="96">
                  <c:v>0.1025094696969697</c:v>
                </c:pt>
                <c:pt idx="97">
                  <c:v>0.15925248832013</c:v>
                </c:pt>
                <c:pt idx="98">
                  <c:v>0.24776739356178609</c:v>
                </c:pt>
                <c:pt idx="99">
                  <c:v>7.6147816349384112E-2</c:v>
                </c:pt>
                <c:pt idx="100">
                  <c:v>9.7534366135718961E-2</c:v>
                </c:pt>
                <c:pt idx="101">
                  <c:v>0.10213128729752771</c:v>
                </c:pt>
                <c:pt idx="102">
                  <c:v>0.29968343299331518</c:v>
                </c:pt>
                <c:pt idx="103">
                  <c:v>0.15069018404907977</c:v>
                </c:pt>
                <c:pt idx="104">
                  <c:v>0.23554019643506732</c:v>
                </c:pt>
                <c:pt idx="105">
                  <c:v>0.13876803297458207</c:v>
                </c:pt>
                <c:pt idx="106">
                  <c:v>9.7830621610346266E-2</c:v>
                </c:pt>
                <c:pt idx="107">
                  <c:v>0.20302337844963964</c:v>
                </c:pt>
                <c:pt idx="108">
                  <c:v>0.11514009889333648</c:v>
                </c:pt>
                <c:pt idx="109">
                  <c:v>0.25591054313098882</c:v>
                </c:pt>
                <c:pt idx="110">
                  <c:v>0.19157088122605365</c:v>
                </c:pt>
                <c:pt idx="111">
                  <c:v>0.15525970373148323</c:v>
                </c:pt>
                <c:pt idx="112">
                  <c:v>0.23637689083287775</c:v>
                </c:pt>
                <c:pt idx="113">
                  <c:v>5.7898335992705725E-2</c:v>
                </c:pt>
                <c:pt idx="114">
                  <c:v>5.9545875810936053E-2</c:v>
                </c:pt>
                <c:pt idx="115">
                  <c:v>0.19295336787564765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09C-4B97-9CFC-64DA465E9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663232"/>
        <c:axId val="117665152"/>
      </c:scatterChart>
      <c:valAx>
        <c:axId val="117663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665152"/>
        <c:crosses val="autoZero"/>
        <c:crossBetween val="midCat"/>
      </c:valAx>
      <c:valAx>
        <c:axId val="117665152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176632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40000"/>
        <a:lumOff val="60000"/>
      </a:schemeClr>
    </a:solidFill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Indian Mills: Total Precipitation Within</a:t>
            </a:r>
            <a:r>
              <a:rPr lang="en-US" baseline="0"/>
              <a:t> Bins (Large)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1.01 - 2.00</c:v>
          </c:tx>
          <c:marker>
            <c:symbol val="none"/>
          </c:marker>
          <c:trendline>
            <c:spPr>
              <a:ln w="28575">
                <a:solidFill>
                  <a:srgbClr val="00B0F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4164926014376307E-2"/>
                  <c:y val="1.0707195620575592E-2"/>
                </c:manualLayout>
              </c:layout>
              <c:numFmt formatCode="General" sourceLinked="0"/>
            </c:trendlineLbl>
          </c:trendline>
          <c:xVal>
            <c:numRef>
              <c:f>'IM AOE'!$A$2:$A$117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AOE'!$P$2:$P$117</c:f>
              <c:numCache>
                <c:formatCode>General</c:formatCode>
                <c:ptCount val="116"/>
                <c:pt idx="0">
                  <c:v>16.529999999999902</c:v>
                </c:pt>
                <c:pt idx="1">
                  <c:v>10.389999999999999</c:v>
                </c:pt>
                <c:pt idx="2">
                  <c:v>5.08</c:v>
                </c:pt>
                <c:pt idx="3">
                  <c:v>10.18</c:v>
                </c:pt>
                <c:pt idx="4">
                  <c:v>11.32</c:v>
                </c:pt>
                <c:pt idx="5">
                  <c:v>17.350000000000001</c:v>
                </c:pt>
                <c:pt idx="6">
                  <c:v>21.109999999999992</c:v>
                </c:pt>
                <c:pt idx="7">
                  <c:v>12.82</c:v>
                </c:pt>
                <c:pt idx="8">
                  <c:v>10.79</c:v>
                </c:pt>
                <c:pt idx="9">
                  <c:v>14.43</c:v>
                </c:pt>
                <c:pt idx="10">
                  <c:v>21.89</c:v>
                </c:pt>
                <c:pt idx="11">
                  <c:v>12.16</c:v>
                </c:pt>
                <c:pt idx="12">
                  <c:v>9.73</c:v>
                </c:pt>
                <c:pt idx="13">
                  <c:v>8.73</c:v>
                </c:pt>
                <c:pt idx="14">
                  <c:v>10.47</c:v>
                </c:pt>
                <c:pt idx="15">
                  <c:v>9.56</c:v>
                </c:pt>
                <c:pt idx="16">
                  <c:v>12.29</c:v>
                </c:pt>
                <c:pt idx="17">
                  <c:v>12.89999999999999</c:v>
                </c:pt>
                <c:pt idx="18">
                  <c:v>13.6299999999999</c:v>
                </c:pt>
                <c:pt idx="19">
                  <c:v>5.84</c:v>
                </c:pt>
                <c:pt idx="20">
                  <c:v>8.41</c:v>
                </c:pt>
                <c:pt idx="21">
                  <c:v>15.69</c:v>
                </c:pt>
                <c:pt idx="22">
                  <c:v>19.009999999999899</c:v>
                </c:pt>
                <c:pt idx="23">
                  <c:v>14.16</c:v>
                </c:pt>
                <c:pt idx="24">
                  <c:v>13.399999999999988</c:v>
                </c:pt>
                <c:pt idx="25">
                  <c:v>16.429999999999989</c:v>
                </c:pt>
                <c:pt idx="26">
                  <c:v>21.609999999999992</c:v>
                </c:pt>
                <c:pt idx="27">
                  <c:v>19.979999999999897</c:v>
                </c:pt>
                <c:pt idx="28">
                  <c:v>10.17</c:v>
                </c:pt>
                <c:pt idx="29">
                  <c:v>15.969999999999999</c:v>
                </c:pt>
                <c:pt idx="30">
                  <c:v>14.329999999999991</c:v>
                </c:pt>
                <c:pt idx="31">
                  <c:v>13.84</c:v>
                </c:pt>
                <c:pt idx="32">
                  <c:v>14.969999999999899</c:v>
                </c:pt>
                <c:pt idx="33">
                  <c:v>8.27</c:v>
                </c:pt>
                <c:pt idx="34">
                  <c:v>10.789999999999988</c:v>
                </c:pt>
                <c:pt idx="35">
                  <c:v>14.969999999999899</c:v>
                </c:pt>
                <c:pt idx="36">
                  <c:v>9.21999999999999</c:v>
                </c:pt>
                <c:pt idx="37">
                  <c:v>13.839999999999989</c:v>
                </c:pt>
                <c:pt idx="38">
                  <c:v>14.649999999999991</c:v>
                </c:pt>
                <c:pt idx="39">
                  <c:v>15.79</c:v>
                </c:pt>
                <c:pt idx="40">
                  <c:v>9.33</c:v>
                </c:pt>
                <c:pt idx="41">
                  <c:v>12.96</c:v>
                </c:pt>
                <c:pt idx="42">
                  <c:v>17.28</c:v>
                </c:pt>
                <c:pt idx="43">
                  <c:v>6.1599999999999895</c:v>
                </c:pt>
                <c:pt idx="44">
                  <c:v>9.8599999999999888</c:v>
                </c:pt>
                <c:pt idx="45">
                  <c:v>13.3</c:v>
                </c:pt>
                <c:pt idx="46">
                  <c:v>20.9299999999999</c:v>
                </c:pt>
                <c:pt idx="47">
                  <c:v>7.72</c:v>
                </c:pt>
                <c:pt idx="48">
                  <c:v>9.879999999999999</c:v>
                </c:pt>
                <c:pt idx="49">
                  <c:v>17.78</c:v>
                </c:pt>
                <c:pt idx="50">
                  <c:v>15.49</c:v>
                </c:pt>
                <c:pt idx="51">
                  <c:v>16.920000000000002</c:v>
                </c:pt>
                <c:pt idx="52">
                  <c:v>6.63</c:v>
                </c:pt>
                <c:pt idx="53">
                  <c:v>5.85</c:v>
                </c:pt>
                <c:pt idx="54">
                  <c:v>10.97</c:v>
                </c:pt>
                <c:pt idx="55">
                  <c:v>8.16</c:v>
                </c:pt>
                <c:pt idx="56">
                  <c:v>25.630000000000003</c:v>
                </c:pt>
                <c:pt idx="57">
                  <c:v>11.559999999999992</c:v>
                </c:pt>
                <c:pt idx="58">
                  <c:v>9.2200000000000006</c:v>
                </c:pt>
                <c:pt idx="59">
                  <c:v>11.129999999999981</c:v>
                </c:pt>
                <c:pt idx="60">
                  <c:v>18.88</c:v>
                </c:pt>
                <c:pt idx="61">
                  <c:v>11.4</c:v>
                </c:pt>
                <c:pt idx="62">
                  <c:v>8.86</c:v>
                </c:pt>
                <c:pt idx="63">
                  <c:v>3.59</c:v>
                </c:pt>
                <c:pt idx="64">
                  <c:v>8.11</c:v>
                </c:pt>
                <c:pt idx="65">
                  <c:v>13.77</c:v>
                </c:pt>
                <c:pt idx="66">
                  <c:v>13.629999999999999</c:v>
                </c:pt>
                <c:pt idx="67">
                  <c:v>13.06999999999999</c:v>
                </c:pt>
                <c:pt idx="68">
                  <c:v>11.83</c:v>
                </c:pt>
                <c:pt idx="69">
                  <c:v>9.36</c:v>
                </c:pt>
                <c:pt idx="70">
                  <c:v>14.059999999999999</c:v>
                </c:pt>
                <c:pt idx="71">
                  <c:v>12.09</c:v>
                </c:pt>
                <c:pt idx="72">
                  <c:v>10.76</c:v>
                </c:pt>
                <c:pt idx="73">
                  <c:v>22.6099999999999</c:v>
                </c:pt>
                <c:pt idx="74">
                  <c:v>14.489999999999998</c:v>
                </c:pt>
                <c:pt idx="75">
                  <c:v>15.47999999999999</c:v>
                </c:pt>
                <c:pt idx="76">
                  <c:v>14.51</c:v>
                </c:pt>
                <c:pt idx="77">
                  <c:v>19.899999999999999</c:v>
                </c:pt>
                <c:pt idx="78">
                  <c:v>6.87</c:v>
                </c:pt>
                <c:pt idx="79">
                  <c:v>6.62</c:v>
                </c:pt>
                <c:pt idx="80">
                  <c:v>13.2</c:v>
                </c:pt>
                <c:pt idx="81">
                  <c:v>23.369999999999997</c:v>
                </c:pt>
                <c:pt idx="82">
                  <c:v>14.149999999999999</c:v>
                </c:pt>
                <c:pt idx="83">
                  <c:v>4.8999999999999897</c:v>
                </c:pt>
                <c:pt idx="84">
                  <c:v>9.01</c:v>
                </c:pt>
                <c:pt idx="85">
                  <c:v>14.65</c:v>
                </c:pt>
                <c:pt idx="86">
                  <c:v>5.4</c:v>
                </c:pt>
                <c:pt idx="87">
                  <c:v>13.04999999999999</c:v>
                </c:pt>
                <c:pt idx="88">
                  <c:v>16.5899999999999</c:v>
                </c:pt>
                <c:pt idx="89">
                  <c:v>18.57</c:v>
                </c:pt>
                <c:pt idx="90">
                  <c:v>10.86</c:v>
                </c:pt>
                <c:pt idx="91">
                  <c:v>14.23</c:v>
                </c:pt>
                <c:pt idx="92">
                  <c:v>18.060000000000002</c:v>
                </c:pt>
                <c:pt idx="93">
                  <c:v>13.63</c:v>
                </c:pt>
                <c:pt idx="94">
                  <c:v>10.93</c:v>
                </c:pt>
                <c:pt idx="95">
                  <c:v>8.99</c:v>
                </c:pt>
                <c:pt idx="96">
                  <c:v>10.280000000000001</c:v>
                </c:pt>
                <c:pt idx="97">
                  <c:v>17.04999999999999</c:v>
                </c:pt>
                <c:pt idx="98">
                  <c:v>12.08</c:v>
                </c:pt>
                <c:pt idx="99">
                  <c:v>7.5</c:v>
                </c:pt>
                <c:pt idx="100">
                  <c:v>14.04</c:v>
                </c:pt>
                <c:pt idx="101">
                  <c:v>16.57</c:v>
                </c:pt>
                <c:pt idx="102">
                  <c:v>7.2799999999999994</c:v>
                </c:pt>
                <c:pt idx="103">
                  <c:v>19.759999999999902</c:v>
                </c:pt>
                <c:pt idx="104">
                  <c:v>16.259999999999998</c:v>
                </c:pt>
                <c:pt idx="105">
                  <c:v>16.809999999999999</c:v>
                </c:pt>
                <c:pt idx="106">
                  <c:v>16.84</c:v>
                </c:pt>
                <c:pt idx="107">
                  <c:v>12.27</c:v>
                </c:pt>
                <c:pt idx="108">
                  <c:v>13.46999999999999</c:v>
                </c:pt>
                <c:pt idx="109">
                  <c:v>18.54</c:v>
                </c:pt>
                <c:pt idx="110">
                  <c:v>13.899999999999999</c:v>
                </c:pt>
                <c:pt idx="111">
                  <c:v>11.64</c:v>
                </c:pt>
                <c:pt idx="112">
                  <c:v>15.68</c:v>
                </c:pt>
                <c:pt idx="113">
                  <c:v>18.23</c:v>
                </c:pt>
                <c:pt idx="114">
                  <c:v>14.86</c:v>
                </c:pt>
                <c:pt idx="115">
                  <c:v>12.5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345-4E53-86DA-4E24ABB257D9}"/>
            </c:ext>
          </c:extLst>
        </c:ser>
        <c:ser>
          <c:idx val="6"/>
          <c:order val="1"/>
          <c:tx>
            <c:v>2.01+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6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1056927298498236E-2"/>
                  <c:y val="4.3192579604773738E-4"/>
                </c:manualLayout>
              </c:layout>
              <c:numFmt formatCode="General" sourceLinked="0"/>
            </c:trendlineLbl>
          </c:trendline>
          <c:xVal>
            <c:numRef>
              <c:f>'IM AOE'!$A$2:$A$117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AOE'!$R$2:$R$117</c:f>
              <c:numCache>
                <c:formatCode>General</c:formatCode>
                <c:ptCount val="116"/>
                <c:pt idx="0">
                  <c:v>4.7</c:v>
                </c:pt>
                <c:pt idx="1">
                  <c:v>5.65</c:v>
                </c:pt>
                <c:pt idx="2">
                  <c:v>7.3000000000000007</c:v>
                </c:pt>
                <c:pt idx="3">
                  <c:v>5.6</c:v>
                </c:pt>
                <c:pt idx="4">
                  <c:v>7.15</c:v>
                </c:pt>
                <c:pt idx="5">
                  <c:v>5.54</c:v>
                </c:pt>
                <c:pt idx="6">
                  <c:v>4.8699999999999992</c:v>
                </c:pt>
                <c:pt idx="7">
                  <c:v>4.8499999999999996</c:v>
                </c:pt>
                <c:pt idx="8">
                  <c:v>5.23</c:v>
                </c:pt>
                <c:pt idx="9">
                  <c:v>12.32</c:v>
                </c:pt>
                <c:pt idx="10">
                  <c:v>2.13</c:v>
                </c:pt>
                <c:pt idx="11">
                  <c:v>4.5199999999999996</c:v>
                </c:pt>
                <c:pt idx="12">
                  <c:v>2.61</c:v>
                </c:pt>
                <c:pt idx="13">
                  <c:v>8.879999999999999</c:v>
                </c:pt>
                <c:pt idx="14">
                  <c:v>2.04</c:v>
                </c:pt>
                <c:pt idx="15">
                  <c:v>10.22999999999999</c:v>
                </c:pt>
                <c:pt idx="16">
                  <c:v>3.92</c:v>
                </c:pt>
                <c:pt idx="17">
                  <c:v>5.24</c:v>
                </c:pt>
                <c:pt idx="18">
                  <c:v>6.82</c:v>
                </c:pt>
                <c:pt idx="19">
                  <c:v>0</c:v>
                </c:pt>
                <c:pt idx="20">
                  <c:v>0</c:v>
                </c:pt>
                <c:pt idx="21">
                  <c:v>2.78</c:v>
                </c:pt>
                <c:pt idx="22">
                  <c:v>9.42</c:v>
                </c:pt>
                <c:pt idx="23">
                  <c:v>6.7</c:v>
                </c:pt>
                <c:pt idx="24">
                  <c:v>0</c:v>
                </c:pt>
                <c:pt idx="25">
                  <c:v>4.25</c:v>
                </c:pt>
                <c:pt idx="26">
                  <c:v>0</c:v>
                </c:pt>
                <c:pt idx="27">
                  <c:v>0</c:v>
                </c:pt>
                <c:pt idx="28">
                  <c:v>4.0999999999999996</c:v>
                </c:pt>
                <c:pt idx="29">
                  <c:v>0</c:v>
                </c:pt>
                <c:pt idx="30">
                  <c:v>11.299999999999999</c:v>
                </c:pt>
                <c:pt idx="31">
                  <c:v>10.059999999999999</c:v>
                </c:pt>
                <c:pt idx="32">
                  <c:v>7.9399999999999995</c:v>
                </c:pt>
                <c:pt idx="33">
                  <c:v>11.41</c:v>
                </c:pt>
                <c:pt idx="34">
                  <c:v>8.5399999999999991</c:v>
                </c:pt>
                <c:pt idx="35">
                  <c:v>2.1</c:v>
                </c:pt>
                <c:pt idx="36">
                  <c:v>13.41</c:v>
                </c:pt>
                <c:pt idx="37">
                  <c:v>10.050000000000001</c:v>
                </c:pt>
                <c:pt idx="38">
                  <c:v>9.82</c:v>
                </c:pt>
                <c:pt idx="39">
                  <c:v>0</c:v>
                </c:pt>
                <c:pt idx="40">
                  <c:v>3.2</c:v>
                </c:pt>
                <c:pt idx="41">
                  <c:v>3.5</c:v>
                </c:pt>
                <c:pt idx="42">
                  <c:v>5.46</c:v>
                </c:pt>
                <c:pt idx="43">
                  <c:v>7.58</c:v>
                </c:pt>
                <c:pt idx="44">
                  <c:v>5.99</c:v>
                </c:pt>
                <c:pt idx="45">
                  <c:v>0</c:v>
                </c:pt>
                <c:pt idx="46">
                  <c:v>4.67</c:v>
                </c:pt>
                <c:pt idx="47">
                  <c:v>3.23</c:v>
                </c:pt>
                <c:pt idx="48">
                  <c:v>6.5600000000000005</c:v>
                </c:pt>
                <c:pt idx="49">
                  <c:v>2.42</c:v>
                </c:pt>
                <c:pt idx="50">
                  <c:v>10.360000000000001</c:v>
                </c:pt>
                <c:pt idx="51">
                  <c:v>2.2200000000000002</c:v>
                </c:pt>
                <c:pt idx="52">
                  <c:v>8.629999999999999</c:v>
                </c:pt>
                <c:pt idx="53">
                  <c:v>5.91</c:v>
                </c:pt>
                <c:pt idx="54">
                  <c:v>6.35</c:v>
                </c:pt>
                <c:pt idx="55">
                  <c:v>0</c:v>
                </c:pt>
                <c:pt idx="56">
                  <c:v>8.39</c:v>
                </c:pt>
                <c:pt idx="57">
                  <c:v>0</c:v>
                </c:pt>
                <c:pt idx="58">
                  <c:v>9.57</c:v>
                </c:pt>
                <c:pt idx="59">
                  <c:v>4.76</c:v>
                </c:pt>
                <c:pt idx="60">
                  <c:v>8.52</c:v>
                </c:pt>
                <c:pt idx="61">
                  <c:v>2.8</c:v>
                </c:pt>
                <c:pt idx="62">
                  <c:v>2.29</c:v>
                </c:pt>
                <c:pt idx="63">
                  <c:v>3.35</c:v>
                </c:pt>
                <c:pt idx="64">
                  <c:v>8.8000000000000007</c:v>
                </c:pt>
                <c:pt idx="65">
                  <c:v>5.0599999999999996</c:v>
                </c:pt>
                <c:pt idx="66">
                  <c:v>6.83</c:v>
                </c:pt>
                <c:pt idx="67">
                  <c:v>12.33</c:v>
                </c:pt>
                <c:pt idx="68">
                  <c:v>4.1500000000000004</c:v>
                </c:pt>
                <c:pt idx="69">
                  <c:v>17.309999999999999</c:v>
                </c:pt>
                <c:pt idx="70">
                  <c:v>12.22</c:v>
                </c:pt>
                <c:pt idx="71">
                  <c:v>6.72</c:v>
                </c:pt>
                <c:pt idx="72">
                  <c:v>11.59</c:v>
                </c:pt>
                <c:pt idx="73">
                  <c:v>5.43</c:v>
                </c:pt>
                <c:pt idx="74">
                  <c:v>3.42</c:v>
                </c:pt>
                <c:pt idx="75">
                  <c:v>2.25</c:v>
                </c:pt>
                <c:pt idx="76">
                  <c:v>5.39</c:v>
                </c:pt>
                <c:pt idx="77">
                  <c:v>9.33</c:v>
                </c:pt>
                <c:pt idx="78">
                  <c:v>2.35</c:v>
                </c:pt>
                <c:pt idx="79">
                  <c:v>7.13</c:v>
                </c:pt>
                <c:pt idx="80">
                  <c:v>0</c:v>
                </c:pt>
                <c:pt idx="81">
                  <c:v>2.63</c:v>
                </c:pt>
                <c:pt idx="82">
                  <c:v>4.6399999999999997</c:v>
                </c:pt>
                <c:pt idx="83">
                  <c:v>7.14</c:v>
                </c:pt>
                <c:pt idx="84">
                  <c:v>6.58</c:v>
                </c:pt>
                <c:pt idx="85">
                  <c:v>7.2799999999999994</c:v>
                </c:pt>
                <c:pt idx="86">
                  <c:v>0</c:v>
                </c:pt>
                <c:pt idx="87">
                  <c:v>7.6400000000000006</c:v>
                </c:pt>
                <c:pt idx="88">
                  <c:v>9.02</c:v>
                </c:pt>
                <c:pt idx="89">
                  <c:v>9.52</c:v>
                </c:pt>
                <c:pt idx="90">
                  <c:v>8.3999999999999986</c:v>
                </c:pt>
                <c:pt idx="91">
                  <c:v>7.5299999999999994</c:v>
                </c:pt>
                <c:pt idx="92">
                  <c:v>6.6999999999999895</c:v>
                </c:pt>
                <c:pt idx="93">
                  <c:v>2.85</c:v>
                </c:pt>
                <c:pt idx="94">
                  <c:v>13.62</c:v>
                </c:pt>
                <c:pt idx="95">
                  <c:v>5.62</c:v>
                </c:pt>
                <c:pt idx="96">
                  <c:v>4.33</c:v>
                </c:pt>
                <c:pt idx="97">
                  <c:v>7.84</c:v>
                </c:pt>
                <c:pt idx="98">
                  <c:v>11.93</c:v>
                </c:pt>
                <c:pt idx="99">
                  <c:v>2.72</c:v>
                </c:pt>
                <c:pt idx="100">
                  <c:v>4.47</c:v>
                </c:pt>
                <c:pt idx="101">
                  <c:v>5.99</c:v>
                </c:pt>
                <c:pt idx="102">
                  <c:v>17.0399999999999</c:v>
                </c:pt>
                <c:pt idx="103">
                  <c:v>7.86</c:v>
                </c:pt>
                <c:pt idx="104">
                  <c:v>12.95</c:v>
                </c:pt>
                <c:pt idx="105">
                  <c:v>6.06</c:v>
                </c:pt>
                <c:pt idx="106">
                  <c:v>4.6899999999999995</c:v>
                </c:pt>
                <c:pt idx="107">
                  <c:v>11.55</c:v>
                </c:pt>
                <c:pt idx="108">
                  <c:v>4.8900000000000006</c:v>
                </c:pt>
                <c:pt idx="109">
                  <c:v>16.0199999999999</c:v>
                </c:pt>
                <c:pt idx="110">
                  <c:v>9</c:v>
                </c:pt>
                <c:pt idx="111">
                  <c:v>8.2800000000000011</c:v>
                </c:pt>
                <c:pt idx="112">
                  <c:v>12.97</c:v>
                </c:pt>
                <c:pt idx="113">
                  <c:v>2.54</c:v>
                </c:pt>
                <c:pt idx="114">
                  <c:v>2.57</c:v>
                </c:pt>
                <c:pt idx="115">
                  <c:v>9.3099999999999987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345-4E53-86DA-4E24ABB25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26208"/>
        <c:axId val="117736576"/>
      </c:scatterChart>
      <c:valAx>
        <c:axId val="117726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736576"/>
        <c:crosses val="autoZero"/>
        <c:crossBetween val="midCat"/>
      </c:valAx>
      <c:valAx>
        <c:axId val="11773657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Precipitation (Inches)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7262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40000"/>
        <a:lumOff val="60000"/>
      </a:schemeClr>
    </a:solidFill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Indian Mills: Number of Binned Events (Large)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0.51 - 1.00</c:v>
          </c:tx>
          <c:spPr>
            <a:ln>
              <a:solidFill>
                <a:schemeClr val="accent4">
                  <a:alpha val="60000"/>
                </a:schemeClr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4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8891376556723495E-2"/>
                  <c:y val="1.7070053453347885E-2"/>
                </c:manualLayout>
              </c:layout>
              <c:numFmt formatCode="General" sourceLinked="0"/>
            </c:trendlineLbl>
          </c:trendline>
          <c:xVal>
            <c:numRef>
              <c:f>'IM NOE'!$A$2:$A$117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NOE'!$F$2:$F$117</c:f>
              <c:numCache>
                <c:formatCode>General</c:formatCode>
                <c:ptCount val="116"/>
                <c:pt idx="0">
                  <c:v>28</c:v>
                </c:pt>
                <c:pt idx="1">
                  <c:v>23</c:v>
                </c:pt>
                <c:pt idx="2">
                  <c:v>15</c:v>
                </c:pt>
                <c:pt idx="3">
                  <c:v>20</c:v>
                </c:pt>
                <c:pt idx="4">
                  <c:v>23</c:v>
                </c:pt>
                <c:pt idx="5">
                  <c:v>26</c:v>
                </c:pt>
                <c:pt idx="6">
                  <c:v>8</c:v>
                </c:pt>
                <c:pt idx="7">
                  <c:v>10</c:v>
                </c:pt>
                <c:pt idx="8">
                  <c:v>14</c:v>
                </c:pt>
                <c:pt idx="9">
                  <c:v>22</c:v>
                </c:pt>
                <c:pt idx="10">
                  <c:v>19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20</c:v>
                </c:pt>
                <c:pt idx="16">
                  <c:v>15</c:v>
                </c:pt>
                <c:pt idx="17">
                  <c:v>25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15</c:v>
                </c:pt>
                <c:pt idx="22">
                  <c:v>14</c:v>
                </c:pt>
                <c:pt idx="23">
                  <c:v>12</c:v>
                </c:pt>
                <c:pt idx="24">
                  <c:v>25</c:v>
                </c:pt>
                <c:pt idx="25">
                  <c:v>16</c:v>
                </c:pt>
                <c:pt idx="26">
                  <c:v>23</c:v>
                </c:pt>
                <c:pt idx="27">
                  <c:v>15</c:v>
                </c:pt>
                <c:pt idx="28">
                  <c:v>10</c:v>
                </c:pt>
                <c:pt idx="29">
                  <c:v>16</c:v>
                </c:pt>
                <c:pt idx="30">
                  <c:v>21</c:v>
                </c:pt>
                <c:pt idx="31">
                  <c:v>24</c:v>
                </c:pt>
                <c:pt idx="32">
                  <c:v>21</c:v>
                </c:pt>
                <c:pt idx="33">
                  <c:v>17</c:v>
                </c:pt>
                <c:pt idx="34">
                  <c:v>21</c:v>
                </c:pt>
                <c:pt idx="35">
                  <c:v>24</c:v>
                </c:pt>
                <c:pt idx="36">
                  <c:v>21</c:v>
                </c:pt>
                <c:pt idx="37">
                  <c:v>17</c:v>
                </c:pt>
                <c:pt idx="38">
                  <c:v>18</c:v>
                </c:pt>
                <c:pt idx="39">
                  <c:v>14</c:v>
                </c:pt>
                <c:pt idx="40">
                  <c:v>22</c:v>
                </c:pt>
                <c:pt idx="41">
                  <c:v>11</c:v>
                </c:pt>
                <c:pt idx="42">
                  <c:v>13</c:v>
                </c:pt>
                <c:pt idx="43">
                  <c:v>24</c:v>
                </c:pt>
                <c:pt idx="44">
                  <c:v>15</c:v>
                </c:pt>
                <c:pt idx="45">
                  <c:v>19</c:v>
                </c:pt>
                <c:pt idx="46">
                  <c:v>20</c:v>
                </c:pt>
                <c:pt idx="47">
                  <c:v>20</c:v>
                </c:pt>
                <c:pt idx="48">
                  <c:v>16</c:v>
                </c:pt>
                <c:pt idx="49">
                  <c:v>13</c:v>
                </c:pt>
                <c:pt idx="50">
                  <c:v>18</c:v>
                </c:pt>
                <c:pt idx="51">
                  <c:v>20</c:v>
                </c:pt>
                <c:pt idx="52">
                  <c:v>20</c:v>
                </c:pt>
                <c:pt idx="53">
                  <c:v>15</c:v>
                </c:pt>
                <c:pt idx="54">
                  <c:v>19</c:v>
                </c:pt>
                <c:pt idx="55">
                  <c:v>13</c:v>
                </c:pt>
                <c:pt idx="56">
                  <c:v>27</c:v>
                </c:pt>
                <c:pt idx="57">
                  <c:v>17</c:v>
                </c:pt>
                <c:pt idx="58">
                  <c:v>20</c:v>
                </c:pt>
                <c:pt idx="59">
                  <c:v>19</c:v>
                </c:pt>
                <c:pt idx="60">
                  <c:v>13</c:v>
                </c:pt>
                <c:pt idx="61">
                  <c:v>17</c:v>
                </c:pt>
                <c:pt idx="62">
                  <c:v>23</c:v>
                </c:pt>
                <c:pt idx="63">
                  <c:v>12</c:v>
                </c:pt>
                <c:pt idx="64">
                  <c:v>20</c:v>
                </c:pt>
                <c:pt idx="65">
                  <c:v>15</c:v>
                </c:pt>
                <c:pt idx="66">
                  <c:v>12</c:v>
                </c:pt>
                <c:pt idx="67">
                  <c:v>23</c:v>
                </c:pt>
                <c:pt idx="68">
                  <c:v>12</c:v>
                </c:pt>
                <c:pt idx="69">
                  <c:v>19</c:v>
                </c:pt>
                <c:pt idx="70">
                  <c:v>23</c:v>
                </c:pt>
                <c:pt idx="71">
                  <c:v>16</c:v>
                </c:pt>
                <c:pt idx="72">
                  <c:v>20</c:v>
                </c:pt>
                <c:pt idx="73">
                  <c:v>25</c:v>
                </c:pt>
                <c:pt idx="74">
                  <c:v>20</c:v>
                </c:pt>
                <c:pt idx="75">
                  <c:v>18</c:v>
                </c:pt>
                <c:pt idx="76">
                  <c:v>15</c:v>
                </c:pt>
                <c:pt idx="77">
                  <c:v>23</c:v>
                </c:pt>
                <c:pt idx="78">
                  <c:v>15</c:v>
                </c:pt>
                <c:pt idx="79">
                  <c:v>18</c:v>
                </c:pt>
                <c:pt idx="80">
                  <c:v>16</c:v>
                </c:pt>
                <c:pt idx="81">
                  <c:v>26</c:v>
                </c:pt>
                <c:pt idx="82">
                  <c:v>20</c:v>
                </c:pt>
                <c:pt idx="83">
                  <c:v>15</c:v>
                </c:pt>
                <c:pt idx="84">
                  <c:v>20</c:v>
                </c:pt>
                <c:pt idx="85">
                  <c:v>21</c:v>
                </c:pt>
                <c:pt idx="86">
                  <c:v>27</c:v>
                </c:pt>
                <c:pt idx="87">
                  <c:v>17</c:v>
                </c:pt>
                <c:pt idx="88">
                  <c:v>18</c:v>
                </c:pt>
                <c:pt idx="89">
                  <c:v>15</c:v>
                </c:pt>
                <c:pt idx="90">
                  <c:v>14</c:v>
                </c:pt>
                <c:pt idx="91">
                  <c:v>18</c:v>
                </c:pt>
                <c:pt idx="92">
                  <c:v>19</c:v>
                </c:pt>
                <c:pt idx="93">
                  <c:v>17</c:v>
                </c:pt>
                <c:pt idx="94">
                  <c:v>27</c:v>
                </c:pt>
                <c:pt idx="95">
                  <c:v>21</c:v>
                </c:pt>
                <c:pt idx="96">
                  <c:v>21</c:v>
                </c:pt>
                <c:pt idx="97">
                  <c:v>16</c:v>
                </c:pt>
                <c:pt idx="98">
                  <c:v>17</c:v>
                </c:pt>
                <c:pt idx="99">
                  <c:v>19</c:v>
                </c:pt>
                <c:pt idx="100">
                  <c:v>23</c:v>
                </c:pt>
                <c:pt idx="101">
                  <c:v>27</c:v>
                </c:pt>
                <c:pt idx="102">
                  <c:v>27</c:v>
                </c:pt>
                <c:pt idx="103">
                  <c:v>15</c:v>
                </c:pt>
                <c:pt idx="104">
                  <c:v>23</c:v>
                </c:pt>
                <c:pt idx="105">
                  <c:v>14</c:v>
                </c:pt>
                <c:pt idx="106">
                  <c:v>22</c:v>
                </c:pt>
                <c:pt idx="107">
                  <c:v>29</c:v>
                </c:pt>
                <c:pt idx="108">
                  <c:v>18</c:v>
                </c:pt>
                <c:pt idx="109">
                  <c:v>18</c:v>
                </c:pt>
                <c:pt idx="110">
                  <c:v>14</c:v>
                </c:pt>
                <c:pt idx="111">
                  <c:v>27</c:v>
                </c:pt>
                <c:pt idx="112">
                  <c:v>22</c:v>
                </c:pt>
                <c:pt idx="113">
                  <c:v>15</c:v>
                </c:pt>
                <c:pt idx="114">
                  <c:v>19</c:v>
                </c:pt>
                <c:pt idx="115">
                  <c:v>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B2-47E2-8E48-3D222AF3FC42}"/>
            </c:ext>
          </c:extLst>
        </c:ser>
        <c:ser>
          <c:idx val="4"/>
          <c:order val="1"/>
          <c:tx>
            <c:v>1.01 - 2.00</c:v>
          </c:tx>
          <c:spPr>
            <a:ln>
              <a:solidFill>
                <a:schemeClr val="accent5">
                  <a:alpha val="60000"/>
                </a:schemeClr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5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062870561913941E-2"/>
                  <c:y val="-2.9840811760554073E-2"/>
                </c:manualLayout>
              </c:layout>
              <c:numFmt formatCode="General" sourceLinked="0"/>
            </c:trendlineLbl>
          </c:trendline>
          <c:xVal>
            <c:numRef>
              <c:f>'IM NOE'!$A$2:$A$117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NOE'!$P$2:$P$117</c:f>
              <c:numCache>
                <c:formatCode>General</c:formatCode>
                <c:ptCount val="116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8</c:v>
                </c:pt>
                <c:pt idx="4">
                  <c:v>9</c:v>
                </c:pt>
                <c:pt idx="5">
                  <c:v>12</c:v>
                </c:pt>
                <c:pt idx="6">
                  <c:v>14</c:v>
                </c:pt>
                <c:pt idx="7">
                  <c:v>9</c:v>
                </c:pt>
                <c:pt idx="8">
                  <c:v>9</c:v>
                </c:pt>
                <c:pt idx="9">
                  <c:v>11</c:v>
                </c:pt>
                <c:pt idx="10">
                  <c:v>16</c:v>
                </c:pt>
                <c:pt idx="11">
                  <c:v>10</c:v>
                </c:pt>
                <c:pt idx="12">
                  <c:v>7</c:v>
                </c:pt>
                <c:pt idx="13">
                  <c:v>6</c:v>
                </c:pt>
                <c:pt idx="14">
                  <c:v>8</c:v>
                </c:pt>
                <c:pt idx="15">
                  <c:v>7</c:v>
                </c:pt>
                <c:pt idx="16">
                  <c:v>9</c:v>
                </c:pt>
                <c:pt idx="17">
                  <c:v>9</c:v>
                </c:pt>
                <c:pt idx="18">
                  <c:v>11</c:v>
                </c:pt>
                <c:pt idx="19">
                  <c:v>4</c:v>
                </c:pt>
                <c:pt idx="20">
                  <c:v>7</c:v>
                </c:pt>
                <c:pt idx="21">
                  <c:v>12</c:v>
                </c:pt>
                <c:pt idx="22">
                  <c:v>13</c:v>
                </c:pt>
                <c:pt idx="23">
                  <c:v>10</c:v>
                </c:pt>
                <c:pt idx="24">
                  <c:v>9</c:v>
                </c:pt>
                <c:pt idx="25">
                  <c:v>12</c:v>
                </c:pt>
                <c:pt idx="26">
                  <c:v>14</c:v>
                </c:pt>
                <c:pt idx="27">
                  <c:v>15</c:v>
                </c:pt>
                <c:pt idx="28">
                  <c:v>7</c:v>
                </c:pt>
                <c:pt idx="29">
                  <c:v>12</c:v>
                </c:pt>
                <c:pt idx="30">
                  <c:v>10</c:v>
                </c:pt>
                <c:pt idx="31">
                  <c:v>10</c:v>
                </c:pt>
                <c:pt idx="32">
                  <c:v>12</c:v>
                </c:pt>
                <c:pt idx="33">
                  <c:v>6</c:v>
                </c:pt>
                <c:pt idx="34">
                  <c:v>8</c:v>
                </c:pt>
                <c:pt idx="35">
                  <c:v>11</c:v>
                </c:pt>
                <c:pt idx="36">
                  <c:v>7</c:v>
                </c:pt>
                <c:pt idx="37">
                  <c:v>11</c:v>
                </c:pt>
                <c:pt idx="38">
                  <c:v>11</c:v>
                </c:pt>
                <c:pt idx="39">
                  <c:v>12</c:v>
                </c:pt>
                <c:pt idx="40">
                  <c:v>7</c:v>
                </c:pt>
                <c:pt idx="41">
                  <c:v>9</c:v>
                </c:pt>
                <c:pt idx="42">
                  <c:v>13</c:v>
                </c:pt>
                <c:pt idx="43">
                  <c:v>4</c:v>
                </c:pt>
                <c:pt idx="44">
                  <c:v>7</c:v>
                </c:pt>
                <c:pt idx="45">
                  <c:v>11</c:v>
                </c:pt>
                <c:pt idx="46">
                  <c:v>15</c:v>
                </c:pt>
                <c:pt idx="47">
                  <c:v>7</c:v>
                </c:pt>
                <c:pt idx="48">
                  <c:v>8</c:v>
                </c:pt>
                <c:pt idx="49">
                  <c:v>14</c:v>
                </c:pt>
                <c:pt idx="50">
                  <c:v>11</c:v>
                </c:pt>
                <c:pt idx="51">
                  <c:v>12</c:v>
                </c:pt>
                <c:pt idx="52">
                  <c:v>5</c:v>
                </c:pt>
                <c:pt idx="53">
                  <c:v>4</c:v>
                </c:pt>
                <c:pt idx="54">
                  <c:v>8</c:v>
                </c:pt>
                <c:pt idx="55">
                  <c:v>7</c:v>
                </c:pt>
                <c:pt idx="56">
                  <c:v>19</c:v>
                </c:pt>
                <c:pt idx="57">
                  <c:v>8</c:v>
                </c:pt>
                <c:pt idx="58">
                  <c:v>7</c:v>
                </c:pt>
                <c:pt idx="59">
                  <c:v>8</c:v>
                </c:pt>
                <c:pt idx="60">
                  <c:v>13</c:v>
                </c:pt>
                <c:pt idx="61">
                  <c:v>9</c:v>
                </c:pt>
                <c:pt idx="62">
                  <c:v>6</c:v>
                </c:pt>
                <c:pt idx="63">
                  <c:v>3</c:v>
                </c:pt>
                <c:pt idx="64">
                  <c:v>6</c:v>
                </c:pt>
                <c:pt idx="65">
                  <c:v>10</c:v>
                </c:pt>
                <c:pt idx="66">
                  <c:v>11</c:v>
                </c:pt>
                <c:pt idx="67">
                  <c:v>10</c:v>
                </c:pt>
                <c:pt idx="68">
                  <c:v>9</c:v>
                </c:pt>
                <c:pt idx="69">
                  <c:v>6</c:v>
                </c:pt>
                <c:pt idx="70">
                  <c:v>10</c:v>
                </c:pt>
                <c:pt idx="71">
                  <c:v>8</c:v>
                </c:pt>
                <c:pt idx="72">
                  <c:v>8</c:v>
                </c:pt>
                <c:pt idx="73">
                  <c:v>16</c:v>
                </c:pt>
                <c:pt idx="74">
                  <c:v>10</c:v>
                </c:pt>
                <c:pt idx="75">
                  <c:v>11</c:v>
                </c:pt>
                <c:pt idx="76">
                  <c:v>11</c:v>
                </c:pt>
                <c:pt idx="77">
                  <c:v>14</c:v>
                </c:pt>
                <c:pt idx="78">
                  <c:v>5</c:v>
                </c:pt>
                <c:pt idx="79">
                  <c:v>5</c:v>
                </c:pt>
                <c:pt idx="80">
                  <c:v>9</c:v>
                </c:pt>
                <c:pt idx="81">
                  <c:v>18</c:v>
                </c:pt>
                <c:pt idx="82">
                  <c:v>11</c:v>
                </c:pt>
                <c:pt idx="83">
                  <c:v>4</c:v>
                </c:pt>
                <c:pt idx="84">
                  <c:v>6</c:v>
                </c:pt>
                <c:pt idx="85">
                  <c:v>10</c:v>
                </c:pt>
                <c:pt idx="86">
                  <c:v>4</c:v>
                </c:pt>
                <c:pt idx="87">
                  <c:v>9</c:v>
                </c:pt>
                <c:pt idx="88">
                  <c:v>13</c:v>
                </c:pt>
                <c:pt idx="89">
                  <c:v>14</c:v>
                </c:pt>
                <c:pt idx="90">
                  <c:v>8</c:v>
                </c:pt>
                <c:pt idx="91">
                  <c:v>11</c:v>
                </c:pt>
                <c:pt idx="92">
                  <c:v>14</c:v>
                </c:pt>
                <c:pt idx="93">
                  <c:v>10</c:v>
                </c:pt>
                <c:pt idx="94">
                  <c:v>9</c:v>
                </c:pt>
                <c:pt idx="95">
                  <c:v>7</c:v>
                </c:pt>
                <c:pt idx="96">
                  <c:v>8</c:v>
                </c:pt>
                <c:pt idx="97">
                  <c:v>12</c:v>
                </c:pt>
                <c:pt idx="98">
                  <c:v>9</c:v>
                </c:pt>
                <c:pt idx="99">
                  <c:v>5</c:v>
                </c:pt>
                <c:pt idx="100">
                  <c:v>11</c:v>
                </c:pt>
                <c:pt idx="101">
                  <c:v>12</c:v>
                </c:pt>
                <c:pt idx="102">
                  <c:v>5</c:v>
                </c:pt>
                <c:pt idx="103">
                  <c:v>15</c:v>
                </c:pt>
                <c:pt idx="104">
                  <c:v>13</c:v>
                </c:pt>
                <c:pt idx="105">
                  <c:v>13</c:v>
                </c:pt>
                <c:pt idx="106">
                  <c:v>12</c:v>
                </c:pt>
                <c:pt idx="107">
                  <c:v>10</c:v>
                </c:pt>
                <c:pt idx="108">
                  <c:v>10</c:v>
                </c:pt>
                <c:pt idx="109">
                  <c:v>14</c:v>
                </c:pt>
                <c:pt idx="110">
                  <c:v>10</c:v>
                </c:pt>
                <c:pt idx="111">
                  <c:v>8</c:v>
                </c:pt>
                <c:pt idx="112">
                  <c:v>11</c:v>
                </c:pt>
                <c:pt idx="113">
                  <c:v>14</c:v>
                </c:pt>
                <c:pt idx="114">
                  <c:v>11</c:v>
                </c:pt>
                <c:pt idx="115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6B2-47E2-8E48-3D222AF3FC42}"/>
            </c:ext>
          </c:extLst>
        </c:ser>
        <c:ser>
          <c:idx val="5"/>
          <c:order val="2"/>
          <c:tx>
            <c:v>2.01+</c:v>
          </c:tx>
          <c:spPr>
            <a:ln>
              <a:solidFill>
                <a:schemeClr val="accent6">
                  <a:alpha val="60000"/>
                </a:schemeClr>
              </a:solidFill>
            </a:ln>
          </c:spPr>
          <c:marker>
            <c:symbol val="none"/>
          </c:marker>
          <c:trendline>
            <c:spPr>
              <a:ln w="28575">
                <a:solidFill>
                  <a:schemeClr val="accent6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0.10489608274259299"/>
                  <c:y val="-9.6984511745974653E-3"/>
                </c:manualLayout>
              </c:layout>
              <c:numFmt formatCode="General" sourceLinked="0"/>
            </c:trendlineLbl>
          </c:trendline>
          <c:xVal>
            <c:numRef>
              <c:f>'IM NOE'!$A$2:$A$117</c:f>
              <c:numCache>
                <c:formatCode>General</c:formatCode>
                <c:ptCount val="116"/>
                <c:pt idx="0">
                  <c:v>1902</c:v>
                </c:pt>
                <c:pt idx="1">
                  <c:v>1903</c:v>
                </c:pt>
                <c:pt idx="2">
                  <c:v>1904</c:v>
                </c:pt>
                <c:pt idx="3">
                  <c:v>1905</c:v>
                </c:pt>
                <c:pt idx="4">
                  <c:v>1906</c:v>
                </c:pt>
                <c:pt idx="5">
                  <c:v>1907</c:v>
                </c:pt>
                <c:pt idx="6">
                  <c:v>1908</c:v>
                </c:pt>
                <c:pt idx="7">
                  <c:v>1909</c:v>
                </c:pt>
                <c:pt idx="8">
                  <c:v>1910</c:v>
                </c:pt>
                <c:pt idx="9">
                  <c:v>1911</c:v>
                </c:pt>
                <c:pt idx="10">
                  <c:v>1912</c:v>
                </c:pt>
                <c:pt idx="11">
                  <c:v>1913</c:v>
                </c:pt>
                <c:pt idx="12">
                  <c:v>1914</c:v>
                </c:pt>
                <c:pt idx="13">
                  <c:v>1915</c:v>
                </c:pt>
                <c:pt idx="14">
                  <c:v>1916</c:v>
                </c:pt>
                <c:pt idx="15">
                  <c:v>1917</c:v>
                </c:pt>
                <c:pt idx="16">
                  <c:v>1918</c:v>
                </c:pt>
                <c:pt idx="17">
                  <c:v>1919</c:v>
                </c:pt>
                <c:pt idx="18">
                  <c:v>1920</c:v>
                </c:pt>
                <c:pt idx="19">
                  <c:v>1921</c:v>
                </c:pt>
                <c:pt idx="20">
                  <c:v>1922</c:v>
                </c:pt>
                <c:pt idx="21">
                  <c:v>1923</c:v>
                </c:pt>
                <c:pt idx="22">
                  <c:v>1924</c:v>
                </c:pt>
                <c:pt idx="23">
                  <c:v>1925</c:v>
                </c:pt>
                <c:pt idx="24">
                  <c:v>1926</c:v>
                </c:pt>
                <c:pt idx="25">
                  <c:v>1927</c:v>
                </c:pt>
                <c:pt idx="26">
                  <c:v>1928</c:v>
                </c:pt>
                <c:pt idx="27">
                  <c:v>1929</c:v>
                </c:pt>
                <c:pt idx="28">
                  <c:v>1930</c:v>
                </c:pt>
                <c:pt idx="29">
                  <c:v>1931</c:v>
                </c:pt>
                <c:pt idx="30">
                  <c:v>1932</c:v>
                </c:pt>
                <c:pt idx="31">
                  <c:v>1933</c:v>
                </c:pt>
                <c:pt idx="32">
                  <c:v>1934</c:v>
                </c:pt>
                <c:pt idx="33">
                  <c:v>1935</c:v>
                </c:pt>
                <c:pt idx="34">
                  <c:v>1936</c:v>
                </c:pt>
                <c:pt idx="35">
                  <c:v>1937</c:v>
                </c:pt>
                <c:pt idx="36">
                  <c:v>1938</c:v>
                </c:pt>
                <c:pt idx="37">
                  <c:v>1939</c:v>
                </c:pt>
                <c:pt idx="38">
                  <c:v>1940</c:v>
                </c:pt>
                <c:pt idx="39">
                  <c:v>1941</c:v>
                </c:pt>
                <c:pt idx="40">
                  <c:v>1942</c:v>
                </c:pt>
                <c:pt idx="41">
                  <c:v>1943</c:v>
                </c:pt>
                <c:pt idx="42">
                  <c:v>1944</c:v>
                </c:pt>
                <c:pt idx="43">
                  <c:v>1945</c:v>
                </c:pt>
                <c:pt idx="44">
                  <c:v>1946</c:v>
                </c:pt>
                <c:pt idx="45">
                  <c:v>1947</c:v>
                </c:pt>
                <c:pt idx="46">
                  <c:v>1948</c:v>
                </c:pt>
                <c:pt idx="47">
                  <c:v>1949</c:v>
                </c:pt>
                <c:pt idx="48">
                  <c:v>1950</c:v>
                </c:pt>
                <c:pt idx="49">
                  <c:v>1951</c:v>
                </c:pt>
                <c:pt idx="50">
                  <c:v>1952</c:v>
                </c:pt>
                <c:pt idx="51">
                  <c:v>1953</c:v>
                </c:pt>
                <c:pt idx="52">
                  <c:v>1954</c:v>
                </c:pt>
                <c:pt idx="53">
                  <c:v>1955</c:v>
                </c:pt>
                <c:pt idx="54">
                  <c:v>1956</c:v>
                </c:pt>
                <c:pt idx="55">
                  <c:v>1957</c:v>
                </c:pt>
                <c:pt idx="56">
                  <c:v>1958</c:v>
                </c:pt>
                <c:pt idx="57">
                  <c:v>1959</c:v>
                </c:pt>
                <c:pt idx="58">
                  <c:v>1960</c:v>
                </c:pt>
                <c:pt idx="59">
                  <c:v>1961</c:v>
                </c:pt>
                <c:pt idx="60">
                  <c:v>1962</c:v>
                </c:pt>
                <c:pt idx="61">
                  <c:v>1963</c:v>
                </c:pt>
                <c:pt idx="62">
                  <c:v>1964</c:v>
                </c:pt>
                <c:pt idx="63">
                  <c:v>1965</c:v>
                </c:pt>
                <c:pt idx="64">
                  <c:v>1966</c:v>
                </c:pt>
                <c:pt idx="65">
                  <c:v>1967</c:v>
                </c:pt>
                <c:pt idx="66">
                  <c:v>1968</c:v>
                </c:pt>
                <c:pt idx="67">
                  <c:v>1969</c:v>
                </c:pt>
                <c:pt idx="68">
                  <c:v>1970</c:v>
                </c:pt>
                <c:pt idx="69">
                  <c:v>1971</c:v>
                </c:pt>
                <c:pt idx="70">
                  <c:v>1972</c:v>
                </c:pt>
                <c:pt idx="71">
                  <c:v>1973</c:v>
                </c:pt>
                <c:pt idx="72">
                  <c:v>1974</c:v>
                </c:pt>
                <c:pt idx="73">
                  <c:v>1975</c:v>
                </c:pt>
                <c:pt idx="74">
                  <c:v>1976</c:v>
                </c:pt>
                <c:pt idx="75">
                  <c:v>1977</c:v>
                </c:pt>
                <c:pt idx="76">
                  <c:v>1978</c:v>
                </c:pt>
                <c:pt idx="77">
                  <c:v>1979</c:v>
                </c:pt>
                <c:pt idx="78">
                  <c:v>1980</c:v>
                </c:pt>
                <c:pt idx="79">
                  <c:v>1981</c:v>
                </c:pt>
                <c:pt idx="80">
                  <c:v>1982</c:v>
                </c:pt>
                <c:pt idx="81">
                  <c:v>1983</c:v>
                </c:pt>
                <c:pt idx="82">
                  <c:v>1984</c:v>
                </c:pt>
                <c:pt idx="83">
                  <c:v>1985</c:v>
                </c:pt>
                <c:pt idx="84">
                  <c:v>1986</c:v>
                </c:pt>
                <c:pt idx="85">
                  <c:v>1987</c:v>
                </c:pt>
                <c:pt idx="86">
                  <c:v>1988</c:v>
                </c:pt>
                <c:pt idx="87">
                  <c:v>1989</c:v>
                </c:pt>
                <c:pt idx="88">
                  <c:v>1990</c:v>
                </c:pt>
                <c:pt idx="89">
                  <c:v>1991</c:v>
                </c:pt>
                <c:pt idx="90">
                  <c:v>1992</c:v>
                </c:pt>
                <c:pt idx="91">
                  <c:v>1993</c:v>
                </c:pt>
                <c:pt idx="92">
                  <c:v>1994</c:v>
                </c:pt>
                <c:pt idx="93">
                  <c:v>1995</c:v>
                </c:pt>
                <c:pt idx="94">
                  <c:v>1996</c:v>
                </c:pt>
                <c:pt idx="95">
                  <c:v>1997</c:v>
                </c:pt>
                <c:pt idx="96">
                  <c:v>1998</c:v>
                </c:pt>
                <c:pt idx="97">
                  <c:v>1999</c:v>
                </c:pt>
                <c:pt idx="98">
                  <c:v>2000</c:v>
                </c:pt>
                <c:pt idx="99">
                  <c:v>2001</c:v>
                </c:pt>
                <c:pt idx="100">
                  <c:v>2002</c:v>
                </c:pt>
                <c:pt idx="101">
                  <c:v>2003</c:v>
                </c:pt>
                <c:pt idx="102">
                  <c:v>2004</c:v>
                </c:pt>
                <c:pt idx="103">
                  <c:v>2005</c:v>
                </c:pt>
                <c:pt idx="104">
                  <c:v>2006</c:v>
                </c:pt>
                <c:pt idx="105">
                  <c:v>2007</c:v>
                </c:pt>
                <c:pt idx="106">
                  <c:v>2008</c:v>
                </c:pt>
                <c:pt idx="107">
                  <c:v>2009</c:v>
                </c:pt>
                <c:pt idx="108">
                  <c:v>2010</c:v>
                </c:pt>
                <c:pt idx="109">
                  <c:v>2011</c:v>
                </c:pt>
                <c:pt idx="110">
                  <c:v>2012</c:v>
                </c:pt>
                <c:pt idx="111">
                  <c:v>2013</c:v>
                </c:pt>
                <c:pt idx="112">
                  <c:v>2014</c:v>
                </c:pt>
                <c:pt idx="113">
                  <c:v>2015</c:v>
                </c:pt>
                <c:pt idx="114">
                  <c:v>2016</c:v>
                </c:pt>
                <c:pt idx="115">
                  <c:v>2017</c:v>
                </c:pt>
              </c:numCache>
            </c:numRef>
          </c:xVal>
          <c:yVal>
            <c:numRef>
              <c:f>'IM NOE'!$Q$2:$Q$117</c:f>
              <c:numCache>
                <c:formatCode>General</c:formatCode>
                <c:ptCount val="116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4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4</c:v>
                </c:pt>
                <c:pt idx="23">
                  <c:v>2</c:v>
                </c:pt>
                <c:pt idx="24">
                  <c:v>0</c:v>
                </c:pt>
                <c:pt idx="25">
                  <c:v>2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0</c:v>
                </c:pt>
                <c:pt idx="30">
                  <c:v>5</c:v>
                </c:pt>
                <c:pt idx="31">
                  <c:v>4</c:v>
                </c:pt>
                <c:pt idx="32">
                  <c:v>3</c:v>
                </c:pt>
                <c:pt idx="33">
                  <c:v>5</c:v>
                </c:pt>
                <c:pt idx="34">
                  <c:v>4</c:v>
                </c:pt>
                <c:pt idx="35">
                  <c:v>1</c:v>
                </c:pt>
                <c:pt idx="36">
                  <c:v>3</c:v>
                </c:pt>
                <c:pt idx="37">
                  <c:v>2</c:v>
                </c:pt>
                <c:pt idx="38">
                  <c:v>3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3</c:v>
                </c:pt>
                <c:pt idx="44">
                  <c:v>2</c:v>
                </c:pt>
                <c:pt idx="45">
                  <c:v>0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4</c:v>
                </c:pt>
                <c:pt idx="51">
                  <c:v>1</c:v>
                </c:pt>
                <c:pt idx="52">
                  <c:v>3</c:v>
                </c:pt>
                <c:pt idx="53">
                  <c:v>2</c:v>
                </c:pt>
                <c:pt idx="54">
                  <c:v>2</c:v>
                </c:pt>
                <c:pt idx="55">
                  <c:v>0</c:v>
                </c:pt>
                <c:pt idx="56">
                  <c:v>3</c:v>
                </c:pt>
                <c:pt idx="57">
                  <c:v>0</c:v>
                </c:pt>
                <c:pt idx="58">
                  <c:v>2</c:v>
                </c:pt>
                <c:pt idx="59">
                  <c:v>2</c:v>
                </c:pt>
                <c:pt idx="60">
                  <c:v>3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3</c:v>
                </c:pt>
                <c:pt idx="65">
                  <c:v>1</c:v>
                </c:pt>
                <c:pt idx="66">
                  <c:v>3</c:v>
                </c:pt>
                <c:pt idx="67">
                  <c:v>4</c:v>
                </c:pt>
                <c:pt idx="68">
                  <c:v>2</c:v>
                </c:pt>
                <c:pt idx="69">
                  <c:v>7</c:v>
                </c:pt>
                <c:pt idx="70">
                  <c:v>4</c:v>
                </c:pt>
                <c:pt idx="71">
                  <c:v>2</c:v>
                </c:pt>
                <c:pt idx="72">
                  <c:v>3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2</c:v>
                </c:pt>
                <c:pt idx="77">
                  <c:v>4</c:v>
                </c:pt>
                <c:pt idx="78">
                  <c:v>1</c:v>
                </c:pt>
                <c:pt idx="79">
                  <c:v>3</c:v>
                </c:pt>
                <c:pt idx="80">
                  <c:v>0</c:v>
                </c:pt>
                <c:pt idx="81">
                  <c:v>1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3</c:v>
                </c:pt>
                <c:pt idx="86">
                  <c:v>0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1</c:v>
                </c:pt>
                <c:pt idx="94">
                  <c:v>5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5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7</c:v>
                </c:pt>
                <c:pt idx="103">
                  <c:v>3</c:v>
                </c:pt>
                <c:pt idx="104">
                  <c:v>5</c:v>
                </c:pt>
                <c:pt idx="105">
                  <c:v>2</c:v>
                </c:pt>
                <c:pt idx="106">
                  <c:v>2</c:v>
                </c:pt>
                <c:pt idx="107">
                  <c:v>5</c:v>
                </c:pt>
                <c:pt idx="108">
                  <c:v>2</c:v>
                </c:pt>
                <c:pt idx="109">
                  <c:v>4</c:v>
                </c:pt>
                <c:pt idx="110">
                  <c:v>2</c:v>
                </c:pt>
                <c:pt idx="111">
                  <c:v>3</c:v>
                </c:pt>
                <c:pt idx="112">
                  <c:v>6</c:v>
                </c:pt>
                <c:pt idx="113">
                  <c:v>1</c:v>
                </c:pt>
                <c:pt idx="114">
                  <c:v>1</c:v>
                </c:pt>
                <c:pt idx="115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D6B2-47E2-8E48-3D222AF3F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79072"/>
        <c:axId val="117809920"/>
      </c:scatterChart>
      <c:valAx>
        <c:axId val="117779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809920"/>
        <c:crosses val="autoZero"/>
        <c:crossBetween val="midCat"/>
      </c:valAx>
      <c:valAx>
        <c:axId val="117809920"/>
        <c:scaling>
          <c:orientation val="minMax"/>
          <c:max val="30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Events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7790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tx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Atlantic City Marina: </a:t>
            </a:r>
            <a:r>
              <a:rPr lang="en-US" baseline="0"/>
              <a:t>Number of Events (Small)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0.03 - 0.10</c:v>
          </c:tx>
          <c:spPr>
            <a:ln>
              <a:solidFill>
                <a:schemeClr val="accent1">
                  <a:alpha val="60000"/>
                </a:schemeClr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1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9605112699456813E-2"/>
                  <c:y val="-2.6153034904777283E-2"/>
                </c:manualLayout>
              </c:layout>
              <c:numFmt formatCode="General" sourceLinked="0"/>
            </c:trendlineLbl>
          </c:trendline>
          <c:xVal>
            <c:numRef>
              <c:f>'[1]ACM Events'!$A$2:$A$145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Events'!$C$2:$C$145</c:f>
              <c:numCache>
                <c:formatCode>General</c:formatCode>
                <c:ptCount val="144"/>
                <c:pt idx="0">
                  <c:v>36</c:v>
                </c:pt>
                <c:pt idx="1">
                  <c:v>30</c:v>
                </c:pt>
                <c:pt idx="2">
                  <c:v>42</c:v>
                </c:pt>
                <c:pt idx="3">
                  <c:v>28</c:v>
                </c:pt>
                <c:pt idx="4">
                  <c:v>35</c:v>
                </c:pt>
                <c:pt idx="5">
                  <c:v>40</c:v>
                </c:pt>
                <c:pt idx="6">
                  <c:v>37</c:v>
                </c:pt>
                <c:pt idx="7">
                  <c:v>31</c:v>
                </c:pt>
                <c:pt idx="8">
                  <c:v>40</c:v>
                </c:pt>
                <c:pt idx="9">
                  <c:v>40</c:v>
                </c:pt>
                <c:pt idx="10">
                  <c:v>34</c:v>
                </c:pt>
                <c:pt idx="11">
                  <c:v>29</c:v>
                </c:pt>
                <c:pt idx="12">
                  <c:v>30</c:v>
                </c:pt>
                <c:pt idx="13">
                  <c:v>30</c:v>
                </c:pt>
                <c:pt idx="14">
                  <c:v>36</c:v>
                </c:pt>
                <c:pt idx="15">
                  <c:v>38</c:v>
                </c:pt>
                <c:pt idx="16">
                  <c:v>29</c:v>
                </c:pt>
                <c:pt idx="17">
                  <c:v>31</c:v>
                </c:pt>
                <c:pt idx="18">
                  <c:v>32</c:v>
                </c:pt>
                <c:pt idx="19">
                  <c:v>34</c:v>
                </c:pt>
                <c:pt idx="20">
                  <c:v>48</c:v>
                </c:pt>
                <c:pt idx="21">
                  <c:v>34</c:v>
                </c:pt>
                <c:pt idx="22">
                  <c:v>42</c:v>
                </c:pt>
                <c:pt idx="23">
                  <c:v>39</c:v>
                </c:pt>
                <c:pt idx="24">
                  <c:v>37</c:v>
                </c:pt>
                <c:pt idx="25">
                  <c:v>29</c:v>
                </c:pt>
                <c:pt idx="26">
                  <c:v>23</c:v>
                </c:pt>
                <c:pt idx="27">
                  <c:v>22</c:v>
                </c:pt>
                <c:pt idx="28">
                  <c:v>28</c:v>
                </c:pt>
                <c:pt idx="29">
                  <c:v>24</c:v>
                </c:pt>
                <c:pt idx="30">
                  <c:v>30</c:v>
                </c:pt>
                <c:pt idx="31">
                  <c:v>31</c:v>
                </c:pt>
                <c:pt idx="32">
                  <c:v>39</c:v>
                </c:pt>
                <c:pt idx="33">
                  <c:v>21</c:v>
                </c:pt>
                <c:pt idx="34">
                  <c:v>25</c:v>
                </c:pt>
                <c:pt idx="35">
                  <c:v>30</c:v>
                </c:pt>
                <c:pt idx="36">
                  <c:v>35</c:v>
                </c:pt>
                <c:pt idx="37">
                  <c:v>25</c:v>
                </c:pt>
                <c:pt idx="38">
                  <c:v>31</c:v>
                </c:pt>
                <c:pt idx="39">
                  <c:v>26</c:v>
                </c:pt>
                <c:pt idx="40">
                  <c:v>26</c:v>
                </c:pt>
                <c:pt idx="41">
                  <c:v>27</c:v>
                </c:pt>
                <c:pt idx="42">
                  <c:v>28</c:v>
                </c:pt>
                <c:pt idx="43">
                  <c:v>23</c:v>
                </c:pt>
                <c:pt idx="44">
                  <c:v>27</c:v>
                </c:pt>
                <c:pt idx="45">
                  <c:v>35</c:v>
                </c:pt>
                <c:pt idx="46">
                  <c:v>33</c:v>
                </c:pt>
                <c:pt idx="47">
                  <c:v>25</c:v>
                </c:pt>
                <c:pt idx="48">
                  <c:v>34</c:v>
                </c:pt>
                <c:pt idx="49">
                  <c:v>16</c:v>
                </c:pt>
                <c:pt idx="50">
                  <c:v>20</c:v>
                </c:pt>
                <c:pt idx="51">
                  <c:v>34</c:v>
                </c:pt>
                <c:pt idx="52">
                  <c:v>31</c:v>
                </c:pt>
                <c:pt idx="53">
                  <c:v>32</c:v>
                </c:pt>
                <c:pt idx="54">
                  <c:v>29</c:v>
                </c:pt>
                <c:pt idx="55">
                  <c:v>36</c:v>
                </c:pt>
                <c:pt idx="56">
                  <c:v>19</c:v>
                </c:pt>
                <c:pt idx="57">
                  <c:v>29</c:v>
                </c:pt>
                <c:pt idx="58">
                  <c:v>29</c:v>
                </c:pt>
                <c:pt idx="59">
                  <c:v>30</c:v>
                </c:pt>
                <c:pt idx="60">
                  <c:v>26</c:v>
                </c:pt>
                <c:pt idx="61">
                  <c:v>30</c:v>
                </c:pt>
                <c:pt idx="62">
                  <c:v>45</c:v>
                </c:pt>
                <c:pt idx="63">
                  <c:v>40</c:v>
                </c:pt>
                <c:pt idx="64">
                  <c:v>35</c:v>
                </c:pt>
                <c:pt idx="65">
                  <c:v>24</c:v>
                </c:pt>
                <c:pt idx="66">
                  <c:v>33</c:v>
                </c:pt>
                <c:pt idx="67">
                  <c:v>18</c:v>
                </c:pt>
                <c:pt idx="68">
                  <c:v>21</c:v>
                </c:pt>
                <c:pt idx="69">
                  <c:v>27</c:v>
                </c:pt>
                <c:pt idx="70">
                  <c:v>25</c:v>
                </c:pt>
                <c:pt idx="71">
                  <c:v>26</c:v>
                </c:pt>
                <c:pt idx="72">
                  <c:v>31</c:v>
                </c:pt>
                <c:pt idx="73">
                  <c:v>23</c:v>
                </c:pt>
                <c:pt idx="74">
                  <c:v>27</c:v>
                </c:pt>
                <c:pt idx="75">
                  <c:v>30</c:v>
                </c:pt>
                <c:pt idx="76">
                  <c:v>32</c:v>
                </c:pt>
                <c:pt idx="77">
                  <c:v>24</c:v>
                </c:pt>
                <c:pt idx="78">
                  <c:v>27</c:v>
                </c:pt>
                <c:pt idx="79">
                  <c:v>20</c:v>
                </c:pt>
                <c:pt idx="80">
                  <c:v>37</c:v>
                </c:pt>
                <c:pt idx="81">
                  <c:v>18</c:v>
                </c:pt>
                <c:pt idx="82">
                  <c:v>28</c:v>
                </c:pt>
                <c:pt idx="83">
                  <c:v>28</c:v>
                </c:pt>
                <c:pt idx="84">
                  <c:v>29</c:v>
                </c:pt>
                <c:pt idx="85">
                  <c:v>24</c:v>
                </c:pt>
                <c:pt idx="86">
                  <c:v>30</c:v>
                </c:pt>
                <c:pt idx="87">
                  <c:v>25</c:v>
                </c:pt>
                <c:pt idx="88">
                  <c:v>28</c:v>
                </c:pt>
                <c:pt idx="89">
                  <c:v>29</c:v>
                </c:pt>
                <c:pt idx="90">
                  <c:v>25</c:v>
                </c:pt>
                <c:pt idx="91">
                  <c:v>24</c:v>
                </c:pt>
                <c:pt idx="92">
                  <c:v>29</c:v>
                </c:pt>
                <c:pt idx="93">
                  <c:v>33</c:v>
                </c:pt>
                <c:pt idx="94">
                  <c:v>26</c:v>
                </c:pt>
                <c:pt idx="95">
                  <c:v>15</c:v>
                </c:pt>
                <c:pt idx="96">
                  <c:v>24</c:v>
                </c:pt>
                <c:pt idx="97">
                  <c:v>29</c:v>
                </c:pt>
                <c:pt idx="98">
                  <c:v>28</c:v>
                </c:pt>
                <c:pt idx="99">
                  <c:v>24</c:v>
                </c:pt>
                <c:pt idx="100">
                  <c:v>24</c:v>
                </c:pt>
                <c:pt idx="101">
                  <c:v>38</c:v>
                </c:pt>
                <c:pt idx="102">
                  <c:v>20</c:v>
                </c:pt>
                <c:pt idx="103">
                  <c:v>37</c:v>
                </c:pt>
                <c:pt idx="104">
                  <c:v>32</c:v>
                </c:pt>
                <c:pt idx="105">
                  <c:v>43</c:v>
                </c:pt>
                <c:pt idx="106">
                  <c:v>26</c:v>
                </c:pt>
                <c:pt idx="107">
                  <c:v>28</c:v>
                </c:pt>
                <c:pt idx="108">
                  <c:v>22</c:v>
                </c:pt>
                <c:pt idx="109">
                  <c:v>22</c:v>
                </c:pt>
                <c:pt idx="110">
                  <c:v>28</c:v>
                </c:pt>
                <c:pt idx="111">
                  <c:v>28</c:v>
                </c:pt>
                <c:pt idx="112">
                  <c:v>21</c:v>
                </c:pt>
                <c:pt idx="113">
                  <c:v>22</c:v>
                </c:pt>
                <c:pt idx="114">
                  <c:v>20</c:v>
                </c:pt>
                <c:pt idx="115">
                  <c:v>6</c:v>
                </c:pt>
                <c:pt idx="116">
                  <c:v>20</c:v>
                </c:pt>
                <c:pt idx="117">
                  <c:v>27</c:v>
                </c:pt>
                <c:pt idx="118">
                  <c:v>29</c:v>
                </c:pt>
                <c:pt idx="119">
                  <c:v>26</c:v>
                </c:pt>
                <c:pt idx="120">
                  <c:v>20</c:v>
                </c:pt>
                <c:pt idx="121">
                  <c:v>16</c:v>
                </c:pt>
                <c:pt idx="122">
                  <c:v>26</c:v>
                </c:pt>
                <c:pt idx="123">
                  <c:v>25</c:v>
                </c:pt>
                <c:pt idx="124">
                  <c:v>20</c:v>
                </c:pt>
                <c:pt idx="125">
                  <c:v>27</c:v>
                </c:pt>
                <c:pt idx="126">
                  <c:v>22</c:v>
                </c:pt>
                <c:pt idx="127">
                  <c:v>19</c:v>
                </c:pt>
                <c:pt idx="128">
                  <c:v>26</c:v>
                </c:pt>
                <c:pt idx="129">
                  <c:v>29</c:v>
                </c:pt>
                <c:pt idx="130">
                  <c:v>34</c:v>
                </c:pt>
                <c:pt idx="131">
                  <c:v>27</c:v>
                </c:pt>
                <c:pt idx="132">
                  <c:v>27</c:v>
                </c:pt>
                <c:pt idx="133">
                  <c:v>30</c:v>
                </c:pt>
                <c:pt idx="134">
                  <c:v>27</c:v>
                </c:pt>
                <c:pt idx="135">
                  <c:v>34</c:v>
                </c:pt>
                <c:pt idx="136">
                  <c:v>28</c:v>
                </c:pt>
                <c:pt idx="137">
                  <c:v>25</c:v>
                </c:pt>
                <c:pt idx="138">
                  <c:v>25</c:v>
                </c:pt>
                <c:pt idx="139">
                  <c:v>33</c:v>
                </c:pt>
                <c:pt idx="140">
                  <c:v>28</c:v>
                </c:pt>
                <c:pt idx="141">
                  <c:v>24</c:v>
                </c:pt>
                <c:pt idx="142">
                  <c:v>26</c:v>
                </c:pt>
                <c:pt idx="143">
                  <c:v>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227-401C-A17A-293847C771B8}"/>
            </c:ext>
          </c:extLst>
        </c:ser>
        <c:ser>
          <c:idx val="1"/>
          <c:order val="1"/>
          <c:tx>
            <c:v>0.11 - 0.25</c:v>
          </c:tx>
          <c:spPr>
            <a:ln>
              <a:solidFill>
                <a:schemeClr val="accent2">
                  <a:alpha val="70000"/>
                </a:schemeClr>
              </a:solidFill>
            </a:ln>
          </c:spPr>
          <c:marker>
            <c:symbol val="none"/>
          </c:marker>
          <c:trendline>
            <c:spPr>
              <a:ln>
                <a:solidFill>
                  <a:schemeClr val="accent2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7076425875727059E-2"/>
                  <c:y val="-1.6487830268247784E-2"/>
                </c:manualLayout>
              </c:layout>
              <c:numFmt formatCode="General" sourceLinked="0"/>
            </c:trendlineLbl>
          </c:trendline>
          <c:trendline>
            <c:spPr>
              <a:ln w="38100">
                <a:solidFill>
                  <a:schemeClr val="accent2"/>
                </a:solidFill>
              </a:ln>
            </c:spPr>
            <c:trendlineType val="linear"/>
            <c:dispRSqr val="0"/>
            <c:dispEq val="0"/>
          </c:trendline>
          <c:xVal>
            <c:numRef>
              <c:f>'[1]ACM Events'!$A$2:$A$145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Events'!$D$2:$D$145</c:f>
              <c:numCache>
                <c:formatCode>General</c:formatCode>
                <c:ptCount val="144"/>
                <c:pt idx="0">
                  <c:v>13</c:v>
                </c:pt>
                <c:pt idx="1">
                  <c:v>28</c:v>
                </c:pt>
                <c:pt idx="2">
                  <c:v>20</c:v>
                </c:pt>
                <c:pt idx="3">
                  <c:v>23</c:v>
                </c:pt>
                <c:pt idx="4">
                  <c:v>30</c:v>
                </c:pt>
                <c:pt idx="5">
                  <c:v>23</c:v>
                </c:pt>
                <c:pt idx="6">
                  <c:v>24</c:v>
                </c:pt>
                <c:pt idx="7">
                  <c:v>29</c:v>
                </c:pt>
                <c:pt idx="8">
                  <c:v>25</c:v>
                </c:pt>
                <c:pt idx="9">
                  <c:v>29</c:v>
                </c:pt>
                <c:pt idx="10">
                  <c:v>22</c:v>
                </c:pt>
                <c:pt idx="11">
                  <c:v>21</c:v>
                </c:pt>
                <c:pt idx="12">
                  <c:v>23</c:v>
                </c:pt>
                <c:pt idx="13">
                  <c:v>36</c:v>
                </c:pt>
                <c:pt idx="14">
                  <c:v>19</c:v>
                </c:pt>
                <c:pt idx="15">
                  <c:v>31</c:v>
                </c:pt>
                <c:pt idx="16">
                  <c:v>24</c:v>
                </c:pt>
                <c:pt idx="17">
                  <c:v>29</c:v>
                </c:pt>
                <c:pt idx="18">
                  <c:v>22</c:v>
                </c:pt>
                <c:pt idx="19">
                  <c:v>23</c:v>
                </c:pt>
                <c:pt idx="20">
                  <c:v>22</c:v>
                </c:pt>
                <c:pt idx="21">
                  <c:v>17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20</c:v>
                </c:pt>
                <c:pt idx="26">
                  <c:v>25</c:v>
                </c:pt>
                <c:pt idx="27">
                  <c:v>22</c:v>
                </c:pt>
                <c:pt idx="28">
                  <c:v>16</c:v>
                </c:pt>
                <c:pt idx="29">
                  <c:v>19</c:v>
                </c:pt>
                <c:pt idx="30">
                  <c:v>27</c:v>
                </c:pt>
                <c:pt idx="31">
                  <c:v>22</c:v>
                </c:pt>
                <c:pt idx="32">
                  <c:v>32</c:v>
                </c:pt>
                <c:pt idx="33">
                  <c:v>31</c:v>
                </c:pt>
                <c:pt idx="34">
                  <c:v>30</c:v>
                </c:pt>
                <c:pt idx="35">
                  <c:v>26</c:v>
                </c:pt>
                <c:pt idx="36">
                  <c:v>24</c:v>
                </c:pt>
                <c:pt idx="37">
                  <c:v>30</c:v>
                </c:pt>
                <c:pt idx="38">
                  <c:v>21</c:v>
                </c:pt>
                <c:pt idx="39">
                  <c:v>21</c:v>
                </c:pt>
                <c:pt idx="40">
                  <c:v>31</c:v>
                </c:pt>
                <c:pt idx="41">
                  <c:v>20</c:v>
                </c:pt>
                <c:pt idx="42">
                  <c:v>18</c:v>
                </c:pt>
                <c:pt idx="43">
                  <c:v>23</c:v>
                </c:pt>
                <c:pt idx="44">
                  <c:v>25</c:v>
                </c:pt>
                <c:pt idx="45">
                  <c:v>21</c:v>
                </c:pt>
                <c:pt idx="46">
                  <c:v>30</c:v>
                </c:pt>
                <c:pt idx="47">
                  <c:v>22</c:v>
                </c:pt>
                <c:pt idx="48">
                  <c:v>33</c:v>
                </c:pt>
                <c:pt idx="49">
                  <c:v>26</c:v>
                </c:pt>
                <c:pt idx="50">
                  <c:v>30</c:v>
                </c:pt>
                <c:pt idx="51">
                  <c:v>20</c:v>
                </c:pt>
                <c:pt idx="52">
                  <c:v>20</c:v>
                </c:pt>
                <c:pt idx="53">
                  <c:v>27</c:v>
                </c:pt>
                <c:pt idx="54">
                  <c:v>19</c:v>
                </c:pt>
                <c:pt idx="55">
                  <c:v>20</c:v>
                </c:pt>
                <c:pt idx="56">
                  <c:v>27</c:v>
                </c:pt>
                <c:pt idx="57">
                  <c:v>21</c:v>
                </c:pt>
                <c:pt idx="58">
                  <c:v>25</c:v>
                </c:pt>
                <c:pt idx="59">
                  <c:v>23</c:v>
                </c:pt>
                <c:pt idx="60">
                  <c:v>18</c:v>
                </c:pt>
                <c:pt idx="61">
                  <c:v>28</c:v>
                </c:pt>
                <c:pt idx="62">
                  <c:v>9</c:v>
                </c:pt>
                <c:pt idx="63">
                  <c:v>29</c:v>
                </c:pt>
                <c:pt idx="64">
                  <c:v>28</c:v>
                </c:pt>
                <c:pt idx="65">
                  <c:v>28</c:v>
                </c:pt>
                <c:pt idx="66">
                  <c:v>32</c:v>
                </c:pt>
                <c:pt idx="67">
                  <c:v>16</c:v>
                </c:pt>
                <c:pt idx="68">
                  <c:v>20</c:v>
                </c:pt>
                <c:pt idx="69">
                  <c:v>20</c:v>
                </c:pt>
                <c:pt idx="70">
                  <c:v>17</c:v>
                </c:pt>
                <c:pt idx="71">
                  <c:v>35</c:v>
                </c:pt>
                <c:pt idx="72">
                  <c:v>27</c:v>
                </c:pt>
                <c:pt idx="73">
                  <c:v>21</c:v>
                </c:pt>
                <c:pt idx="74">
                  <c:v>18</c:v>
                </c:pt>
                <c:pt idx="75">
                  <c:v>29</c:v>
                </c:pt>
                <c:pt idx="76">
                  <c:v>31</c:v>
                </c:pt>
                <c:pt idx="77">
                  <c:v>23</c:v>
                </c:pt>
                <c:pt idx="78">
                  <c:v>16</c:v>
                </c:pt>
                <c:pt idx="79">
                  <c:v>25</c:v>
                </c:pt>
                <c:pt idx="80">
                  <c:v>21</c:v>
                </c:pt>
                <c:pt idx="81">
                  <c:v>23</c:v>
                </c:pt>
                <c:pt idx="82">
                  <c:v>27</c:v>
                </c:pt>
                <c:pt idx="83">
                  <c:v>28</c:v>
                </c:pt>
                <c:pt idx="84">
                  <c:v>19</c:v>
                </c:pt>
                <c:pt idx="85">
                  <c:v>26</c:v>
                </c:pt>
                <c:pt idx="86">
                  <c:v>21</c:v>
                </c:pt>
                <c:pt idx="87">
                  <c:v>27</c:v>
                </c:pt>
                <c:pt idx="88">
                  <c:v>16</c:v>
                </c:pt>
                <c:pt idx="89">
                  <c:v>15</c:v>
                </c:pt>
                <c:pt idx="90">
                  <c:v>20</c:v>
                </c:pt>
                <c:pt idx="91">
                  <c:v>18</c:v>
                </c:pt>
                <c:pt idx="92">
                  <c:v>18</c:v>
                </c:pt>
                <c:pt idx="93">
                  <c:v>29</c:v>
                </c:pt>
                <c:pt idx="94">
                  <c:v>15</c:v>
                </c:pt>
                <c:pt idx="95">
                  <c:v>24</c:v>
                </c:pt>
                <c:pt idx="96">
                  <c:v>15</c:v>
                </c:pt>
                <c:pt idx="97">
                  <c:v>27</c:v>
                </c:pt>
                <c:pt idx="98">
                  <c:v>21</c:v>
                </c:pt>
                <c:pt idx="99">
                  <c:v>22</c:v>
                </c:pt>
                <c:pt idx="100">
                  <c:v>30</c:v>
                </c:pt>
                <c:pt idx="101">
                  <c:v>20</c:v>
                </c:pt>
                <c:pt idx="102">
                  <c:v>27</c:v>
                </c:pt>
                <c:pt idx="103">
                  <c:v>21</c:v>
                </c:pt>
                <c:pt idx="104">
                  <c:v>27</c:v>
                </c:pt>
                <c:pt idx="105">
                  <c:v>19</c:v>
                </c:pt>
                <c:pt idx="106">
                  <c:v>27</c:v>
                </c:pt>
                <c:pt idx="107">
                  <c:v>21</c:v>
                </c:pt>
                <c:pt idx="108">
                  <c:v>14</c:v>
                </c:pt>
                <c:pt idx="109">
                  <c:v>25</c:v>
                </c:pt>
                <c:pt idx="110">
                  <c:v>24</c:v>
                </c:pt>
                <c:pt idx="111">
                  <c:v>24</c:v>
                </c:pt>
                <c:pt idx="112">
                  <c:v>26</c:v>
                </c:pt>
                <c:pt idx="113">
                  <c:v>17</c:v>
                </c:pt>
                <c:pt idx="114">
                  <c:v>18</c:v>
                </c:pt>
                <c:pt idx="115">
                  <c:v>7</c:v>
                </c:pt>
                <c:pt idx="116">
                  <c:v>32</c:v>
                </c:pt>
                <c:pt idx="117">
                  <c:v>18</c:v>
                </c:pt>
                <c:pt idx="118">
                  <c:v>28</c:v>
                </c:pt>
                <c:pt idx="119">
                  <c:v>21</c:v>
                </c:pt>
                <c:pt idx="120">
                  <c:v>28</c:v>
                </c:pt>
                <c:pt idx="121">
                  <c:v>17</c:v>
                </c:pt>
                <c:pt idx="122">
                  <c:v>24</c:v>
                </c:pt>
                <c:pt idx="123">
                  <c:v>28</c:v>
                </c:pt>
                <c:pt idx="124">
                  <c:v>16</c:v>
                </c:pt>
                <c:pt idx="125">
                  <c:v>22</c:v>
                </c:pt>
                <c:pt idx="126">
                  <c:v>18</c:v>
                </c:pt>
                <c:pt idx="127">
                  <c:v>15</c:v>
                </c:pt>
                <c:pt idx="128">
                  <c:v>16</c:v>
                </c:pt>
                <c:pt idx="129">
                  <c:v>23</c:v>
                </c:pt>
                <c:pt idx="130">
                  <c:v>20</c:v>
                </c:pt>
                <c:pt idx="131">
                  <c:v>20</c:v>
                </c:pt>
                <c:pt idx="132">
                  <c:v>16</c:v>
                </c:pt>
                <c:pt idx="133">
                  <c:v>23</c:v>
                </c:pt>
                <c:pt idx="134">
                  <c:v>17</c:v>
                </c:pt>
                <c:pt idx="135">
                  <c:v>18</c:v>
                </c:pt>
                <c:pt idx="136">
                  <c:v>16</c:v>
                </c:pt>
                <c:pt idx="137">
                  <c:v>19</c:v>
                </c:pt>
                <c:pt idx="138">
                  <c:v>24</c:v>
                </c:pt>
                <c:pt idx="139">
                  <c:v>19</c:v>
                </c:pt>
                <c:pt idx="140">
                  <c:v>25</c:v>
                </c:pt>
                <c:pt idx="141">
                  <c:v>16</c:v>
                </c:pt>
                <c:pt idx="142">
                  <c:v>24</c:v>
                </c:pt>
                <c:pt idx="143">
                  <c:v>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227-401C-A17A-293847C771B8}"/>
            </c:ext>
          </c:extLst>
        </c:ser>
        <c:ser>
          <c:idx val="2"/>
          <c:order val="2"/>
          <c:tx>
            <c:v>0.26 - 0.50</c:v>
          </c:tx>
          <c:spPr>
            <a:ln>
              <a:solidFill>
                <a:schemeClr val="accent3">
                  <a:alpha val="60000"/>
                </a:schemeClr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3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7076425875727059E-2"/>
                  <c:y val="-1.1388846876528625E-2"/>
                </c:manualLayout>
              </c:layout>
              <c:numFmt formatCode="General" sourceLinked="0"/>
            </c:trendlineLbl>
          </c:trendline>
          <c:xVal>
            <c:numRef>
              <c:f>'[1]ACM Events'!$A$2:$A$145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Events'!$E$2:$E$145</c:f>
              <c:numCache>
                <c:formatCode>General</c:formatCode>
                <c:ptCount val="144"/>
                <c:pt idx="0">
                  <c:v>18</c:v>
                </c:pt>
                <c:pt idx="1">
                  <c:v>30</c:v>
                </c:pt>
                <c:pt idx="2">
                  <c:v>20</c:v>
                </c:pt>
                <c:pt idx="3">
                  <c:v>25</c:v>
                </c:pt>
                <c:pt idx="4">
                  <c:v>25</c:v>
                </c:pt>
                <c:pt idx="5">
                  <c:v>20</c:v>
                </c:pt>
                <c:pt idx="6">
                  <c:v>19</c:v>
                </c:pt>
                <c:pt idx="7">
                  <c:v>20</c:v>
                </c:pt>
                <c:pt idx="8">
                  <c:v>22</c:v>
                </c:pt>
                <c:pt idx="9">
                  <c:v>18</c:v>
                </c:pt>
                <c:pt idx="10">
                  <c:v>18</c:v>
                </c:pt>
                <c:pt idx="11">
                  <c:v>24</c:v>
                </c:pt>
                <c:pt idx="12">
                  <c:v>17</c:v>
                </c:pt>
                <c:pt idx="13">
                  <c:v>20</c:v>
                </c:pt>
                <c:pt idx="14">
                  <c:v>21</c:v>
                </c:pt>
                <c:pt idx="15">
                  <c:v>18</c:v>
                </c:pt>
                <c:pt idx="16">
                  <c:v>27</c:v>
                </c:pt>
                <c:pt idx="17">
                  <c:v>24</c:v>
                </c:pt>
                <c:pt idx="18">
                  <c:v>16</c:v>
                </c:pt>
                <c:pt idx="19">
                  <c:v>21</c:v>
                </c:pt>
                <c:pt idx="20">
                  <c:v>24</c:v>
                </c:pt>
                <c:pt idx="21">
                  <c:v>24</c:v>
                </c:pt>
                <c:pt idx="22">
                  <c:v>20</c:v>
                </c:pt>
                <c:pt idx="23">
                  <c:v>24</c:v>
                </c:pt>
                <c:pt idx="24">
                  <c:v>22</c:v>
                </c:pt>
                <c:pt idx="25">
                  <c:v>23</c:v>
                </c:pt>
                <c:pt idx="26">
                  <c:v>14</c:v>
                </c:pt>
                <c:pt idx="27">
                  <c:v>16</c:v>
                </c:pt>
                <c:pt idx="28">
                  <c:v>25</c:v>
                </c:pt>
                <c:pt idx="29">
                  <c:v>21</c:v>
                </c:pt>
                <c:pt idx="30">
                  <c:v>24</c:v>
                </c:pt>
                <c:pt idx="31">
                  <c:v>30</c:v>
                </c:pt>
                <c:pt idx="32">
                  <c:v>14</c:v>
                </c:pt>
                <c:pt idx="33">
                  <c:v>30</c:v>
                </c:pt>
                <c:pt idx="34">
                  <c:v>17</c:v>
                </c:pt>
                <c:pt idx="35">
                  <c:v>21</c:v>
                </c:pt>
                <c:pt idx="36">
                  <c:v>16</c:v>
                </c:pt>
                <c:pt idx="37">
                  <c:v>25</c:v>
                </c:pt>
                <c:pt idx="38">
                  <c:v>15</c:v>
                </c:pt>
                <c:pt idx="39">
                  <c:v>28</c:v>
                </c:pt>
                <c:pt idx="40">
                  <c:v>20</c:v>
                </c:pt>
                <c:pt idx="41">
                  <c:v>23</c:v>
                </c:pt>
                <c:pt idx="42">
                  <c:v>26</c:v>
                </c:pt>
                <c:pt idx="43">
                  <c:v>24</c:v>
                </c:pt>
                <c:pt idx="44">
                  <c:v>23</c:v>
                </c:pt>
                <c:pt idx="45">
                  <c:v>32</c:v>
                </c:pt>
                <c:pt idx="46">
                  <c:v>23</c:v>
                </c:pt>
                <c:pt idx="47">
                  <c:v>12</c:v>
                </c:pt>
                <c:pt idx="48">
                  <c:v>22</c:v>
                </c:pt>
                <c:pt idx="49">
                  <c:v>22</c:v>
                </c:pt>
                <c:pt idx="50">
                  <c:v>16</c:v>
                </c:pt>
                <c:pt idx="51">
                  <c:v>18</c:v>
                </c:pt>
                <c:pt idx="52">
                  <c:v>15</c:v>
                </c:pt>
                <c:pt idx="53">
                  <c:v>19</c:v>
                </c:pt>
                <c:pt idx="54">
                  <c:v>29</c:v>
                </c:pt>
                <c:pt idx="55">
                  <c:v>18</c:v>
                </c:pt>
                <c:pt idx="56">
                  <c:v>24</c:v>
                </c:pt>
                <c:pt idx="57">
                  <c:v>12</c:v>
                </c:pt>
                <c:pt idx="58">
                  <c:v>17</c:v>
                </c:pt>
                <c:pt idx="59">
                  <c:v>24</c:v>
                </c:pt>
                <c:pt idx="60">
                  <c:v>23</c:v>
                </c:pt>
                <c:pt idx="61">
                  <c:v>20</c:v>
                </c:pt>
                <c:pt idx="62">
                  <c:v>26</c:v>
                </c:pt>
                <c:pt idx="63">
                  <c:v>20</c:v>
                </c:pt>
                <c:pt idx="64">
                  <c:v>24</c:v>
                </c:pt>
                <c:pt idx="65">
                  <c:v>11</c:v>
                </c:pt>
                <c:pt idx="66">
                  <c:v>17</c:v>
                </c:pt>
                <c:pt idx="67">
                  <c:v>15</c:v>
                </c:pt>
                <c:pt idx="68">
                  <c:v>25</c:v>
                </c:pt>
                <c:pt idx="69">
                  <c:v>18</c:v>
                </c:pt>
                <c:pt idx="70">
                  <c:v>21</c:v>
                </c:pt>
                <c:pt idx="71">
                  <c:v>21</c:v>
                </c:pt>
                <c:pt idx="72">
                  <c:v>13</c:v>
                </c:pt>
                <c:pt idx="73">
                  <c:v>24</c:v>
                </c:pt>
                <c:pt idx="74">
                  <c:v>26</c:v>
                </c:pt>
                <c:pt idx="75">
                  <c:v>23</c:v>
                </c:pt>
                <c:pt idx="76">
                  <c:v>30</c:v>
                </c:pt>
                <c:pt idx="77">
                  <c:v>19</c:v>
                </c:pt>
                <c:pt idx="78">
                  <c:v>27</c:v>
                </c:pt>
                <c:pt idx="79">
                  <c:v>17</c:v>
                </c:pt>
                <c:pt idx="80">
                  <c:v>16</c:v>
                </c:pt>
                <c:pt idx="81">
                  <c:v>12</c:v>
                </c:pt>
                <c:pt idx="82">
                  <c:v>30</c:v>
                </c:pt>
                <c:pt idx="83">
                  <c:v>21</c:v>
                </c:pt>
                <c:pt idx="84">
                  <c:v>20</c:v>
                </c:pt>
                <c:pt idx="85">
                  <c:v>13</c:v>
                </c:pt>
                <c:pt idx="86">
                  <c:v>20</c:v>
                </c:pt>
                <c:pt idx="87">
                  <c:v>15</c:v>
                </c:pt>
                <c:pt idx="88">
                  <c:v>18</c:v>
                </c:pt>
                <c:pt idx="89">
                  <c:v>15</c:v>
                </c:pt>
                <c:pt idx="90">
                  <c:v>17</c:v>
                </c:pt>
                <c:pt idx="91">
                  <c:v>18</c:v>
                </c:pt>
                <c:pt idx="92">
                  <c:v>26</c:v>
                </c:pt>
                <c:pt idx="93">
                  <c:v>16</c:v>
                </c:pt>
                <c:pt idx="94">
                  <c:v>17</c:v>
                </c:pt>
                <c:pt idx="95">
                  <c:v>21</c:v>
                </c:pt>
                <c:pt idx="96">
                  <c:v>29</c:v>
                </c:pt>
                <c:pt idx="97">
                  <c:v>8</c:v>
                </c:pt>
                <c:pt idx="98">
                  <c:v>12</c:v>
                </c:pt>
                <c:pt idx="99">
                  <c:v>25</c:v>
                </c:pt>
                <c:pt idx="100">
                  <c:v>16</c:v>
                </c:pt>
                <c:pt idx="101">
                  <c:v>24</c:v>
                </c:pt>
                <c:pt idx="102">
                  <c:v>21</c:v>
                </c:pt>
                <c:pt idx="103">
                  <c:v>22</c:v>
                </c:pt>
                <c:pt idx="104">
                  <c:v>15</c:v>
                </c:pt>
                <c:pt idx="105">
                  <c:v>17</c:v>
                </c:pt>
                <c:pt idx="106">
                  <c:v>16</c:v>
                </c:pt>
                <c:pt idx="107">
                  <c:v>13</c:v>
                </c:pt>
                <c:pt idx="108">
                  <c:v>26</c:v>
                </c:pt>
                <c:pt idx="109">
                  <c:v>19</c:v>
                </c:pt>
                <c:pt idx="110">
                  <c:v>25</c:v>
                </c:pt>
                <c:pt idx="111">
                  <c:v>14</c:v>
                </c:pt>
                <c:pt idx="112">
                  <c:v>14</c:v>
                </c:pt>
                <c:pt idx="113">
                  <c:v>20</c:v>
                </c:pt>
                <c:pt idx="114">
                  <c:v>13</c:v>
                </c:pt>
                <c:pt idx="115">
                  <c:v>3</c:v>
                </c:pt>
                <c:pt idx="116">
                  <c:v>21</c:v>
                </c:pt>
                <c:pt idx="117">
                  <c:v>15</c:v>
                </c:pt>
                <c:pt idx="118">
                  <c:v>18</c:v>
                </c:pt>
                <c:pt idx="119">
                  <c:v>18</c:v>
                </c:pt>
                <c:pt idx="120">
                  <c:v>20</c:v>
                </c:pt>
                <c:pt idx="121">
                  <c:v>20</c:v>
                </c:pt>
                <c:pt idx="122">
                  <c:v>26</c:v>
                </c:pt>
                <c:pt idx="123">
                  <c:v>22</c:v>
                </c:pt>
                <c:pt idx="124">
                  <c:v>20</c:v>
                </c:pt>
                <c:pt idx="125">
                  <c:v>14</c:v>
                </c:pt>
                <c:pt idx="126">
                  <c:v>16</c:v>
                </c:pt>
                <c:pt idx="127">
                  <c:v>20</c:v>
                </c:pt>
                <c:pt idx="128">
                  <c:v>17</c:v>
                </c:pt>
                <c:pt idx="129">
                  <c:v>19</c:v>
                </c:pt>
                <c:pt idx="130">
                  <c:v>19</c:v>
                </c:pt>
                <c:pt idx="131">
                  <c:v>7</c:v>
                </c:pt>
                <c:pt idx="132">
                  <c:v>13</c:v>
                </c:pt>
                <c:pt idx="133">
                  <c:v>15</c:v>
                </c:pt>
                <c:pt idx="134">
                  <c:v>16</c:v>
                </c:pt>
                <c:pt idx="135">
                  <c:v>20</c:v>
                </c:pt>
                <c:pt idx="136">
                  <c:v>13</c:v>
                </c:pt>
                <c:pt idx="137">
                  <c:v>18</c:v>
                </c:pt>
                <c:pt idx="138">
                  <c:v>17</c:v>
                </c:pt>
                <c:pt idx="139">
                  <c:v>21</c:v>
                </c:pt>
                <c:pt idx="140">
                  <c:v>13</c:v>
                </c:pt>
                <c:pt idx="141">
                  <c:v>17</c:v>
                </c:pt>
                <c:pt idx="142">
                  <c:v>23</c:v>
                </c:pt>
                <c:pt idx="143">
                  <c:v>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A227-401C-A17A-293847C77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972992"/>
        <c:axId val="117974912"/>
      </c:scatterChart>
      <c:valAx>
        <c:axId val="117972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974912"/>
        <c:crosses val="autoZero"/>
        <c:crossBetween val="midCat"/>
      </c:valAx>
      <c:valAx>
        <c:axId val="117974912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Events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972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tx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Atlantic City Marina Annual Precipitation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ACM Annual Precip</c:v>
          </c:tx>
          <c:marker>
            <c:symbol val="none"/>
          </c:marker>
          <c:trendline>
            <c:spPr>
              <a:ln w="38100">
                <a:solidFill>
                  <a:schemeClr val="accent1"/>
                </a:solidFill>
                <a:prstDash val="lgDash"/>
              </a:ln>
            </c:spPr>
            <c:trendlineType val="linear"/>
            <c:dispRSqr val="1"/>
            <c:dispEq val="1"/>
            <c:trendlineLbl>
              <c:layout>
                <c:manualLayout>
                  <c:x val="9.6722581680537448E-2"/>
                  <c:y val="-2.741688476187534E-2"/>
                </c:manualLayout>
              </c:layout>
              <c:numFmt formatCode="General" sourceLinked="0"/>
            </c:trendlineLbl>
          </c:trendline>
          <c:xVal>
            <c:numRef>
              <c:f>'[1]ACM Amounts'!$A$2:$A$145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Amounts'!$V$2:$V$145</c:f>
              <c:numCache>
                <c:formatCode>General</c:formatCode>
                <c:ptCount val="144"/>
                <c:pt idx="0">
                  <c:v>34.090000000000003</c:v>
                </c:pt>
                <c:pt idx="1">
                  <c:v>39.950000000000003</c:v>
                </c:pt>
                <c:pt idx="2">
                  <c:v>35.99</c:v>
                </c:pt>
                <c:pt idx="3">
                  <c:v>36.380000000000003</c:v>
                </c:pt>
                <c:pt idx="4">
                  <c:v>42.13</c:v>
                </c:pt>
                <c:pt idx="5">
                  <c:v>47.48</c:v>
                </c:pt>
                <c:pt idx="6">
                  <c:v>46.25</c:v>
                </c:pt>
                <c:pt idx="7">
                  <c:v>40.08</c:v>
                </c:pt>
                <c:pt idx="8">
                  <c:v>55.29</c:v>
                </c:pt>
                <c:pt idx="9">
                  <c:v>44.64</c:v>
                </c:pt>
                <c:pt idx="10">
                  <c:v>53.7</c:v>
                </c:pt>
                <c:pt idx="11">
                  <c:v>38.450000000000003</c:v>
                </c:pt>
                <c:pt idx="12">
                  <c:v>44.81</c:v>
                </c:pt>
                <c:pt idx="13">
                  <c:v>37.909999999999997</c:v>
                </c:pt>
                <c:pt idx="14">
                  <c:v>44.14</c:v>
                </c:pt>
                <c:pt idx="15">
                  <c:v>38.83</c:v>
                </c:pt>
                <c:pt idx="16">
                  <c:v>47.3</c:v>
                </c:pt>
                <c:pt idx="17">
                  <c:v>43.14</c:v>
                </c:pt>
                <c:pt idx="18">
                  <c:v>37.270000000000003</c:v>
                </c:pt>
                <c:pt idx="19">
                  <c:v>37.159999999999997</c:v>
                </c:pt>
                <c:pt idx="20">
                  <c:v>33.21</c:v>
                </c:pt>
                <c:pt idx="21">
                  <c:v>28.41</c:v>
                </c:pt>
                <c:pt idx="22">
                  <c:v>32.409999999999997</c:v>
                </c:pt>
                <c:pt idx="23">
                  <c:v>35.65</c:v>
                </c:pt>
                <c:pt idx="24">
                  <c:v>38.68</c:v>
                </c:pt>
                <c:pt idx="25">
                  <c:v>37.840000000000003</c:v>
                </c:pt>
                <c:pt idx="26">
                  <c:v>28.13</c:v>
                </c:pt>
                <c:pt idx="27">
                  <c:v>36.33</c:v>
                </c:pt>
                <c:pt idx="28">
                  <c:v>50.58</c:v>
                </c:pt>
                <c:pt idx="29">
                  <c:v>61.11</c:v>
                </c:pt>
                <c:pt idx="30">
                  <c:v>30.14</c:v>
                </c:pt>
                <c:pt idx="31">
                  <c:v>39.17</c:v>
                </c:pt>
                <c:pt idx="32">
                  <c:v>48.8</c:v>
                </c:pt>
                <c:pt idx="33">
                  <c:v>48.54</c:v>
                </c:pt>
                <c:pt idx="34">
                  <c:v>37.880000000000003</c:v>
                </c:pt>
                <c:pt idx="35">
                  <c:v>37.340000000000003</c:v>
                </c:pt>
                <c:pt idx="36">
                  <c:v>34.33</c:v>
                </c:pt>
                <c:pt idx="37">
                  <c:v>44.21</c:v>
                </c:pt>
                <c:pt idx="38">
                  <c:v>44.52</c:v>
                </c:pt>
                <c:pt idx="39">
                  <c:v>36.700000000000003</c:v>
                </c:pt>
                <c:pt idx="40">
                  <c:v>39.880000000000003</c:v>
                </c:pt>
                <c:pt idx="41">
                  <c:v>35.82</c:v>
                </c:pt>
                <c:pt idx="42">
                  <c:v>34.11</c:v>
                </c:pt>
                <c:pt idx="43">
                  <c:v>40.61</c:v>
                </c:pt>
                <c:pt idx="44">
                  <c:v>30.14</c:v>
                </c:pt>
                <c:pt idx="45">
                  <c:v>49.44</c:v>
                </c:pt>
                <c:pt idx="46">
                  <c:v>45.36</c:v>
                </c:pt>
                <c:pt idx="47">
                  <c:v>35.93</c:v>
                </c:pt>
                <c:pt idx="48">
                  <c:v>38.93</c:v>
                </c:pt>
                <c:pt idx="49">
                  <c:v>39.450000000000003</c:v>
                </c:pt>
                <c:pt idx="50">
                  <c:v>38.31</c:v>
                </c:pt>
                <c:pt idx="51">
                  <c:v>34.99</c:v>
                </c:pt>
                <c:pt idx="52">
                  <c:v>41.22</c:v>
                </c:pt>
                <c:pt idx="53">
                  <c:v>41.11</c:v>
                </c:pt>
                <c:pt idx="54">
                  <c:v>44.86</c:v>
                </c:pt>
                <c:pt idx="55">
                  <c:v>36.049999999999997</c:v>
                </c:pt>
                <c:pt idx="56">
                  <c:v>31.18</c:v>
                </c:pt>
                <c:pt idx="57">
                  <c:v>31.18</c:v>
                </c:pt>
                <c:pt idx="58">
                  <c:v>46.58</c:v>
                </c:pt>
                <c:pt idx="59">
                  <c:v>51.27</c:v>
                </c:pt>
                <c:pt idx="60">
                  <c:v>40.450000000000003</c:v>
                </c:pt>
                <c:pt idx="61">
                  <c:v>55.04</c:v>
                </c:pt>
                <c:pt idx="62">
                  <c:v>47.9</c:v>
                </c:pt>
                <c:pt idx="63">
                  <c:v>42.39</c:v>
                </c:pt>
                <c:pt idx="64">
                  <c:v>49.14</c:v>
                </c:pt>
                <c:pt idx="65">
                  <c:v>46.63</c:v>
                </c:pt>
                <c:pt idx="66">
                  <c:v>41.42</c:v>
                </c:pt>
                <c:pt idx="67">
                  <c:v>32.06</c:v>
                </c:pt>
                <c:pt idx="68">
                  <c:v>46.22</c:v>
                </c:pt>
                <c:pt idx="69">
                  <c:v>37.93</c:v>
                </c:pt>
                <c:pt idx="70">
                  <c:v>49.02</c:v>
                </c:pt>
                <c:pt idx="71">
                  <c:v>46.27</c:v>
                </c:pt>
                <c:pt idx="72">
                  <c:v>31.87</c:v>
                </c:pt>
                <c:pt idx="73">
                  <c:v>33.700000000000003</c:v>
                </c:pt>
                <c:pt idx="74">
                  <c:v>62.18</c:v>
                </c:pt>
                <c:pt idx="75">
                  <c:v>41.36</c:v>
                </c:pt>
                <c:pt idx="76">
                  <c:v>38.46</c:v>
                </c:pt>
                <c:pt idx="77">
                  <c:v>38.630000000000003</c:v>
                </c:pt>
                <c:pt idx="78">
                  <c:v>46.95</c:v>
                </c:pt>
                <c:pt idx="79">
                  <c:v>55.91</c:v>
                </c:pt>
                <c:pt idx="80">
                  <c:v>34.020000000000003</c:v>
                </c:pt>
                <c:pt idx="81">
                  <c:v>34.72</c:v>
                </c:pt>
                <c:pt idx="82">
                  <c:v>43.58</c:v>
                </c:pt>
                <c:pt idx="83">
                  <c:v>34.520000000000003</c:v>
                </c:pt>
                <c:pt idx="84">
                  <c:v>67.17</c:v>
                </c:pt>
                <c:pt idx="85">
                  <c:v>50.37</c:v>
                </c:pt>
                <c:pt idx="86">
                  <c:v>35.19</c:v>
                </c:pt>
                <c:pt idx="87">
                  <c:v>39.159999999999997</c:v>
                </c:pt>
                <c:pt idx="88">
                  <c:v>42.1</c:v>
                </c:pt>
                <c:pt idx="89">
                  <c:v>32.56</c:v>
                </c:pt>
                <c:pt idx="90">
                  <c:v>35.69</c:v>
                </c:pt>
                <c:pt idx="91">
                  <c:v>30.05</c:v>
                </c:pt>
                <c:pt idx="92">
                  <c:v>38.049999999999997</c:v>
                </c:pt>
                <c:pt idx="93">
                  <c:v>42.17</c:v>
                </c:pt>
                <c:pt idx="94">
                  <c:v>33.75</c:v>
                </c:pt>
                <c:pt idx="95">
                  <c:v>43.96</c:v>
                </c:pt>
                <c:pt idx="96">
                  <c:v>35.47</c:v>
                </c:pt>
                <c:pt idx="97">
                  <c:v>43.92</c:v>
                </c:pt>
                <c:pt idx="98">
                  <c:v>51.68</c:v>
                </c:pt>
                <c:pt idx="99">
                  <c:v>38.75</c:v>
                </c:pt>
                <c:pt idx="100">
                  <c:v>33</c:v>
                </c:pt>
                <c:pt idx="101">
                  <c:v>39.89</c:v>
                </c:pt>
                <c:pt idx="102">
                  <c:v>30.29</c:v>
                </c:pt>
                <c:pt idx="103">
                  <c:v>34.47</c:v>
                </c:pt>
                <c:pt idx="104">
                  <c:v>36.78</c:v>
                </c:pt>
                <c:pt idx="105">
                  <c:v>46.45</c:v>
                </c:pt>
                <c:pt idx="106">
                  <c:v>32.340000000000003</c:v>
                </c:pt>
                <c:pt idx="107">
                  <c:v>30.52</c:v>
                </c:pt>
                <c:pt idx="108">
                  <c:v>32</c:v>
                </c:pt>
                <c:pt idx="109">
                  <c:v>40.630000000000003</c:v>
                </c:pt>
                <c:pt idx="110">
                  <c:v>37.799999999999997</c:v>
                </c:pt>
                <c:pt idx="111">
                  <c:v>27.54</c:v>
                </c:pt>
                <c:pt idx="112">
                  <c:v>32.57</c:v>
                </c:pt>
                <c:pt idx="113">
                  <c:v>41.78</c:v>
                </c:pt>
                <c:pt idx="114">
                  <c:v>24.91</c:v>
                </c:pt>
                <c:pt idx="115">
                  <c:v>19.25</c:v>
                </c:pt>
                <c:pt idx="116">
                  <c:v>35.340000000000003</c:v>
                </c:pt>
                <c:pt idx="117">
                  <c:v>37.31</c:v>
                </c:pt>
                <c:pt idx="118">
                  <c:v>37.49</c:v>
                </c:pt>
                <c:pt idx="119">
                  <c:v>36.68</c:v>
                </c:pt>
                <c:pt idx="120">
                  <c:v>39.44</c:v>
                </c:pt>
                <c:pt idx="121">
                  <c:v>36.06</c:v>
                </c:pt>
                <c:pt idx="122">
                  <c:v>45.93</c:v>
                </c:pt>
                <c:pt idx="123">
                  <c:v>45.12</c:v>
                </c:pt>
                <c:pt idx="124">
                  <c:v>41.76</c:v>
                </c:pt>
                <c:pt idx="125">
                  <c:v>38.35</c:v>
                </c:pt>
                <c:pt idx="126">
                  <c:v>47.54</c:v>
                </c:pt>
                <c:pt idx="127">
                  <c:v>25.57</c:v>
                </c:pt>
                <c:pt idx="128">
                  <c:v>43.12</c:v>
                </c:pt>
                <c:pt idx="129">
                  <c:v>44.49</c:v>
                </c:pt>
                <c:pt idx="130">
                  <c:v>39.5</c:v>
                </c:pt>
                <c:pt idx="131">
                  <c:v>43.79</c:v>
                </c:pt>
                <c:pt idx="132">
                  <c:v>41.14</c:v>
                </c:pt>
                <c:pt idx="133">
                  <c:v>42.86</c:v>
                </c:pt>
                <c:pt idx="134">
                  <c:v>44.88</c:v>
                </c:pt>
                <c:pt idx="135">
                  <c:v>64.180000000000007</c:v>
                </c:pt>
                <c:pt idx="136">
                  <c:v>45.39</c:v>
                </c:pt>
                <c:pt idx="137">
                  <c:v>44.54</c:v>
                </c:pt>
                <c:pt idx="138">
                  <c:v>49.99</c:v>
                </c:pt>
                <c:pt idx="139">
                  <c:v>43.03</c:v>
                </c:pt>
                <c:pt idx="140">
                  <c:v>49.44</c:v>
                </c:pt>
                <c:pt idx="141">
                  <c:v>42.04</c:v>
                </c:pt>
                <c:pt idx="142">
                  <c:v>43.61</c:v>
                </c:pt>
                <c:pt idx="143">
                  <c:v>46.62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04F-4D7A-B5AD-6747844D6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005120"/>
        <c:axId val="118023680"/>
      </c:scatterChart>
      <c:valAx>
        <c:axId val="118005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023680"/>
        <c:crosses val="autoZero"/>
        <c:crossBetween val="midCat"/>
      </c:valAx>
      <c:valAx>
        <c:axId val="118023680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Rainfall (Inches)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005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bg2"/>
    </a:solidFill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Atlantic City Marina: </a:t>
            </a:r>
            <a:r>
              <a:rPr lang="en-US"/>
              <a:t>Total Precipitation Within</a:t>
            </a:r>
            <a:r>
              <a:rPr lang="en-US" baseline="0"/>
              <a:t> Bins (Small)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0.03 - 0.10</c:v>
          </c:tx>
          <c:marker>
            <c:symbol val="none"/>
          </c:marker>
          <c:trendline>
            <c:spPr>
              <a:ln w="38100">
                <a:solidFill>
                  <a:schemeClr val="accent1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2646271961770943E-2"/>
                  <c:y val="-6.8348182363899782E-3"/>
                </c:manualLayout>
              </c:layout>
              <c:numFmt formatCode="General" sourceLinked="0"/>
            </c:trendlineLbl>
          </c:trendline>
          <c:xVal>
            <c:numRef>
              <c:f>'[1]ACM Amounts'!$A$2:$A$145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Amounts'!$C$2:$C$145</c:f>
              <c:numCache>
                <c:formatCode>General</c:formatCode>
                <c:ptCount val="144"/>
                <c:pt idx="0">
                  <c:v>2.14</c:v>
                </c:pt>
                <c:pt idx="1">
                  <c:v>1.87</c:v>
                </c:pt>
                <c:pt idx="2">
                  <c:v>2.5499999999999998</c:v>
                </c:pt>
                <c:pt idx="3">
                  <c:v>1.58</c:v>
                </c:pt>
                <c:pt idx="4">
                  <c:v>2.08</c:v>
                </c:pt>
                <c:pt idx="5">
                  <c:v>2.44</c:v>
                </c:pt>
                <c:pt idx="6">
                  <c:v>2.16</c:v>
                </c:pt>
                <c:pt idx="7">
                  <c:v>1.78</c:v>
                </c:pt>
                <c:pt idx="8">
                  <c:v>2.2799999999999998</c:v>
                </c:pt>
                <c:pt idx="9">
                  <c:v>2.44</c:v>
                </c:pt>
                <c:pt idx="10">
                  <c:v>2.0499999999999998</c:v>
                </c:pt>
                <c:pt idx="11">
                  <c:v>1.69</c:v>
                </c:pt>
                <c:pt idx="12">
                  <c:v>1.89</c:v>
                </c:pt>
                <c:pt idx="13">
                  <c:v>1.56</c:v>
                </c:pt>
                <c:pt idx="14">
                  <c:v>2.0299999999999998</c:v>
                </c:pt>
                <c:pt idx="15">
                  <c:v>2.25</c:v>
                </c:pt>
                <c:pt idx="16">
                  <c:v>1.93</c:v>
                </c:pt>
                <c:pt idx="17">
                  <c:v>1.84</c:v>
                </c:pt>
                <c:pt idx="18">
                  <c:v>2.04</c:v>
                </c:pt>
                <c:pt idx="19">
                  <c:v>1.87</c:v>
                </c:pt>
                <c:pt idx="20">
                  <c:v>2.77999999999999</c:v>
                </c:pt>
                <c:pt idx="21">
                  <c:v>2.27</c:v>
                </c:pt>
                <c:pt idx="22">
                  <c:v>2.4300000000000002</c:v>
                </c:pt>
                <c:pt idx="23">
                  <c:v>2.09</c:v>
                </c:pt>
                <c:pt idx="24">
                  <c:v>2.11</c:v>
                </c:pt>
                <c:pt idx="25">
                  <c:v>2.02</c:v>
                </c:pt>
                <c:pt idx="26">
                  <c:v>1.22</c:v>
                </c:pt>
                <c:pt idx="27">
                  <c:v>1.27</c:v>
                </c:pt>
                <c:pt idx="28">
                  <c:v>1.66</c:v>
                </c:pt>
                <c:pt idx="29">
                  <c:v>1.51</c:v>
                </c:pt>
                <c:pt idx="30">
                  <c:v>1.72</c:v>
                </c:pt>
                <c:pt idx="31">
                  <c:v>1.79</c:v>
                </c:pt>
                <c:pt idx="32">
                  <c:v>2.19</c:v>
                </c:pt>
                <c:pt idx="33">
                  <c:v>1.19</c:v>
                </c:pt>
                <c:pt idx="34">
                  <c:v>1.35</c:v>
                </c:pt>
                <c:pt idx="35">
                  <c:v>1.54</c:v>
                </c:pt>
                <c:pt idx="36">
                  <c:v>2.0499999999999998</c:v>
                </c:pt>
                <c:pt idx="37">
                  <c:v>1.32</c:v>
                </c:pt>
                <c:pt idx="38">
                  <c:v>1.84</c:v>
                </c:pt>
                <c:pt idx="39">
                  <c:v>1.57</c:v>
                </c:pt>
                <c:pt idx="40">
                  <c:v>1.66</c:v>
                </c:pt>
                <c:pt idx="41">
                  <c:v>1.56</c:v>
                </c:pt>
                <c:pt idx="42">
                  <c:v>1.59</c:v>
                </c:pt>
                <c:pt idx="43">
                  <c:v>1.34</c:v>
                </c:pt>
                <c:pt idx="44">
                  <c:v>1.63</c:v>
                </c:pt>
                <c:pt idx="45">
                  <c:v>2.09</c:v>
                </c:pt>
                <c:pt idx="46">
                  <c:v>1.85</c:v>
                </c:pt>
                <c:pt idx="47">
                  <c:v>1.44</c:v>
                </c:pt>
                <c:pt idx="48">
                  <c:v>2.02</c:v>
                </c:pt>
                <c:pt idx="49">
                  <c:v>0.87</c:v>
                </c:pt>
                <c:pt idx="50">
                  <c:v>1.35</c:v>
                </c:pt>
                <c:pt idx="51">
                  <c:v>1.91</c:v>
                </c:pt>
                <c:pt idx="52">
                  <c:v>1.96</c:v>
                </c:pt>
                <c:pt idx="53">
                  <c:v>1.9</c:v>
                </c:pt>
                <c:pt idx="54">
                  <c:v>1.69</c:v>
                </c:pt>
                <c:pt idx="55">
                  <c:v>2.13</c:v>
                </c:pt>
                <c:pt idx="56">
                  <c:v>1.04</c:v>
                </c:pt>
                <c:pt idx="57">
                  <c:v>1.57</c:v>
                </c:pt>
                <c:pt idx="58">
                  <c:v>1.58</c:v>
                </c:pt>
                <c:pt idx="59">
                  <c:v>1.54</c:v>
                </c:pt>
                <c:pt idx="60">
                  <c:v>1.61</c:v>
                </c:pt>
                <c:pt idx="61">
                  <c:v>1.79</c:v>
                </c:pt>
                <c:pt idx="62">
                  <c:v>2.52</c:v>
                </c:pt>
                <c:pt idx="63">
                  <c:v>2.23</c:v>
                </c:pt>
                <c:pt idx="64">
                  <c:v>2.2000000000000002</c:v>
                </c:pt>
                <c:pt idx="65">
                  <c:v>1.43</c:v>
                </c:pt>
                <c:pt idx="66">
                  <c:v>1.85</c:v>
                </c:pt>
                <c:pt idx="67">
                  <c:v>1.1399999999999999</c:v>
                </c:pt>
                <c:pt idx="68">
                  <c:v>1.1000000000000001</c:v>
                </c:pt>
                <c:pt idx="69">
                  <c:v>1.67</c:v>
                </c:pt>
                <c:pt idx="70">
                  <c:v>1.46</c:v>
                </c:pt>
                <c:pt idx="71">
                  <c:v>1.45</c:v>
                </c:pt>
                <c:pt idx="72">
                  <c:v>1.89</c:v>
                </c:pt>
                <c:pt idx="73">
                  <c:v>1.34</c:v>
                </c:pt>
                <c:pt idx="74">
                  <c:v>1.58</c:v>
                </c:pt>
                <c:pt idx="75">
                  <c:v>1.8</c:v>
                </c:pt>
                <c:pt idx="76">
                  <c:v>1.87</c:v>
                </c:pt>
                <c:pt idx="77">
                  <c:v>1.76</c:v>
                </c:pt>
                <c:pt idx="78">
                  <c:v>1.65</c:v>
                </c:pt>
                <c:pt idx="79">
                  <c:v>1.1100000000000001</c:v>
                </c:pt>
                <c:pt idx="80">
                  <c:v>2.1800000000000002</c:v>
                </c:pt>
                <c:pt idx="81">
                  <c:v>1.02</c:v>
                </c:pt>
                <c:pt idx="82">
                  <c:v>1.43</c:v>
                </c:pt>
                <c:pt idx="83">
                  <c:v>1.78</c:v>
                </c:pt>
                <c:pt idx="84">
                  <c:v>1.79</c:v>
                </c:pt>
                <c:pt idx="85">
                  <c:v>1.51</c:v>
                </c:pt>
                <c:pt idx="86">
                  <c:v>1.79</c:v>
                </c:pt>
                <c:pt idx="87">
                  <c:v>1.46</c:v>
                </c:pt>
                <c:pt idx="88">
                  <c:v>1.41</c:v>
                </c:pt>
                <c:pt idx="89">
                  <c:v>1.76</c:v>
                </c:pt>
                <c:pt idx="90">
                  <c:v>1.51</c:v>
                </c:pt>
                <c:pt idx="91">
                  <c:v>1.39</c:v>
                </c:pt>
                <c:pt idx="92">
                  <c:v>1.67</c:v>
                </c:pt>
                <c:pt idx="93">
                  <c:v>2.09</c:v>
                </c:pt>
                <c:pt idx="94">
                  <c:v>1.45</c:v>
                </c:pt>
                <c:pt idx="95">
                  <c:v>0.95</c:v>
                </c:pt>
                <c:pt idx="96">
                  <c:v>1.47</c:v>
                </c:pt>
                <c:pt idx="97">
                  <c:v>1.68</c:v>
                </c:pt>
                <c:pt idx="98">
                  <c:v>1.85</c:v>
                </c:pt>
                <c:pt idx="99">
                  <c:v>1.33</c:v>
                </c:pt>
                <c:pt idx="100">
                  <c:v>1.62</c:v>
                </c:pt>
                <c:pt idx="101">
                  <c:v>2.0699999999999998</c:v>
                </c:pt>
                <c:pt idx="102">
                  <c:v>1.24</c:v>
                </c:pt>
                <c:pt idx="103">
                  <c:v>2.2000000000000002</c:v>
                </c:pt>
                <c:pt idx="104">
                  <c:v>1.95</c:v>
                </c:pt>
                <c:pt idx="105">
                  <c:v>2.38</c:v>
                </c:pt>
                <c:pt idx="106">
                  <c:v>1.54</c:v>
                </c:pt>
                <c:pt idx="107">
                  <c:v>1.63</c:v>
                </c:pt>
                <c:pt idx="108">
                  <c:v>1.3</c:v>
                </c:pt>
                <c:pt idx="109">
                  <c:v>1.17</c:v>
                </c:pt>
                <c:pt idx="110">
                  <c:v>1.39</c:v>
                </c:pt>
                <c:pt idx="111">
                  <c:v>1.67</c:v>
                </c:pt>
                <c:pt idx="112">
                  <c:v>1.03</c:v>
                </c:pt>
                <c:pt idx="113">
                  <c:v>1.26</c:v>
                </c:pt>
                <c:pt idx="114">
                  <c:v>1.23</c:v>
                </c:pt>
                <c:pt idx="115">
                  <c:v>0.33</c:v>
                </c:pt>
                <c:pt idx="116">
                  <c:v>1.1000000000000001</c:v>
                </c:pt>
                <c:pt idx="117">
                  <c:v>1.47</c:v>
                </c:pt>
                <c:pt idx="118">
                  <c:v>1.7</c:v>
                </c:pt>
                <c:pt idx="119">
                  <c:v>1.54</c:v>
                </c:pt>
                <c:pt idx="120">
                  <c:v>1.28</c:v>
                </c:pt>
                <c:pt idx="121">
                  <c:v>1.0499999999999901</c:v>
                </c:pt>
                <c:pt idx="122">
                  <c:v>1.42</c:v>
                </c:pt>
                <c:pt idx="123">
                  <c:v>1.45</c:v>
                </c:pt>
                <c:pt idx="124">
                  <c:v>1.1299999999999999</c:v>
                </c:pt>
                <c:pt idx="125">
                  <c:v>1.54</c:v>
                </c:pt>
                <c:pt idx="126">
                  <c:v>1.1299999999999999</c:v>
                </c:pt>
                <c:pt idx="127">
                  <c:v>1.29</c:v>
                </c:pt>
                <c:pt idx="128">
                  <c:v>1.44</c:v>
                </c:pt>
                <c:pt idx="129">
                  <c:v>1.71</c:v>
                </c:pt>
                <c:pt idx="130">
                  <c:v>1.7</c:v>
                </c:pt>
                <c:pt idx="131">
                  <c:v>1.6</c:v>
                </c:pt>
                <c:pt idx="132">
                  <c:v>1.33</c:v>
                </c:pt>
                <c:pt idx="133">
                  <c:v>1.73</c:v>
                </c:pt>
                <c:pt idx="134">
                  <c:v>1.62</c:v>
                </c:pt>
                <c:pt idx="135">
                  <c:v>2.0299999999999998</c:v>
                </c:pt>
                <c:pt idx="136">
                  <c:v>1.61</c:v>
                </c:pt>
                <c:pt idx="137">
                  <c:v>1.52</c:v>
                </c:pt>
                <c:pt idx="138">
                  <c:v>1.73</c:v>
                </c:pt>
                <c:pt idx="139">
                  <c:v>2.02</c:v>
                </c:pt>
                <c:pt idx="140">
                  <c:v>1.69</c:v>
                </c:pt>
                <c:pt idx="141">
                  <c:v>1.44</c:v>
                </c:pt>
                <c:pt idx="142">
                  <c:v>1.47</c:v>
                </c:pt>
                <c:pt idx="143">
                  <c:v>1.83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47-4C25-8F24-ECE8A68320D9}"/>
            </c:ext>
          </c:extLst>
        </c:ser>
        <c:ser>
          <c:idx val="1"/>
          <c:order val="1"/>
          <c:tx>
            <c:v>0.11 - 0.25</c:v>
          </c:tx>
          <c:marker>
            <c:symbol val="none"/>
          </c:marker>
          <c:trendline>
            <c:spPr>
              <a:ln w="38100">
                <a:solidFill>
                  <a:schemeClr val="accent2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0135988198899078E-2"/>
                  <c:y val="-1.3553089557932838E-2"/>
                </c:manualLayout>
              </c:layout>
              <c:numFmt formatCode="General" sourceLinked="0"/>
            </c:trendlineLbl>
          </c:trendline>
          <c:xVal>
            <c:numRef>
              <c:f>'[1]ACM Amounts'!$A$2:$A$145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Amounts'!$D$2:$D$145</c:f>
              <c:numCache>
                <c:formatCode>General</c:formatCode>
                <c:ptCount val="144"/>
                <c:pt idx="0">
                  <c:v>1.94999999999999</c:v>
                </c:pt>
                <c:pt idx="1">
                  <c:v>4.8099999999999996</c:v>
                </c:pt>
                <c:pt idx="2">
                  <c:v>3.42</c:v>
                </c:pt>
                <c:pt idx="3">
                  <c:v>4.33</c:v>
                </c:pt>
                <c:pt idx="4">
                  <c:v>4.6199999999999903</c:v>
                </c:pt>
                <c:pt idx="5">
                  <c:v>4</c:v>
                </c:pt>
                <c:pt idx="6">
                  <c:v>4.12</c:v>
                </c:pt>
                <c:pt idx="7">
                  <c:v>4.9000000000000004</c:v>
                </c:pt>
                <c:pt idx="8">
                  <c:v>4.43</c:v>
                </c:pt>
                <c:pt idx="9">
                  <c:v>5.12</c:v>
                </c:pt>
                <c:pt idx="10">
                  <c:v>4.03</c:v>
                </c:pt>
                <c:pt idx="11">
                  <c:v>3.44</c:v>
                </c:pt>
                <c:pt idx="12">
                  <c:v>3.9999999999999898</c:v>
                </c:pt>
                <c:pt idx="13">
                  <c:v>5.96999999999999</c:v>
                </c:pt>
                <c:pt idx="14">
                  <c:v>3.24</c:v>
                </c:pt>
                <c:pt idx="15">
                  <c:v>5.28</c:v>
                </c:pt>
                <c:pt idx="16">
                  <c:v>4.49</c:v>
                </c:pt>
                <c:pt idx="17">
                  <c:v>4.6500000000000004</c:v>
                </c:pt>
                <c:pt idx="18">
                  <c:v>4.12</c:v>
                </c:pt>
                <c:pt idx="19">
                  <c:v>4.1100000000000003</c:v>
                </c:pt>
                <c:pt idx="20">
                  <c:v>3.84</c:v>
                </c:pt>
                <c:pt idx="21">
                  <c:v>2.79</c:v>
                </c:pt>
                <c:pt idx="22">
                  <c:v>4.63</c:v>
                </c:pt>
                <c:pt idx="23">
                  <c:v>5.0399999999999903</c:v>
                </c:pt>
                <c:pt idx="24">
                  <c:v>4.46</c:v>
                </c:pt>
                <c:pt idx="25">
                  <c:v>3.64</c:v>
                </c:pt>
                <c:pt idx="26">
                  <c:v>4.26</c:v>
                </c:pt>
                <c:pt idx="27">
                  <c:v>3.89</c:v>
                </c:pt>
                <c:pt idx="28">
                  <c:v>2.95</c:v>
                </c:pt>
                <c:pt idx="29">
                  <c:v>3.25</c:v>
                </c:pt>
                <c:pt idx="30">
                  <c:v>4.47</c:v>
                </c:pt>
                <c:pt idx="31">
                  <c:v>3.46</c:v>
                </c:pt>
                <c:pt idx="32">
                  <c:v>5.19</c:v>
                </c:pt>
                <c:pt idx="33">
                  <c:v>5.19</c:v>
                </c:pt>
                <c:pt idx="34">
                  <c:v>5.3</c:v>
                </c:pt>
                <c:pt idx="35">
                  <c:v>4.58</c:v>
                </c:pt>
                <c:pt idx="36">
                  <c:v>4.8</c:v>
                </c:pt>
                <c:pt idx="37">
                  <c:v>5.21</c:v>
                </c:pt>
                <c:pt idx="38">
                  <c:v>3.8</c:v>
                </c:pt>
                <c:pt idx="39">
                  <c:v>3.5499999999999901</c:v>
                </c:pt>
                <c:pt idx="40">
                  <c:v>5.41</c:v>
                </c:pt>
                <c:pt idx="41">
                  <c:v>3.4999999999999898</c:v>
                </c:pt>
                <c:pt idx="42">
                  <c:v>3.1</c:v>
                </c:pt>
                <c:pt idx="43">
                  <c:v>3.87</c:v>
                </c:pt>
                <c:pt idx="44">
                  <c:v>4.3499999999999996</c:v>
                </c:pt>
                <c:pt idx="45">
                  <c:v>4.0999999999999996</c:v>
                </c:pt>
                <c:pt idx="46">
                  <c:v>5.26</c:v>
                </c:pt>
                <c:pt idx="47">
                  <c:v>4.0599999999999996</c:v>
                </c:pt>
                <c:pt idx="48">
                  <c:v>5.46</c:v>
                </c:pt>
                <c:pt idx="49">
                  <c:v>4.4899999999999904</c:v>
                </c:pt>
                <c:pt idx="50">
                  <c:v>5.14</c:v>
                </c:pt>
                <c:pt idx="51">
                  <c:v>3.49</c:v>
                </c:pt>
                <c:pt idx="52">
                  <c:v>3.53</c:v>
                </c:pt>
                <c:pt idx="53">
                  <c:v>4.5599999999999996</c:v>
                </c:pt>
                <c:pt idx="54">
                  <c:v>3.13</c:v>
                </c:pt>
                <c:pt idx="55">
                  <c:v>3.51</c:v>
                </c:pt>
                <c:pt idx="56">
                  <c:v>4.3600000000000003</c:v>
                </c:pt>
                <c:pt idx="57">
                  <c:v>3.61</c:v>
                </c:pt>
                <c:pt idx="58">
                  <c:v>4.29</c:v>
                </c:pt>
                <c:pt idx="59">
                  <c:v>3.81</c:v>
                </c:pt>
                <c:pt idx="60">
                  <c:v>3.25</c:v>
                </c:pt>
                <c:pt idx="61">
                  <c:v>5.13</c:v>
                </c:pt>
                <c:pt idx="62">
                  <c:v>1.6799999999999899</c:v>
                </c:pt>
                <c:pt idx="63">
                  <c:v>5.18</c:v>
                </c:pt>
                <c:pt idx="64">
                  <c:v>4.9000000000000004</c:v>
                </c:pt>
                <c:pt idx="65">
                  <c:v>4.7</c:v>
                </c:pt>
                <c:pt idx="66">
                  <c:v>5.36</c:v>
                </c:pt>
                <c:pt idx="67">
                  <c:v>2.7</c:v>
                </c:pt>
                <c:pt idx="68">
                  <c:v>3.62</c:v>
                </c:pt>
                <c:pt idx="69">
                  <c:v>3.33</c:v>
                </c:pt>
                <c:pt idx="70">
                  <c:v>2.7699999999999898</c:v>
                </c:pt>
                <c:pt idx="71">
                  <c:v>6.07</c:v>
                </c:pt>
                <c:pt idx="72">
                  <c:v>4.68</c:v>
                </c:pt>
                <c:pt idx="73">
                  <c:v>3.65</c:v>
                </c:pt>
                <c:pt idx="74">
                  <c:v>3.12</c:v>
                </c:pt>
                <c:pt idx="75">
                  <c:v>5.34</c:v>
                </c:pt>
                <c:pt idx="76">
                  <c:v>5.44</c:v>
                </c:pt>
                <c:pt idx="77">
                  <c:v>4.1900000000000004</c:v>
                </c:pt>
                <c:pt idx="78">
                  <c:v>2.8499999999999899</c:v>
                </c:pt>
                <c:pt idx="79">
                  <c:v>4.55</c:v>
                </c:pt>
                <c:pt idx="80">
                  <c:v>3.3799999999999901</c:v>
                </c:pt>
                <c:pt idx="81">
                  <c:v>4</c:v>
                </c:pt>
                <c:pt idx="82">
                  <c:v>4.54</c:v>
                </c:pt>
                <c:pt idx="83">
                  <c:v>4.5599999999999996</c:v>
                </c:pt>
                <c:pt idx="84">
                  <c:v>3.32</c:v>
                </c:pt>
                <c:pt idx="85">
                  <c:v>4.18</c:v>
                </c:pt>
                <c:pt idx="86">
                  <c:v>3.55</c:v>
                </c:pt>
                <c:pt idx="87">
                  <c:v>4.74</c:v>
                </c:pt>
                <c:pt idx="88">
                  <c:v>2.91</c:v>
                </c:pt>
                <c:pt idx="89">
                  <c:v>2.59</c:v>
                </c:pt>
                <c:pt idx="90">
                  <c:v>3.4</c:v>
                </c:pt>
                <c:pt idx="91">
                  <c:v>2.9099999999999899</c:v>
                </c:pt>
                <c:pt idx="92">
                  <c:v>2.81</c:v>
                </c:pt>
                <c:pt idx="93">
                  <c:v>4.76</c:v>
                </c:pt>
                <c:pt idx="94">
                  <c:v>2.4900000000000002</c:v>
                </c:pt>
                <c:pt idx="95">
                  <c:v>3.76</c:v>
                </c:pt>
                <c:pt idx="96">
                  <c:v>2.82</c:v>
                </c:pt>
                <c:pt idx="97">
                  <c:v>4.55</c:v>
                </c:pt>
                <c:pt idx="98">
                  <c:v>3.77</c:v>
                </c:pt>
                <c:pt idx="99">
                  <c:v>3.85</c:v>
                </c:pt>
                <c:pt idx="100">
                  <c:v>5.4899999999999904</c:v>
                </c:pt>
                <c:pt idx="101">
                  <c:v>3.61</c:v>
                </c:pt>
                <c:pt idx="102">
                  <c:v>4.1399999999999997</c:v>
                </c:pt>
                <c:pt idx="103">
                  <c:v>3.74</c:v>
                </c:pt>
                <c:pt idx="104">
                  <c:v>4.24</c:v>
                </c:pt>
                <c:pt idx="105">
                  <c:v>3.05</c:v>
                </c:pt>
                <c:pt idx="106">
                  <c:v>4.8099999999999996</c:v>
                </c:pt>
                <c:pt idx="107">
                  <c:v>3.86</c:v>
                </c:pt>
                <c:pt idx="108">
                  <c:v>2.25</c:v>
                </c:pt>
                <c:pt idx="109">
                  <c:v>4.25999999999999</c:v>
                </c:pt>
                <c:pt idx="110">
                  <c:v>3.79</c:v>
                </c:pt>
                <c:pt idx="111">
                  <c:v>4.0599999999999996</c:v>
                </c:pt>
                <c:pt idx="112">
                  <c:v>4.5</c:v>
                </c:pt>
                <c:pt idx="113">
                  <c:v>2.66</c:v>
                </c:pt>
                <c:pt idx="114">
                  <c:v>2.92</c:v>
                </c:pt>
                <c:pt idx="115">
                  <c:v>1.1499999999999999</c:v>
                </c:pt>
                <c:pt idx="116">
                  <c:v>4.83</c:v>
                </c:pt>
                <c:pt idx="117">
                  <c:v>3.23</c:v>
                </c:pt>
                <c:pt idx="118">
                  <c:v>4.43</c:v>
                </c:pt>
                <c:pt idx="119">
                  <c:v>3.69</c:v>
                </c:pt>
                <c:pt idx="120">
                  <c:v>4.67</c:v>
                </c:pt>
                <c:pt idx="121">
                  <c:v>2.74</c:v>
                </c:pt>
                <c:pt idx="122">
                  <c:v>4.2799999999999896</c:v>
                </c:pt>
                <c:pt idx="123">
                  <c:v>5.0599999999999996</c:v>
                </c:pt>
                <c:pt idx="124">
                  <c:v>2.84</c:v>
                </c:pt>
                <c:pt idx="125">
                  <c:v>3.55</c:v>
                </c:pt>
                <c:pt idx="126">
                  <c:v>3.19999999999999</c:v>
                </c:pt>
                <c:pt idx="127">
                  <c:v>2.6</c:v>
                </c:pt>
                <c:pt idx="128">
                  <c:v>2.6599999999999899</c:v>
                </c:pt>
                <c:pt idx="129">
                  <c:v>3.94</c:v>
                </c:pt>
                <c:pt idx="130">
                  <c:v>3.68</c:v>
                </c:pt>
                <c:pt idx="131">
                  <c:v>3.33</c:v>
                </c:pt>
                <c:pt idx="132">
                  <c:v>2.52</c:v>
                </c:pt>
                <c:pt idx="133">
                  <c:v>3.69999999999999</c:v>
                </c:pt>
                <c:pt idx="134">
                  <c:v>3</c:v>
                </c:pt>
                <c:pt idx="135">
                  <c:v>3.42</c:v>
                </c:pt>
                <c:pt idx="136">
                  <c:v>2.93</c:v>
                </c:pt>
                <c:pt idx="137">
                  <c:v>3.29</c:v>
                </c:pt>
                <c:pt idx="138">
                  <c:v>4.4000000000000004</c:v>
                </c:pt>
                <c:pt idx="139">
                  <c:v>3.34</c:v>
                </c:pt>
                <c:pt idx="140">
                  <c:v>4.3099999999999996</c:v>
                </c:pt>
                <c:pt idx="141">
                  <c:v>2.81</c:v>
                </c:pt>
                <c:pt idx="142">
                  <c:v>4.0999999999999996</c:v>
                </c:pt>
                <c:pt idx="143">
                  <c:v>3.46999999999999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47-4C25-8F24-ECE8A68320D9}"/>
            </c:ext>
          </c:extLst>
        </c:ser>
        <c:ser>
          <c:idx val="2"/>
          <c:order val="2"/>
          <c:tx>
            <c:v>0.26 - 0.50</c:v>
          </c:tx>
          <c:marker>
            <c:symbol val="none"/>
          </c:marker>
          <c:trendline>
            <c:spPr>
              <a:ln w="38100">
                <a:solidFill>
                  <a:schemeClr val="accent3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8462465690317821E-2"/>
                  <c:y val="-2.5954689095256216E-2"/>
                </c:manualLayout>
              </c:layout>
              <c:numFmt formatCode="General" sourceLinked="0"/>
            </c:trendlineLbl>
          </c:trendline>
          <c:xVal>
            <c:numRef>
              <c:f>'[1]ACM Amounts'!$A$2:$A$145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Amounts'!$E$2:$E$145</c:f>
              <c:numCache>
                <c:formatCode>General</c:formatCode>
                <c:ptCount val="144"/>
                <c:pt idx="0">
                  <c:v>6.5199999999999898</c:v>
                </c:pt>
                <c:pt idx="1">
                  <c:v>10.61</c:v>
                </c:pt>
                <c:pt idx="2">
                  <c:v>7.35</c:v>
                </c:pt>
                <c:pt idx="3">
                  <c:v>9.02</c:v>
                </c:pt>
                <c:pt idx="4">
                  <c:v>9.27</c:v>
                </c:pt>
                <c:pt idx="5">
                  <c:v>6.9099999999999904</c:v>
                </c:pt>
                <c:pt idx="6">
                  <c:v>6.71</c:v>
                </c:pt>
                <c:pt idx="7">
                  <c:v>7.46</c:v>
                </c:pt>
                <c:pt idx="8">
                  <c:v>7.4299999999999899</c:v>
                </c:pt>
                <c:pt idx="9">
                  <c:v>6.87</c:v>
                </c:pt>
                <c:pt idx="10">
                  <c:v>7.12</c:v>
                </c:pt>
                <c:pt idx="11">
                  <c:v>9.39</c:v>
                </c:pt>
                <c:pt idx="12">
                  <c:v>6.2699999999999898</c:v>
                </c:pt>
                <c:pt idx="13">
                  <c:v>7.6</c:v>
                </c:pt>
                <c:pt idx="14">
                  <c:v>8.0499999999999901</c:v>
                </c:pt>
                <c:pt idx="15">
                  <c:v>6.8</c:v>
                </c:pt>
                <c:pt idx="16">
                  <c:v>9.69</c:v>
                </c:pt>
                <c:pt idx="17">
                  <c:v>8.6199999999999992</c:v>
                </c:pt>
                <c:pt idx="18">
                  <c:v>6.1899999999999897</c:v>
                </c:pt>
                <c:pt idx="19">
                  <c:v>7.43</c:v>
                </c:pt>
                <c:pt idx="20">
                  <c:v>8.85</c:v>
                </c:pt>
                <c:pt idx="21">
                  <c:v>8.8799999999999901</c:v>
                </c:pt>
                <c:pt idx="22">
                  <c:v>7.0799999999999903</c:v>
                </c:pt>
                <c:pt idx="23">
                  <c:v>8.9700000000000006</c:v>
                </c:pt>
                <c:pt idx="24">
                  <c:v>7.6999999999999904</c:v>
                </c:pt>
                <c:pt idx="25">
                  <c:v>7.92</c:v>
                </c:pt>
                <c:pt idx="26">
                  <c:v>5.59</c:v>
                </c:pt>
                <c:pt idx="27">
                  <c:v>6.41</c:v>
                </c:pt>
                <c:pt idx="28">
                  <c:v>9.66</c:v>
                </c:pt>
                <c:pt idx="29">
                  <c:v>7.15</c:v>
                </c:pt>
                <c:pt idx="30">
                  <c:v>9.02</c:v>
                </c:pt>
                <c:pt idx="31">
                  <c:v>11.01</c:v>
                </c:pt>
                <c:pt idx="32">
                  <c:v>5.25</c:v>
                </c:pt>
                <c:pt idx="33">
                  <c:v>11.3</c:v>
                </c:pt>
                <c:pt idx="34">
                  <c:v>5.6099999999999897</c:v>
                </c:pt>
                <c:pt idx="35">
                  <c:v>7.22</c:v>
                </c:pt>
                <c:pt idx="36">
                  <c:v>5.75</c:v>
                </c:pt>
                <c:pt idx="37">
                  <c:v>9.24</c:v>
                </c:pt>
                <c:pt idx="38">
                  <c:v>5.75</c:v>
                </c:pt>
                <c:pt idx="39">
                  <c:v>10.409999999999901</c:v>
                </c:pt>
                <c:pt idx="40">
                  <c:v>8.18</c:v>
                </c:pt>
                <c:pt idx="41">
                  <c:v>8.2099999999999902</c:v>
                </c:pt>
                <c:pt idx="42">
                  <c:v>9.5299999999999994</c:v>
                </c:pt>
                <c:pt idx="43">
                  <c:v>9.0299999999999994</c:v>
                </c:pt>
                <c:pt idx="44">
                  <c:v>8.66</c:v>
                </c:pt>
                <c:pt idx="45">
                  <c:v>11.479999999999899</c:v>
                </c:pt>
                <c:pt idx="46">
                  <c:v>7.71999999999999</c:v>
                </c:pt>
                <c:pt idx="47">
                  <c:v>4.3699999999999903</c:v>
                </c:pt>
                <c:pt idx="48">
                  <c:v>8.23</c:v>
                </c:pt>
                <c:pt idx="49">
                  <c:v>7.8299999999999903</c:v>
                </c:pt>
                <c:pt idx="50">
                  <c:v>5.9199999999999902</c:v>
                </c:pt>
                <c:pt idx="51">
                  <c:v>6.2499999999999902</c:v>
                </c:pt>
                <c:pt idx="52">
                  <c:v>5.38</c:v>
                </c:pt>
                <c:pt idx="53">
                  <c:v>6.7999999999999901</c:v>
                </c:pt>
                <c:pt idx="54">
                  <c:v>10.889999999999899</c:v>
                </c:pt>
                <c:pt idx="55">
                  <c:v>6.29</c:v>
                </c:pt>
                <c:pt idx="56">
                  <c:v>8.6299999999999901</c:v>
                </c:pt>
                <c:pt idx="57">
                  <c:v>4.58</c:v>
                </c:pt>
                <c:pt idx="58">
                  <c:v>5.93</c:v>
                </c:pt>
                <c:pt idx="59">
                  <c:v>9.07</c:v>
                </c:pt>
                <c:pt idx="60">
                  <c:v>8.02</c:v>
                </c:pt>
                <c:pt idx="61">
                  <c:v>7.32</c:v>
                </c:pt>
                <c:pt idx="62">
                  <c:v>9.4499999999999993</c:v>
                </c:pt>
                <c:pt idx="63">
                  <c:v>7.91</c:v>
                </c:pt>
                <c:pt idx="64">
                  <c:v>8.98</c:v>
                </c:pt>
                <c:pt idx="65">
                  <c:v>3.99</c:v>
                </c:pt>
                <c:pt idx="66">
                  <c:v>6.8</c:v>
                </c:pt>
                <c:pt idx="67">
                  <c:v>5.41</c:v>
                </c:pt>
                <c:pt idx="68">
                  <c:v>8.51</c:v>
                </c:pt>
                <c:pt idx="69">
                  <c:v>6.88</c:v>
                </c:pt>
                <c:pt idx="70">
                  <c:v>7.78</c:v>
                </c:pt>
                <c:pt idx="71">
                  <c:v>7.39</c:v>
                </c:pt>
                <c:pt idx="72">
                  <c:v>4.6099999999999897</c:v>
                </c:pt>
                <c:pt idx="73">
                  <c:v>9.25</c:v>
                </c:pt>
                <c:pt idx="74">
                  <c:v>9.3899999999999899</c:v>
                </c:pt>
                <c:pt idx="75">
                  <c:v>8.36</c:v>
                </c:pt>
                <c:pt idx="76">
                  <c:v>10.84</c:v>
                </c:pt>
                <c:pt idx="77">
                  <c:v>6.74</c:v>
                </c:pt>
                <c:pt idx="78">
                  <c:v>10.149999999999901</c:v>
                </c:pt>
                <c:pt idx="79">
                  <c:v>6.26</c:v>
                </c:pt>
                <c:pt idx="80">
                  <c:v>5.6499999999999897</c:v>
                </c:pt>
                <c:pt idx="81">
                  <c:v>4.28</c:v>
                </c:pt>
                <c:pt idx="82">
                  <c:v>11.3</c:v>
                </c:pt>
                <c:pt idx="83">
                  <c:v>8.06</c:v>
                </c:pt>
                <c:pt idx="84">
                  <c:v>7.81</c:v>
                </c:pt>
                <c:pt idx="85">
                  <c:v>5.13</c:v>
                </c:pt>
                <c:pt idx="86">
                  <c:v>7.3</c:v>
                </c:pt>
                <c:pt idx="87">
                  <c:v>5.42</c:v>
                </c:pt>
                <c:pt idx="88">
                  <c:v>6.6</c:v>
                </c:pt>
                <c:pt idx="89">
                  <c:v>5.29</c:v>
                </c:pt>
                <c:pt idx="90">
                  <c:v>6.4599999999999902</c:v>
                </c:pt>
                <c:pt idx="91">
                  <c:v>6.09</c:v>
                </c:pt>
                <c:pt idx="92">
                  <c:v>9.68</c:v>
                </c:pt>
                <c:pt idx="93">
                  <c:v>5.65</c:v>
                </c:pt>
                <c:pt idx="94">
                  <c:v>6.54</c:v>
                </c:pt>
                <c:pt idx="95">
                  <c:v>7.7699999999999898</c:v>
                </c:pt>
                <c:pt idx="96">
                  <c:v>10.43</c:v>
                </c:pt>
                <c:pt idx="97">
                  <c:v>2.57</c:v>
                </c:pt>
                <c:pt idx="98">
                  <c:v>4.38</c:v>
                </c:pt>
                <c:pt idx="99">
                  <c:v>9</c:v>
                </c:pt>
                <c:pt idx="100">
                  <c:v>5.35</c:v>
                </c:pt>
                <c:pt idx="101">
                  <c:v>8.43</c:v>
                </c:pt>
                <c:pt idx="102">
                  <c:v>7.75999999999999</c:v>
                </c:pt>
                <c:pt idx="103">
                  <c:v>7.5399999999999903</c:v>
                </c:pt>
                <c:pt idx="104">
                  <c:v>5.42</c:v>
                </c:pt>
                <c:pt idx="105">
                  <c:v>6.17</c:v>
                </c:pt>
                <c:pt idx="106">
                  <c:v>5.93</c:v>
                </c:pt>
                <c:pt idx="107">
                  <c:v>4.47</c:v>
                </c:pt>
                <c:pt idx="108">
                  <c:v>9.3899999999999899</c:v>
                </c:pt>
                <c:pt idx="109">
                  <c:v>6.6</c:v>
                </c:pt>
                <c:pt idx="110">
                  <c:v>9.82</c:v>
                </c:pt>
                <c:pt idx="111">
                  <c:v>5.41</c:v>
                </c:pt>
                <c:pt idx="112">
                  <c:v>4.8499999999999996</c:v>
                </c:pt>
                <c:pt idx="113">
                  <c:v>7.05</c:v>
                </c:pt>
                <c:pt idx="114">
                  <c:v>3.93</c:v>
                </c:pt>
                <c:pt idx="115">
                  <c:v>0.9</c:v>
                </c:pt>
                <c:pt idx="116">
                  <c:v>7.61</c:v>
                </c:pt>
                <c:pt idx="117">
                  <c:v>6.28</c:v>
                </c:pt>
                <c:pt idx="118">
                  <c:v>6.68</c:v>
                </c:pt>
                <c:pt idx="119">
                  <c:v>6.1899999999999897</c:v>
                </c:pt>
                <c:pt idx="120">
                  <c:v>7.45</c:v>
                </c:pt>
                <c:pt idx="121">
                  <c:v>7.43</c:v>
                </c:pt>
                <c:pt idx="122">
                  <c:v>9.44</c:v>
                </c:pt>
                <c:pt idx="123">
                  <c:v>8.94</c:v>
                </c:pt>
                <c:pt idx="124">
                  <c:v>7.41</c:v>
                </c:pt>
                <c:pt idx="125">
                  <c:v>5.01</c:v>
                </c:pt>
                <c:pt idx="126">
                  <c:v>5.6899999999999897</c:v>
                </c:pt>
                <c:pt idx="127">
                  <c:v>7.43</c:v>
                </c:pt>
                <c:pt idx="128">
                  <c:v>6.1299999999999901</c:v>
                </c:pt>
                <c:pt idx="129">
                  <c:v>7.09</c:v>
                </c:pt>
                <c:pt idx="130">
                  <c:v>7.22</c:v>
                </c:pt>
                <c:pt idx="131">
                  <c:v>2.35</c:v>
                </c:pt>
                <c:pt idx="132">
                  <c:v>5.0199999999999996</c:v>
                </c:pt>
                <c:pt idx="133">
                  <c:v>5.49</c:v>
                </c:pt>
                <c:pt idx="134">
                  <c:v>6.1799999999999899</c:v>
                </c:pt>
                <c:pt idx="135">
                  <c:v>7.17</c:v>
                </c:pt>
                <c:pt idx="136">
                  <c:v>4.34</c:v>
                </c:pt>
                <c:pt idx="137">
                  <c:v>6.43</c:v>
                </c:pt>
                <c:pt idx="138">
                  <c:v>5.69</c:v>
                </c:pt>
                <c:pt idx="139">
                  <c:v>7.32</c:v>
                </c:pt>
                <c:pt idx="140">
                  <c:v>4.5</c:v>
                </c:pt>
                <c:pt idx="141">
                  <c:v>6.56</c:v>
                </c:pt>
                <c:pt idx="142">
                  <c:v>8.9499999999999993</c:v>
                </c:pt>
                <c:pt idx="143">
                  <c:v>6.67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6847-4C25-8F24-ECE8A68320D9}"/>
            </c:ext>
          </c:extLst>
        </c:ser>
        <c:ser>
          <c:idx val="3"/>
          <c:order val="3"/>
          <c:tx>
            <c:v>0.51 - 1.00</c:v>
          </c:tx>
          <c:marker>
            <c:symbol val="none"/>
          </c:marker>
          <c:trendline>
            <c:spPr>
              <a:ln w="38100">
                <a:solidFill>
                  <a:schemeClr val="accent4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5056913272067908E-2"/>
                  <c:y val="1.7473909827148083E-4"/>
                </c:manualLayout>
              </c:layout>
              <c:numFmt formatCode="General" sourceLinked="0"/>
            </c:trendlineLbl>
          </c:trendline>
          <c:xVal>
            <c:numRef>
              <c:f>'ACM AOE'!$A$2:$A$145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'ACM AOE'!$F$2:$F$145</c:f>
              <c:numCache>
                <c:formatCode>General</c:formatCode>
                <c:ptCount val="144"/>
                <c:pt idx="0">
                  <c:v>11.99</c:v>
                </c:pt>
                <c:pt idx="1">
                  <c:v>14.0099999999999</c:v>
                </c:pt>
                <c:pt idx="2">
                  <c:v>10.46</c:v>
                </c:pt>
                <c:pt idx="3">
                  <c:v>8.93</c:v>
                </c:pt>
                <c:pt idx="4">
                  <c:v>11.08</c:v>
                </c:pt>
                <c:pt idx="5">
                  <c:v>13.549999999999899</c:v>
                </c:pt>
                <c:pt idx="6">
                  <c:v>11.049999999999899</c:v>
                </c:pt>
                <c:pt idx="7">
                  <c:v>12.7</c:v>
                </c:pt>
                <c:pt idx="8">
                  <c:v>19.319999999999901</c:v>
                </c:pt>
                <c:pt idx="9">
                  <c:v>12.55</c:v>
                </c:pt>
                <c:pt idx="10">
                  <c:v>16.3</c:v>
                </c:pt>
                <c:pt idx="11">
                  <c:v>7.43</c:v>
                </c:pt>
                <c:pt idx="12">
                  <c:v>15.8599999999999</c:v>
                </c:pt>
                <c:pt idx="13">
                  <c:v>12.08</c:v>
                </c:pt>
                <c:pt idx="14">
                  <c:v>18.599999999999898</c:v>
                </c:pt>
                <c:pt idx="15">
                  <c:v>13.11</c:v>
                </c:pt>
                <c:pt idx="16">
                  <c:v>16.68</c:v>
                </c:pt>
                <c:pt idx="17">
                  <c:v>15.96</c:v>
                </c:pt>
                <c:pt idx="18">
                  <c:v>10.76</c:v>
                </c:pt>
                <c:pt idx="19">
                  <c:v>16.89</c:v>
                </c:pt>
                <c:pt idx="20">
                  <c:v>10.329999999999901</c:v>
                </c:pt>
                <c:pt idx="21">
                  <c:v>9.4099999999999895</c:v>
                </c:pt>
                <c:pt idx="22">
                  <c:v>5.0199999999999996</c:v>
                </c:pt>
                <c:pt idx="23">
                  <c:v>8.6699999999999893</c:v>
                </c:pt>
                <c:pt idx="24">
                  <c:v>16.03</c:v>
                </c:pt>
                <c:pt idx="25">
                  <c:v>9.07</c:v>
                </c:pt>
                <c:pt idx="26">
                  <c:v>9.98</c:v>
                </c:pt>
                <c:pt idx="27">
                  <c:v>13.9599999999999</c:v>
                </c:pt>
                <c:pt idx="28">
                  <c:v>14.17</c:v>
                </c:pt>
                <c:pt idx="29">
                  <c:v>15.59</c:v>
                </c:pt>
                <c:pt idx="30">
                  <c:v>6.69</c:v>
                </c:pt>
                <c:pt idx="31">
                  <c:v>12.18</c:v>
                </c:pt>
                <c:pt idx="32">
                  <c:v>13.77</c:v>
                </c:pt>
                <c:pt idx="33">
                  <c:v>15.23</c:v>
                </c:pt>
                <c:pt idx="34">
                  <c:v>9.2099999999999902</c:v>
                </c:pt>
                <c:pt idx="35">
                  <c:v>6.27</c:v>
                </c:pt>
                <c:pt idx="36">
                  <c:v>12.57</c:v>
                </c:pt>
                <c:pt idx="37">
                  <c:v>14.639999999999899</c:v>
                </c:pt>
                <c:pt idx="38">
                  <c:v>13.84</c:v>
                </c:pt>
                <c:pt idx="39">
                  <c:v>10.32</c:v>
                </c:pt>
                <c:pt idx="40">
                  <c:v>9.16</c:v>
                </c:pt>
                <c:pt idx="41">
                  <c:v>10.9599999999999</c:v>
                </c:pt>
                <c:pt idx="42">
                  <c:v>14.5</c:v>
                </c:pt>
                <c:pt idx="43">
                  <c:v>12.16</c:v>
                </c:pt>
                <c:pt idx="44">
                  <c:v>10.6699999999999</c:v>
                </c:pt>
                <c:pt idx="45">
                  <c:v>10.19</c:v>
                </c:pt>
                <c:pt idx="46">
                  <c:v>13.97</c:v>
                </c:pt>
                <c:pt idx="47">
                  <c:v>13.61</c:v>
                </c:pt>
                <c:pt idx="48">
                  <c:v>10.199999999999999</c:v>
                </c:pt>
                <c:pt idx="49">
                  <c:v>14.67</c:v>
                </c:pt>
                <c:pt idx="50">
                  <c:v>11.32</c:v>
                </c:pt>
                <c:pt idx="51">
                  <c:v>10.87</c:v>
                </c:pt>
                <c:pt idx="52">
                  <c:v>15.649999999999901</c:v>
                </c:pt>
                <c:pt idx="53">
                  <c:v>7.21</c:v>
                </c:pt>
                <c:pt idx="54">
                  <c:v>10.3799999999999</c:v>
                </c:pt>
                <c:pt idx="55">
                  <c:v>13.42</c:v>
                </c:pt>
                <c:pt idx="56">
                  <c:v>9.0299999999999994</c:v>
                </c:pt>
                <c:pt idx="57">
                  <c:v>10.409999999999901</c:v>
                </c:pt>
                <c:pt idx="58">
                  <c:v>13.27</c:v>
                </c:pt>
                <c:pt idx="59">
                  <c:v>15.309999999999899</c:v>
                </c:pt>
                <c:pt idx="60">
                  <c:v>12.03</c:v>
                </c:pt>
                <c:pt idx="61">
                  <c:v>12.309999999999899</c:v>
                </c:pt>
                <c:pt idx="62">
                  <c:v>13.72</c:v>
                </c:pt>
                <c:pt idx="63">
                  <c:v>10.2099999999999</c:v>
                </c:pt>
                <c:pt idx="64">
                  <c:v>9.4700000000000006</c:v>
                </c:pt>
                <c:pt idx="65">
                  <c:v>15.21</c:v>
                </c:pt>
                <c:pt idx="66">
                  <c:v>14.329999999999901</c:v>
                </c:pt>
                <c:pt idx="67">
                  <c:v>7.72</c:v>
                </c:pt>
                <c:pt idx="68">
                  <c:v>16.690000000000001</c:v>
                </c:pt>
                <c:pt idx="69">
                  <c:v>9.43</c:v>
                </c:pt>
                <c:pt idx="70">
                  <c:v>11.11</c:v>
                </c:pt>
                <c:pt idx="71">
                  <c:v>12.89</c:v>
                </c:pt>
                <c:pt idx="72">
                  <c:v>14.059999999999899</c:v>
                </c:pt>
                <c:pt idx="73">
                  <c:v>15.0099999999999</c:v>
                </c:pt>
                <c:pt idx="74">
                  <c:v>18.079999999999998</c:v>
                </c:pt>
                <c:pt idx="75">
                  <c:v>10.53</c:v>
                </c:pt>
                <c:pt idx="76">
                  <c:v>8.23</c:v>
                </c:pt>
                <c:pt idx="77">
                  <c:v>13.1299999999999</c:v>
                </c:pt>
                <c:pt idx="78">
                  <c:v>14.79</c:v>
                </c:pt>
                <c:pt idx="79">
                  <c:v>14.02</c:v>
                </c:pt>
                <c:pt idx="80">
                  <c:v>10.2599999999999</c:v>
                </c:pt>
                <c:pt idx="81">
                  <c:v>10.719999999999899</c:v>
                </c:pt>
                <c:pt idx="82">
                  <c:v>14.1099999999999</c:v>
                </c:pt>
                <c:pt idx="83">
                  <c:v>15.58</c:v>
                </c:pt>
                <c:pt idx="84">
                  <c:v>14.84</c:v>
                </c:pt>
                <c:pt idx="85">
                  <c:v>9.26</c:v>
                </c:pt>
                <c:pt idx="86">
                  <c:v>9.71999999999999</c:v>
                </c:pt>
                <c:pt idx="87">
                  <c:v>12.819999999999901</c:v>
                </c:pt>
                <c:pt idx="88">
                  <c:v>11.34</c:v>
                </c:pt>
                <c:pt idx="89">
                  <c:v>9.2599999999999891</c:v>
                </c:pt>
                <c:pt idx="90">
                  <c:v>10.819999999999901</c:v>
                </c:pt>
                <c:pt idx="91">
                  <c:v>11.299999999999899</c:v>
                </c:pt>
                <c:pt idx="92">
                  <c:v>10.9599999999999</c:v>
                </c:pt>
                <c:pt idx="93">
                  <c:v>11.27</c:v>
                </c:pt>
                <c:pt idx="94">
                  <c:v>11.37</c:v>
                </c:pt>
                <c:pt idx="95">
                  <c:v>12.07</c:v>
                </c:pt>
                <c:pt idx="96">
                  <c:v>13.7699999999999</c:v>
                </c:pt>
                <c:pt idx="97">
                  <c:v>8</c:v>
                </c:pt>
                <c:pt idx="98">
                  <c:v>20.619999999999902</c:v>
                </c:pt>
                <c:pt idx="99">
                  <c:v>10.79</c:v>
                </c:pt>
                <c:pt idx="100">
                  <c:v>7.43</c:v>
                </c:pt>
                <c:pt idx="101">
                  <c:v>15.76</c:v>
                </c:pt>
                <c:pt idx="102">
                  <c:v>8.5</c:v>
                </c:pt>
                <c:pt idx="103">
                  <c:v>9.01</c:v>
                </c:pt>
                <c:pt idx="104">
                  <c:v>12.77</c:v>
                </c:pt>
                <c:pt idx="105">
                  <c:v>14.42</c:v>
                </c:pt>
                <c:pt idx="106">
                  <c:v>13.57</c:v>
                </c:pt>
                <c:pt idx="107">
                  <c:v>13.9</c:v>
                </c:pt>
                <c:pt idx="108">
                  <c:v>11.309999999999899</c:v>
                </c:pt>
                <c:pt idx="109">
                  <c:v>15.92</c:v>
                </c:pt>
                <c:pt idx="110">
                  <c:v>10.97</c:v>
                </c:pt>
                <c:pt idx="111">
                  <c:v>9.86</c:v>
                </c:pt>
                <c:pt idx="112">
                  <c:v>9.57</c:v>
                </c:pt>
                <c:pt idx="113">
                  <c:v>9.4499999999999993</c:v>
                </c:pt>
                <c:pt idx="114">
                  <c:v>8.3199999999999896</c:v>
                </c:pt>
                <c:pt idx="115">
                  <c:v>6.2099999999999902</c:v>
                </c:pt>
                <c:pt idx="116">
                  <c:v>13.87</c:v>
                </c:pt>
                <c:pt idx="117">
                  <c:v>12.8799999999999</c:v>
                </c:pt>
                <c:pt idx="118">
                  <c:v>10.45</c:v>
                </c:pt>
                <c:pt idx="119">
                  <c:v>11.09</c:v>
                </c:pt>
                <c:pt idx="120">
                  <c:v>8.08</c:v>
                </c:pt>
                <c:pt idx="121">
                  <c:v>13.38</c:v>
                </c:pt>
                <c:pt idx="122">
                  <c:v>12.3</c:v>
                </c:pt>
                <c:pt idx="123">
                  <c:v>14.8399999999999</c:v>
                </c:pt>
                <c:pt idx="124">
                  <c:v>14</c:v>
                </c:pt>
                <c:pt idx="125">
                  <c:v>12.28</c:v>
                </c:pt>
                <c:pt idx="126">
                  <c:v>8.23</c:v>
                </c:pt>
                <c:pt idx="127">
                  <c:v>6.4</c:v>
                </c:pt>
                <c:pt idx="128">
                  <c:v>12.85</c:v>
                </c:pt>
                <c:pt idx="129">
                  <c:v>14.659999999999901</c:v>
                </c:pt>
                <c:pt idx="130">
                  <c:v>6.97</c:v>
                </c:pt>
                <c:pt idx="131">
                  <c:v>14.81</c:v>
                </c:pt>
                <c:pt idx="132">
                  <c:v>8.9099999999999895</c:v>
                </c:pt>
                <c:pt idx="133">
                  <c:v>11.34</c:v>
                </c:pt>
                <c:pt idx="134">
                  <c:v>11.3799999999999</c:v>
                </c:pt>
                <c:pt idx="135">
                  <c:v>13.38</c:v>
                </c:pt>
                <c:pt idx="136">
                  <c:v>10.409999999999901</c:v>
                </c:pt>
                <c:pt idx="137">
                  <c:v>17.259999999999899</c:v>
                </c:pt>
                <c:pt idx="138">
                  <c:v>10.7099999999999</c:v>
                </c:pt>
                <c:pt idx="139">
                  <c:v>7.72</c:v>
                </c:pt>
                <c:pt idx="140">
                  <c:v>8.21999999999999</c:v>
                </c:pt>
                <c:pt idx="141">
                  <c:v>14.29</c:v>
                </c:pt>
                <c:pt idx="142">
                  <c:v>12.2799999999999</c:v>
                </c:pt>
                <c:pt idx="143">
                  <c:v>6.18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080256"/>
        <c:axId val="118082176"/>
      </c:scatterChart>
      <c:valAx>
        <c:axId val="118080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082176"/>
        <c:crosses val="autoZero"/>
        <c:crossBetween val="midCat"/>
      </c:valAx>
      <c:valAx>
        <c:axId val="11808217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Precipitation (Inches)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080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40000"/>
        <a:lumOff val="60000"/>
      </a:schemeClr>
    </a:solidFill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Atlantic City Marina:</a:t>
            </a:r>
            <a:r>
              <a:rPr lang="en-US"/>
              <a:t> Binned Precipitation as a Percentage of Annual </a:t>
            </a:r>
            <a:r>
              <a:rPr lang="en-US" sz="1800" b="1" i="0" u="none" strike="noStrike" baseline="0">
                <a:effectLst/>
              </a:rPr>
              <a:t>Rainfall </a:t>
            </a:r>
            <a:r>
              <a:rPr lang="en-US"/>
              <a:t>(Small</a:t>
            </a:r>
            <a:r>
              <a:rPr lang="en-US" baseline="0"/>
              <a:t>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0.03 - 0.10</c:v>
          </c:tx>
          <c:marker>
            <c:symbol val="none"/>
          </c:marker>
          <c:trendline>
            <c:spPr>
              <a:ln w="38100">
                <a:solidFill>
                  <a:schemeClr val="tx2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7961620232827104E-2"/>
                  <c:y val="1.2223072429425946E-2"/>
                </c:manualLayout>
              </c:layout>
              <c:numFmt formatCode="General" sourceLinked="0"/>
            </c:trendlineLbl>
          </c:trendline>
          <c:xVal>
            <c:numRef>
              <c:f>'[1]ACM Amounts'!$A$2:$A$145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Amounts'!$X$2:$X$145</c:f>
              <c:numCache>
                <c:formatCode>General</c:formatCode>
                <c:ptCount val="144"/>
                <c:pt idx="0">
                  <c:v>6.2775007333528894</c:v>
                </c:pt>
                <c:pt idx="1">
                  <c:v>4.6808510638297873</c:v>
                </c:pt>
                <c:pt idx="2">
                  <c:v>7.0853014726312846</c:v>
                </c:pt>
                <c:pt idx="3">
                  <c:v>4.3430456294667401</c:v>
                </c:pt>
                <c:pt idx="4">
                  <c:v>4.9370994540707338</c:v>
                </c:pt>
                <c:pt idx="5">
                  <c:v>5.1390058972198824</c:v>
                </c:pt>
                <c:pt idx="6">
                  <c:v>4.6702702702702705</c:v>
                </c:pt>
                <c:pt idx="7">
                  <c:v>4.4411177644710582</c:v>
                </c:pt>
                <c:pt idx="8">
                  <c:v>4.1237113402061851</c:v>
                </c:pt>
                <c:pt idx="9">
                  <c:v>5.4659498207885298</c:v>
                </c:pt>
                <c:pt idx="10">
                  <c:v>3.8175046554934817</c:v>
                </c:pt>
                <c:pt idx="11">
                  <c:v>4.3953185955786731</c:v>
                </c:pt>
                <c:pt idx="12">
                  <c:v>4.2178085248828383</c:v>
                </c:pt>
                <c:pt idx="13">
                  <c:v>4.1150092323925094</c:v>
                </c:pt>
                <c:pt idx="14">
                  <c:v>4.5990031717263253</c:v>
                </c:pt>
                <c:pt idx="15">
                  <c:v>5.7944887973216588</c:v>
                </c:pt>
                <c:pt idx="16">
                  <c:v>4.0803382663847785</c:v>
                </c:pt>
                <c:pt idx="17">
                  <c:v>4.2651831247102461</c:v>
                </c:pt>
                <c:pt idx="18">
                  <c:v>5.4735712369197742</c:v>
                </c:pt>
                <c:pt idx="19">
                  <c:v>5.0322927879440265</c:v>
                </c:pt>
                <c:pt idx="20">
                  <c:v>8.3709725986148449</c:v>
                </c:pt>
                <c:pt idx="21">
                  <c:v>7.9901443153819072</c:v>
                </c:pt>
                <c:pt idx="22">
                  <c:v>7.4976858994137627</c:v>
                </c:pt>
                <c:pt idx="23">
                  <c:v>5.8625525946704071</c:v>
                </c:pt>
                <c:pt idx="24">
                  <c:v>5.4550155118924506</c:v>
                </c:pt>
                <c:pt idx="25">
                  <c:v>5.3382663847780121</c:v>
                </c:pt>
                <c:pt idx="26">
                  <c:v>4.3370067543547819</c:v>
                </c:pt>
                <c:pt idx="27">
                  <c:v>3.495733553537022</c:v>
                </c:pt>
                <c:pt idx="28">
                  <c:v>3.2819296164491889</c:v>
                </c:pt>
                <c:pt idx="29">
                  <c:v>2.47095401734577</c:v>
                </c:pt>
                <c:pt idx="30">
                  <c:v>5.7067020570670204</c:v>
                </c:pt>
                <c:pt idx="31">
                  <c:v>4.569823844779167</c:v>
                </c:pt>
                <c:pt idx="32">
                  <c:v>4.4877049180327875</c:v>
                </c:pt>
                <c:pt idx="33">
                  <c:v>2.4515863205603625</c:v>
                </c:pt>
                <c:pt idx="34">
                  <c:v>3.5638859556494191</c:v>
                </c:pt>
                <c:pt idx="35">
                  <c:v>4.1242635243706482</c:v>
                </c:pt>
                <c:pt idx="36">
                  <c:v>5.9714535391785608</c:v>
                </c:pt>
                <c:pt idx="37">
                  <c:v>2.9857498303551231</c:v>
                </c:pt>
                <c:pt idx="38">
                  <c:v>4.1329739442946991</c:v>
                </c:pt>
                <c:pt idx="39">
                  <c:v>4.2779291553133518</c:v>
                </c:pt>
                <c:pt idx="40">
                  <c:v>4.1624874623871611</c:v>
                </c:pt>
                <c:pt idx="41">
                  <c:v>4.3551088777219427</c:v>
                </c:pt>
                <c:pt idx="42">
                  <c:v>4.6613896218117858</c:v>
                </c:pt>
                <c:pt idx="43">
                  <c:v>3.2996798818025121</c:v>
                </c:pt>
                <c:pt idx="44">
                  <c:v>5.4080955540809548</c:v>
                </c:pt>
                <c:pt idx="45">
                  <c:v>4.2273462783171523</c:v>
                </c:pt>
                <c:pt idx="46">
                  <c:v>4.0784832451499122</c:v>
                </c:pt>
                <c:pt idx="47">
                  <c:v>4.0077929306985807</c:v>
                </c:pt>
                <c:pt idx="48">
                  <c:v>5.1888004109940917</c:v>
                </c:pt>
                <c:pt idx="49">
                  <c:v>2.2053231939163496</c:v>
                </c:pt>
                <c:pt idx="50">
                  <c:v>3.523884103367267</c:v>
                </c:pt>
                <c:pt idx="51">
                  <c:v>5.4587024864246922</c:v>
                </c:pt>
                <c:pt idx="52">
                  <c:v>4.7549733139252792</c:v>
                </c:pt>
                <c:pt idx="53">
                  <c:v>4.6217465336900991</c:v>
                </c:pt>
                <c:pt idx="54">
                  <c:v>3.7672759696834599</c:v>
                </c:pt>
                <c:pt idx="55">
                  <c:v>5.9084604715672677</c:v>
                </c:pt>
                <c:pt idx="56">
                  <c:v>3.3354714560615784</c:v>
                </c:pt>
                <c:pt idx="57">
                  <c:v>5.0352790250160355</c:v>
                </c:pt>
                <c:pt idx="58">
                  <c:v>3.3920137398024908</c:v>
                </c:pt>
                <c:pt idx="59">
                  <c:v>3.0037058708796565</c:v>
                </c:pt>
                <c:pt idx="60">
                  <c:v>3.9802224969097653</c:v>
                </c:pt>
                <c:pt idx="61">
                  <c:v>3.2521802325581399</c:v>
                </c:pt>
                <c:pt idx="62">
                  <c:v>5.2609603340292281</c:v>
                </c:pt>
                <c:pt idx="63">
                  <c:v>5.2606746874262793</c:v>
                </c:pt>
                <c:pt idx="64">
                  <c:v>4.4770044770044777</c:v>
                </c:pt>
                <c:pt idx="65">
                  <c:v>3.06669526056187</c:v>
                </c:pt>
                <c:pt idx="66">
                  <c:v>4.4664413326895218</c:v>
                </c:pt>
                <c:pt idx="67">
                  <c:v>3.5558328134747343</c:v>
                </c:pt>
                <c:pt idx="68">
                  <c:v>2.3799221116399831</c:v>
                </c:pt>
                <c:pt idx="69">
                  <c:v>4.4028473503822827</c:v>
                </c:pt>
                <c:pt idx="70">
                  <c:v>2.978376172990616</c:v>
                </c:pt>
                <c:pt idx="71">
                  <c:v>3.1337799870326344</c:v>
                </c:pt>
                <c:pt idx="72">
                  <c:v>5.9303420144336361</c:v>
                </c:pt>
                <c:pt idx="73">
                  <c:v>3.9762611275964392</c:v>
                </c:pt>
                <c:pt idx="74">
                  <c:v>2.5410099710517851</c:v>
                </c:pt>
                <c:pt idx="75">
                  <c:v>4.3520309477756287</c:v>
                </c:pt>
                <c:pt idx="76">
                  <c:v>4.8621944877795116</c:v>
                </c:pt>
                <c:pt idx="77">
                  <c:v>4.5560445249805852</c:v>
                </c:pt>
                <c:pt idx="78">
                  <c:v>3.5143769968051117</c:v>
                </c:pt>
                <c:pt idx="79">
                  <c:v>1.9853335718118408</c:v>
                </c:pt>
                <c:pt idx="80">
                  <c:v>6.4079952968841862</c:v>
                </c:pt>
                <c:pt idx="81">
                  <c:v>2.9377880184331797</c:v>
                </c:pt>
                <c:pt idx="82">
                  <c:v>3.2813217072051399</c:v>
                </c:pt>
                <c:pt idx="83">
                  <c:v>5.1564310544611818</c:v>
                </c:pt>
                <c:pt idx="84">
                  <c:v>2.6648801548310259</c:v>
                </c:pt>
                <c:pt idx="85">
                  <c:v>2.9978161604129445</c:v>
                </c:pt>
                <c:pt idx="86">
                  <c:v>5.0866723500994606</c:v>
                </c:pt>
                <c:pt idx="87">
                  <c:v>3.7282941777323804</c:v>
                </c:pt>
                <c:pt idx="88">
                  <c:v>3.3491686460807601</c:v>
                </c:pt>
                <c:pt idx="89">
                  <c:v>5.4054054054054053</c:v>
                </c:pt>
                <c:pt idx="90">
                  <c:v>4.2308769963575239</c:v>
                </c:pt>
                <c:pt idx="91">
                  <c:v>4.6256239600665552</c:v>
                </c:pt>
                <c:pt idx="92">
                  <c:v>4.3889618922470435</c:v>
                </c:pt>
                <c:pt idx="93">
                  <c:v>4.9561299502015643</c:v>
                </c:pt>
                <c:pt idx="94">
                  <c:v>4.2962962962962958</c:v>
                </c:pt>
                <c:pt idx="95">
                  <c:v>2.1610555050045495</c:v>
                </c:pt>
                <c:pt idx="96">
                  <c:v>4.1443473357767129</c:v>
                </c:pt>
                <c:pt idx="97">
                  <c:v>3.8251366120218573</c:v>
                </c:pt>
                <c:pt idx="98">
                  <c:v>3.5797213622291024</c:v>
                </c:pt>
                <c:pt idx="99">
                  <c:v>3.4322580645161289</c:v>
                </c:pt>
                <c:pt idx="100">
                  <c:v>4.9090909090909092</c:v>
                </c:pt>
                <c:pt idx="101">
                  <c:v>5.1892704938581096</c:v>
                </c:pt>
                <c:pt idx="102">
                  <c:v>4.0937603169362822</c:v>
                </c:pt>
                <c:pt idx="103">
                  <c:v>6.3823614737452861</c:v>
                </c:pt>
                <c:pt idx="104">
                  <c:v>5.3017944535073402</c:v>
                </c:pt>
                <c:pt idx="105">
                  <c:v>5.1237890204520982</c:v>
                </c:pt>
                <c:pt idx="106">
                  <c:v>4.7619047619047619</c:v>
                </c:pt>
                <c:pt idx="107">
                  <c:v>5.3407601572739178</c:v>
                </c:pt>
                <c:pt idx="108">
                  <c:v>4.0625</c:v>
                </c:pt>
                <c:pt idx="109">
                  <c:v>2.8796455820822047</c:v>
                </c:pt>
                <c:pt idx="110">
                  <c:v>3.6772486772486777</c:v>
                </c:pt>
                <c:pt idx="111">
                  <c:v>6.0639070442992011</c:v>
                </c:pt>
                <c:pt idx="112">
                  <c:v>3.1624194043598406</c:v>
                </c:pt>
                <c:pt idx="113">
                  <c:v>3.0157970320727623</c:v>
                </c:pt>
                <c:pt idx="114">
                  <c:v>4.937775993576877</c:v>
                </c:pt>
                <c:pt idx="115">
                  <c:v>1.7142857142857144</c:v>
                </c:pt>
                <c:pt idx="116">
                  <c:v>3.11262026032824</c:v>
                </c:pt>
                <c:pt idx="117">
                  <c:v>3.9399624765478416</c:v>
                </c:pt>
                <c:pt idx="118">
                  <c:v>4.5345425446785805</c:v>
                </c:pt>
                <c:pt idx="119">
                  <c:v>4.1984732824427482</c:v>
                </c:pt>
                <c:pt idx="120">
                  <c:v>3.2454361054766734</c:v>
                </c:pt>
                <c:pt idx="121">
                  <c:v>2.9118136439267608</c:v>
                </c:pt>
                <c:pt idx="122">
                  <c:v>3.091661223601132</c:v>
                </c:pt>
                <c:pt idx="123">
                  <c:v>3.2136524822695036</c:v>
                </c:pt>
                <c:pt idx="124">
                  <c:v>2.7059386973180075</c:v>
                </c:pt>
                <c:pt idx="125">
                  <c:v>4.0156453715775742</c:v>
                </c:pt>
                <c:pt idx="126">
                  <c:v>2.376945729911653</c:v>
                </c:pt>
                <c:pt idx="127">
                  <c:v>5.0449745795854515</c:v>
                </c:pt>
                <c:pt idx="128">
                  <c:v>3.339517625231911</c:v>
                </c:pt>
                <c:pt idx="129">
                  <c:v>3.8435603506405931</c:v>
                </c:pt>
                <c:pt idx="130">
                  <c:v>4.3037974683544302</c:v>
                </c:pt>
                <c:pt idx="131">
                  <c:v>3.653802237953871</c:v>
                </c:pt>
                <c:pt idx="132">
                  <c:v>3.2328633932912005</c:v>
                </c:pt>
                <c:pt idx="133">
                  <c:v>4.0363975734951003</c:v>
                </c:pt>
                <c:pt idx="134">
                  <c:v>3.6096256684491976</c:v>
                </c:pt>
                <c:pt idx="135">
                  <c:v>3.1629791212215639</c:v>
                </c:pt>
                <c:pt idx="136">
                  <c:v>3.5470367922449881</c:v>
                </c:pt>
                <c:pt idx="137">
                  <c:v>3.4126627750336778</c:v>
                </c:pt>
                <c:pt idx="138">
                  <c:v>3.4606921384276852</c:v>
                </c:pt>
                <c:pt idx="139">
                  <c:v>4.6943992563327912</c:v>
                </c:pt>
                <c:pt idx="140">
                  <c:v>3.4182847896440132</c:v>
                </c:pt>
                <c:pt idx="141">
                  <c:v>3.425309229305423</c:v>
                </c:pt>
                <c:pt idx="142">
                  <c:v>3.3707865168539324</c:v>
                </c:pt>
                <c:pt idx="143">
                  <c:v>3.9253539253539258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448-4278-A631-6E02AD1A304F}"/>
            </c:ext>
          </c:extLst>
        </c:ser>
        <c:ser>
          <c:idx val="1"/>
          <c:order val="1"/>
          <c:tx>
            <c:v>0.11 - 0.25</c:v>
          </c:tx>
          <c:marker>
            <c:symbol val="none"/>
          </c:marker>
          <c:trendline>
            <c:spPr>
              <a:ln w="38100">
                <a:solidFill>
                  <a:schemeClr val="accent2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9984418174641104E-2"/>
                  <c:y val="1.2995499387028032E-2"/>
                </c:manualLayout>
              </c:layout>
              <c:numFmt formatCode="General" sourceLinked="0"/>
            </c:trendlineLbl>
          </c:trendline>
          <c:xVal>
            <c:numRef>
              <c:f>'[1]ACM Amounts'!$A$2:$A$145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Amounts'!$Y$2:$Y$145</c:f>
              <c:numCache>
                <c:formatCode>General</c:formatCode>
                <c:ptCount val="144"/>
                <c:pt idx="0">
                  <c:v>5.720152537400967</c:v>
                </c:pt>
                <c:pt idx="1">
                  <c:v>12.040050062578221</c:v>
                </c:pt>
                <c:pt idx="2">
                  <c:v>9.502639622117254</c:v>
                </c:pt>
                <c:pt idx="3">
                  <c:v>11.902144035184167</c:v>
                </c:pt>
                <c:pt idx="4">
                  <c:v>10.966057441253241</c:v>
                </c:pt>
                <c:pt idx="5">
                  <c:v>8.4245998315080026</c:v>
                </c:pt>
                <c:pt idx="6">
                  <c:v>8.9081081081081077</c:v>
                </c:pt>
                <c:pt idx="7">
                  <c:v>12.225548902195611</c:v>
                </c:pt>
                <c:pt idx="8">
                  <c:v>8.012298788207632</c:v>
                </c:pt>
                <c:pt idx="9">
                  <c:v>11.469534050179211</c:v>
                </c:pt>
                <c:pt idx="10">
                  <c:v>7.5046554934823098</c:v>
                </c:pt>
                <c:pt idx="11">
                  <c:v>8.9466840052015595</c:v>
                </c:pt>
                <c:pt idx="12">
                  <c:v>8.9265788886409059</c:v>
                </c:pt>
                <c:pt idx="13">
                  <c:v>15.747823793194382</c:v>
                </c:pt>
                <c:pt idx="14">
                  <c:v>7.3402809243316725</c:v>
                </c:pt>
                <c:pt idx="15">
                  <c:v>13.597733711048161</c:v>
                </c:pt>
                <c:pt idx="16">
                  <c:v>9.4926004228329823</c:v>
                </c:pt>
                <c:pt idx="17">
                  <c:v>10.778859527121003</c:v>
                </c:pt>
                <c:pt idx="18">
                  <c:v>11.054467400053662</c:v>
                </c:pt>
                <c:pt idx="19">
                  <c:v>11.06027987082885</c:v>
                </c:pt>
                <c:pt idx="20">
                  <c:v>11.562782294489612</c:v>
                </c:pt>
                <c:pt idx="21">
                  <c:v>9.8204857444561764</c:v>
                </c:pt>
                <c:pt idx="22">
                  <c:v>14.285714285714288</c:v>
                </c:pt>
                <c:pt idx="23">
                  <c:v>14.137447405329567</c:v>
                </c:pt>
                <c:pt idx="24">
                  <c:v>11.530506721820062</c:v>
                </c:pt>
                <c:pt idx="25">
                  <c:v>9.6194503171247359</c:v>
                </c:pt>
                <c:pt idx="26">
                  <c:v>15.143974404550303</c:v>
                </c:pt>
                <c:pt idx="27">
                  <c:v>10.707404349022848</c:v>
                </c:pt>
                <c:pt idx="28">
                  <c:v>5.8323448003163314</c:v>
                </c:pt>
                <c:pt idx="29">
                  <c:v>5.3182785141548026</c:v>
                </c:pt>
                <c:pt idx="30">
                  <c:v>14.830789648307896</c:v>
                </c:pt>
                <c:pt idx="31">
                  <c:v>8.8332907837630845</c:v>
                </c:pt>
                <c:pt idx="32">
                  <c:v>10.635245901639346</c:v>
                </c:pt>
                <c:pt idx="33">
                  <c:v>10.69221260815822</c:v>
                </c:pt>
                <c:pt idx="34">
                  <c:v>13.991552270327348</c:v>
                </c:pt>
                <c:pt idx="35">
                  <c:v>12.265666845206212</c:v>
                </c:pt>
                <c:pt idx="36">
                  <c:v>13.981939994174192</c:v>
                </c:pt>
                <c:pt idx="37">
                  <c:v>11.784664103144085</c:v>
                </c:pt>
                <c:pt idx="38">
                  <c:v>8.5354896675651375</c:v>
                </c:pt>
                <c:pt idx="39">
                  <c:v>9.6730245231607359</c:v>
                </c:pt>
                <c:pt idx="40">
                  <c:v>13.565697091273821</c:v>
                </c:pt>
                <c:pt idx="41">
                  <c:v>9.7710776102735615</c:v>
                </c:pt>
                <c:pt idx="42">
                  <c:v>9.0882439167399589</c:v>
                </c:pt>
                <c:pt idx="43">
                  <c:v>9.5296724944594935</c:v>
                </c:pt>
                <c:pt idx="44">
                  <c:v>14.432647644326474</c:v>
                </c:pt>
                <c:pt idx="45">
                  <c:v>8.2928802588996771</c:v>
                </c:pt>
                <c:pt idx="46">
                  <c:v>11.596119929453263</c:v>
                </c:pt>
                <c:pt idx="47">
                  <c:v>11.29974951294183</c:v>
                </c:pt>
                <c:pt idx="48">
                  <c:v>14.025173388132545</c:v>
                </c:pt>
                <c:pt idx="49">
                  <c:v>11.381495564005045</c:v>
                </c:pt>
                <c:pt idx="50">
                  <c:v>13.416862438005742</c:v>
                </c:pt>
                <c:pt idx="51">
                  <c:v>9.9742783652472138</c:v>
                </c:pt>
                <c:pt idx="52">
                  <c:v>8.5638039786511388</c:v>
                </c:pt>
                <c:pt idx="53">
                  <c:v>11.092191680856239</c:v>
                </c:pt>
                <c:pt idx="54">
                  <c:v>6.9772625947391882</c:v>
                </c:pt>
                <c:pt idx="55">
                  <c:v>9.7364771151178928</c:v>
                </c:pt>
                <c:pt idx="56">
                  <c:v>13.983322642719692</c:v>
                </c:pt>
                <c:pt idx="57">
                  <c:v>11.577934573444516</c:v>
                </c:pt>
                <c:pt idx="58">
                  <c:v>9.209961356805497</c:v>
                </c:pt>
                <c:pt idx="59">
                  <c:v>7.4312463428905797</c:v>
                </c:pt>
                <c:pt idx="60">
                  <c:v>8.0346106304079115</c:v>
                </c:pt>
                <c:pt idx="61">
                  <c:v>9.3204941860465116</c:v>
                </c:pt>
                <c:pt idx="62">
                  <c:v>3.5073068893527974</c:v>
                </c:pt>
                <c:pt idx="63">
                  <c:v>12.219863175277187</c:v>
                </c:pt>
                <c:pt idx="64">
                  <c:v>9.9715099715099722</c:v>
                </c:pt>
                <c:pt idx="65">
                  <c:v>10.079348059189362</c:v>
                </c:pt>
                <c:pt idx="66">
                  <c:v>12.94060840173829</c:v>
                </c:pt>
                <c:pt idx="67">
                  <c:v>8.4217092950717394</c:v>
                </c:pt>
                <c:pt idx="68">
                  <c:v>7.8321073128515799</c:v>
                </c:pt>
                <c:pt idx="69">
                  <c:v>8.7793303453730562</c:v>
                </c:pt>
                <c:pt idx="70">
                  <c:v>5.6507547939616272</c:v>
                </c:pt>
                <c:pt idx="71">
                  <c:v>13.118651393991787</c:v>
                </c:pt>
                <c:pt idx="72">
                  <c:v>14.684656416692812</c:v>
                </c:pt>
                <c:pt idx="73">
                  <c:v>10.830860534124628</c:v>
                </c:pt>
                <c:pt idx="74">
                  <c:v>5.017690575747829</c:v>
                </c:pt>
                <c:pt idx="75">
                  <c:v>12.911025145067697</c:v>
                </c:pt>
                <c:pt idx="76">
                  <c:v>14.144565782631306</c:v>
                </c:pt>
                <c:pt idx="77">
                  <c:v>10.846492363448098</c:v>
                </c:pt>
                <c:pt idx="78">
                  <c:v>6.0702875399360803</c:v>
                </c:pt>
                <c:pt idx="79">
                  <c:v>8.1380790556251128</c:v>
                </c:pt>
                <c:pt idx="80">
                  <c:v>9.935332157554349</c:v>
                </c:pt>
                <c:pt idx="81">
                  <c:v>11.52073732718894</c:v>
                </c:pt>
                <c:pt idx="82">
                  <c:v>10.417622762735199</c:v>
                </c:pt>
                <c:pt idx="83">
                  <c:v>13.209733487833139</c:v>
                </c:pt>
                <c:pt idx="84">
                  <c:v>4.9426827452731876</c:v>
                </c:pt>
                <c:pt idx="85">
                  <c:v>8.2985904308119913</c:v>
                </c:pt>
                <c:pt idx="86">
                  <c:v>10.088093208297812</c:v>
                </c:pt>
                <c:pt idx="87">
                  <c:v>12.104187946884577</c:v>
                </c:pt>
                <c:pt idx="88">
                  <c:v>6.9121140142517818</c:v>
                </c:pt>
                <c:pt idx="89">
                  <c:v>7.9545454545454533</c:v>
                </c:pt>
                <c:pt idx="90">
                  <c:v>9.5264780050434297</c:v>
                </c:pt>
                <c:pt idx="91">
                  <c:v>9.683860232945058</c:v>
                </c:pt>
                <c:pt idx="92">
                  <c:v>7.3850197109067022</c:v>
                </c:pt>
                <c:pt idx="93">
                  <c:v>11.287645245435142</c:v>
                </c:pt>
                <c:pt idx="94">
                  <c:v>7.3777777777777791</c:v>
                </c:pt>
                <c:pt idx="95">
                  <c:v>8.5532302092811641</c:v>
                </c:pt>
                <c:pt idx="96">
                  <c:v>7.9503806033267548</c:v>
                </c:pt>
                <c:pt idx="97">
                  <c:v>10.35974499089253</c:v>
                </c:pt>
                <c:pt idx="98">
                  <c:v>7.2948916408668723</c:v>
                </c:pt>
                <c:pt idx="99">
                  <c:v>9.935483870967742</c:v>
                </c:pt>
                <c:pt idx="100">
                  <c:v>16.636363636363608</c:v>
                </c:pt>
                <c:pt idx="101">
                  <c:v>9.0498871897718729</c:v>
                </c:pt>
                <c:pt idx="102">
                  <c:v>13.667877187190491</c:v>
                </c:pt>
                <c:pt idx="103">
                  <c:v>10.850014505366987</c:v>
                </c:pt>
                <c:pt idx="104">
                  <c:v>11.52800435019032</c:v>
                </c:pt>
                <c:pt idx="105">
                  <c:v>6.5662002152852521</c:v>
                </c:pt>
                <c:pt idx="106">
                  <c:v>14.873222016079158</c:v>
                </c:pt>
                <c:pt idx="107">
                  <c:v>12.647444298820446</c:v>
                </c:pt>
                <c:pt idx="108">
                  <c:v>7.03125</c:v>
                </c:pt>
                <c:pt idx="109">
                  <c:v>10.484863401427491</c:v>
                </c:pt>
                <c:pt idx="110">
                  <c:v>10.026455026455029</c:v>
                </c:pt>
                <c:pt idx="111">
                  <c:v>14.74219317356572</c:v>
                </c:pt>
                <c:pt idx="112">
                  <c:v>13.81639545594105</c:v>
                </c:pt>
                <c:pt idx="113">
                  <c:v>6.3666826232647207</c:v>
                </c:pt>
                <c:pt idx="114">
                  <c:v>11.722199919710958</c:v>
                </c:pt>
                <c:pt idx="115">
                  <c:v>5.9740259740259729</c:v>
                </c:pt>
                <c:pt idx="116">
                  <c:v>13.667232597623089</c:v>
                </c:pt>
                <c:pt idx="117">
                  <c:v>8.657196462074511</c:v>
                </c:pt>
                <c:pt idx="118">
                  <c:v>11.816484395838888</c:v>
                </c:pt>
                <c:pt idx="119">
                  <c:v>10.059978189749181</c:v>
                </c:pt>
                <c:pt idx="120">
                  <c:v>11.840770791075052</c:v>
                </c:pt>
                <c:pt idx="121">
                  <c:v>7.5984470327232394</c:v>
                </c:pt>
                <c:pt idx="122">
                  <c:v>9.3185281950794465</c:v>
                </c:pt>
                <c:pt idx="123">
                  <c:v>11.214539007092199</c:v>
                </c:pt>
                <c:pt idx="124">
                  <c:v>6.8007662835249043</c:v>
                </c:pt>
                <c:pt idx="125">
                  <c:v>9.2568448500651872</c:v>
                </c:pt>
                <c:pt idx="126">
                  <c:v>6.7311737484223606</c:v>
                </c:pt>
                <c:pt idx="127">
                  <c:v>10.168165819319515</c:v>
                </c:pt>
                <c:pt idx="128">
                  <c:v>6.1688311688311455</c:v>
                </c:pt>
                <c:pt idx="129">
                  <c:v>8.855922679253764</c:v>
                </c:pt>
                <c:pt idx="130">
                  <c:v>9.3164556962025316</c:v>
                </c:pt>
                <c:pt idx="131">
                  <c:v>7.6044759077414943</c:v>
                </c:pt>
                <c:pt idx="132">
                  <c:v>6.1254253767622755</c:v>
                </c:pt>
                <c:pt idx="133">
                  <c:v>8.6327578161455669</c:v>
                </c:pt>
                <c:pt idx="134">
                  <c:v>6.6844919786096249</c:v>
                </c:pt>
                <c:pt idx="135">
                  <c:v>5.3287628544717975</c:v>
                </c:pt>
                <c:pt idx="136">
                  <c:v>6.4551663361973999</c:v>
                </c:pt>
                <c:pt idx="137">
                  <c:v>7.3866187696452634</c:v>
                </c:pt>
                <c:pt idx="138">
                  <c:v>8.8017603520704153</c:v>
                </c:pt>
                <c:pt idx="139">
                  <c:v>7.762026493144317</c:v>
                </c:pt>
                <c:pt idx="140">
                  <c:v>8.7176375404530742</c:v>
                </c:pt>
                <c:pt idx="141">
                  <c:v>6.6841103710751666</c:v>
                </c:pt>
                <c:pt idx="142">
                  <c:v>9.4015134143545058</c:v>
                </c:pt>
                <c:pt idx="143">
                  <c:v>7.4431574431574221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448-4278-A631-6E02AD1A304F}"/>
            </c:ext>
          </c:extLst>
        </c:ser>
        <c:ser>
          <c:idx val="2"/>
          <c:order val="2"/>
          <c:tx>
            <c:v>0.26 - 0.50</c:v>
          </c:tx>
          <c:marker>
            <c:symbol val="none"/>
          </c:marker>
          <c:trendline>
            <c:spPr>
              <a:ln w="38100">
                <a:solidFill>
                  <a:schemeClr val="accent3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7961620232827104E-2"/>
                  <c:y val="-1.6127169056845952E-2"/>
                </c:manualLayout>
              </c:layout>
              <c:numFmt formatCode="General" sourceLinked="0"/>
            </c:trendlineLbl>
          </c:trendline>
          <c:xVal>
            <c:numRef>
              <c:f>'[1]ACM Amounts'!$A$2:$A$145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Amounts'!$Z$2:$Z$145</c:f>
              <c:numCache>
                <c:formatCode>General</c:formatCode>
                <c:ptCount val="144"/>
                <c:pt idx="0">
                  <c:v>19.125843355822791</c:v>
                </c:pt>
                <c:pt idx="1">
                  <c:v>26.558197747183975</c:v>
                </c:pt>
                <c:pt idx="2">
                  <c:v>20.422339538760763</c:v>
                </c:pt>
                <c:pt idx="3">
                  <c:v>24.793842770753159</c:v>
                </c:pt>
                <c:pt idx="4">
                  <c:v>22.003323047709468</c:v>
                </c:pt>
                <c:pt idx="5">
                  <c:v>14.553496208930056</c:v>
                </c:pt>
                <c:pt idx="6">
                  <c:v>14.508108108108109</c:v>
                </c:pt>
                <c:pt idx="7">
                  <c:v>18.612774451097806</c:v>
                </c:pt>
                <c:pt idx="8">
                  <c:v>13.438234762163123</c:v>
                </c:pt>
                <c:pt idx="9">
                  <c:v>15.38978494623656</c:v>
                </c:pt>
                <c:pt idx="10">
                  <c:v>13.258845437616387</c:v>
                </c:pt>
                <c:pt idx="11">
                  <c:v>24.421326397919376</c:v>
                </c:pt>
                <c:pt idx="12">
                  <c:v>13.992412407944633</c:v>
                </c:pt>
                <c:pt idx="13">
                  <c:v>20.047480875758374</c:v>
                </c:pt>
                <c:pt idx="14">
                  <c:v>18.237426370638854</c:v>
                </c:pt>
                <c:pt idx="15">
                  <c:v>17.512232809683233</c:v>
                </c:pt>
                <c:pt idx="16">
                  <c:v>20.486257928118391</c:v>
                </c:pt>
                <c:pt idx="17">
                  <c:v>19.981455725544738</c:v>
                </c:pt>
                <c:pt idx="18">
                  <c:v>16.608532331633992</c:v>
                </c:pt>
                <c:pt idx="19">
                  <c:v>19.994617868675995</c:v>
                </c:pt>
                <c:pt idx="20">
                  <c:v>26.648599819331526</c:v>
                </c:pt>
                <c:pt idx="21">
                  <c:v>31.256599788806721</c:v>
                </c:pt>
                <c:pt idx="22">
                  <c:v>21.845109534094387</c:v>
                </c:pt>
                <c:pt idx="23">
                  <c:v>25.161290322580648</c:v>
                </c:pt>
                <c:pt idx="24">
                  <c:v>19.906928645294702</c:v>
                </c:pt>
                <c:pt idx="25">
                  <c:v>20.930232558139533</c:v>
                </c:pt>
                <c:pt idx="26">
                  <c:v>19.872022751510844</c:v>
                </c:pt>
                <c:pt idx="27">
                  <c:v>17.643820533993946</c:v>
                </c:pt>
                <c:pt idx="28">
                  <c:v>19.098457888493474</c:v>
                </c:pt>
                <c:pt idx="29">
                  <c:v>11.700212731140565</c:v>
                </c:pt>
                <c:pt idx="30">
                  <c:v>29.92700729927007</c:v>
                </c:pt>
                <c:pt idx="31">
                  <c:v>28.108246106714319</c:v>
                </c:pt>
                <c:pt idx="32">
                  <c:v>10.758196721311476</c:v>
                </c:pt>
                <c:pt idx="33">
                  <c:v>23.279769262463947</c:v>
                </c:pt>
                <c:pt idx="34">
                  <c:v>14.809926082365335</c:v>
                </c:pt>
                <c:pt idx="35">
                  <c:v>19.335832886984463</c:v>
                </c:pt>
                <c:pt idx="36">
                  <c:v>16.749198951354501</c:v>
                </c:pt>
                <c:pt idx="37">
                  <c:v>20.900248812485863</c:v>
                </c:pt>
                <c:pt idx="38">
                  <c:v>12.915543575920935</c:v>
                </c:pt>
                <c:pt idx="39">
                  <c:v>28.365122615803539</c:v>
                </c:pt>
                <c:pt idx="40">
                  <c:v>20.511534603811434</c:v>
                </c:pt>
                <c:pt idx="41">
                  <c:v>22.920156337241735</c:v>
                </c:pt>
                <c:pt idx="42">
                  <c:v>27.939020815010256</c:v>
                </c:pt>
                <c:pt idx="43">
                  <c:v>22.235902487072149</c:v>
                </c:pt>
                <c:pt idx="44">
                  <c:v>28.732581287325814</c:v>
                </c:pt>
                <c:pt idx="45">
                  <c:v>23.220064724918892</c:v>
                </c:pt>
                <c:pt idx="46">
                  <c:v>17.019400352733662</c:v>
                </c:pt>
                <c:pt idx="47">
                  <c:v>12.162538268856082</c:v>
                </c:pt>
                <c:pt idx="48">
                  <c:v>21.140508605188803</c:v>
                </c:pt>
                <c:pt idx="49">
                  <c:v>19.847908745247121</c:v>
                </c:pt>
                <c:pt idx="50">
                  <c:v>15.452884364395691</c:v>
                </c:pt>
                <c:pt idx="51">
                  <c:v>17.862246356101714</c:v>
                </c:pt>
                <c:pt idx="52">
                  <c:v>13.051916545366327</c:v>
                </c:pt>
                <c:pt idx="53">
                  <c:v>16.540987594259278</c:v>
                </c:pt>
                <c:pt idx="54">
                  <c:v>24.275523851983728</c:v>
                </c:pt>
                <c:pt idx="55">
                  <c:v>17.447988904299585</c:v>
                </c:pt>
                <c:pt idx="56">
                  <c:v>27.677998717126336</c:v>
                </c:pt>
                <c:pt idx="57">
                  <c:v>14.68890314304041</c:v>
                </c:pt>
                <c:pt idx="58">
                  <c:v>12.730785744954916</c:v>
                </c:pt>
                <c:pt idx="59">
                  <c:v>17.690657304466551</c:v>
                </c:pt>
                <c:pt idx="60">
                  <c:v>19.826946847960443</c:v>
                </c:pt>
                <c:pt idx="61">
                  <c:v>13.299418604651164</c:v>
                </c:pt>
                <c:pt idx="62">
                  <c:v>19.7286012526096</c:v>
                </c:pt>
                <c:pt idx="63">
                  <c:v>18.660061335220572</c:v>
                </c:pt>
                <c:pt idx="64">
                  <c:v>18.274318274318276</c:v>
                </c:pt>
                <c:pt idx="65">
                  <c:v>8.5567231396096926</c:v>
                </c:pt>
                <c:pt idx="66">
                  <c:v>16.417189763399325</c:v>
                </c:pt>
                <c:pt idx="67">
                  <c:v>16.874610106051151</c:v>
                </c:pt>
                <c:pt idx="68">
                  <c:v>18.411942881869319</c:v>
                </c:pt>
                <c:pt idx="69">
                  <c:v>18.138676509359346</c:v>
                </c:pt>
                <c:pt idx="70">
                  <c:v>15.871073031415747</c:v>
                </c:pt>
                <c:pt idx="71">
                  <c:v>15.971471795980117</c:v>
                </c:pt>
                <c:pt idx="72">
                  <c:v>14.465014119861907</c:v>
                </c:pt>
                <c:pt idx="73">
                  <c:v>27.448071216617208</c:v>
                </c:pt>
                <c:pt idx="74">
                  <c:v>15.101318752010275</c:v>
                </c:pt>
                <c:pt idx="75">
                  <c:v>20.212765957446805</c:v>
                </c:pt>
                <c:pt idx="76">
                  <c:v>28.185127405096207</c:v>
                </c:pt>
                <c:pt idx="77">
                  <c:v>17.447579601346103</c:v>
                </c:pt>
                <c:pt idx="78">
                  <c:v>21.61874334398275</c:v>
                </c:pt>
                <c:pt idx="79">
                  <c:v>11.196565909497407</c:v>
                </c:pt>
                <c:pt idx="80">
                  <c:v>16.607877718988799</c:v>
                </c:pt>
                <c:pt idx="81">
                  <c:v>12.327188940092167</c:v>
                </c:pt>
                <c:pt idx="82">
                  <c:v>25.929325378614042</c:v>
                </c:pt>
                <c:pt idx="83">
                  <c:v>23.348783314020856</c:v>
                </c:pt>
                <c:pt idx="84">
                  <c:v>11.627214530296262</c:v>
                </c:pt>
                <c:pt idx="85">
                  <c:v>10.18463371054199</c:v>
                </c:pt>
                <c:pt idx="86">
                  <c:v>20.744529695936347</c:v>
                </c:pt>
                <c:pt idx="87">
                  <c:v>13.840653728294178</c:v>
                </c:pt>
                <c:pt idx="88">
                  <c:v>15.676959619952493</c:v>
                </c:pt>
                <c:pt idx="89">
                  <c:v>16.246928746928745</c:v>
                </c:pt>
                <c:pt idx="90">
                  <c:v>18.10030820958249</c:v>
                </c:pt>
                <c:pt idx="91">
                  <c:v>20.266222961730449</c:v>
                </c:pt>
                <c:pt idx="92">
                  <c:v>25.440210249671484</c:v>
                </c:pt>
                <c:pt idx="93">
                  <c:v>13.398150343846337</c:v>
                </c:pt>
                <c:pt idx="94">
                  <c:v>19.377777777777776</c:v>
                </c:pt>
                <c:pt idx="95">
                  <c:v>17.675159235668765</c:v>
                </c:pt>
                <c:pt idx="96">
                  <c:v>29.405131096701435</c:v>
                </c:pt>
                <c:pt idx="97">
                  <c:v>5.8515482695810555</c:v>
                </c:pt>
                <c:pt idx="98">
                  <c:v>8.4752321981424146</c:v>
                </c:pt>
                <c:pt idx="99">
                  <c:v>23.225806451612904</c:v>
                </c:pt>
                <c:pt idx="100">
                  <c:v>16.212121212121211</c:v>
                </c:pt>
                <c:pt idx="101">
                  <c:v>21.133116069190272</c:v>
                </c:pt>
                <c:pt idx="102">
                  <c:v>25.619016176956062</c:v>
                </c:pt>
                <c:pt idx="103">
                  <c:v>21.874093414563362</c:v>
                </c:pt>
                <c:pt idx="104">
                  <c:v>14.73626971179989</c:v>
                </c:pt>
                <c:pt idx="105">
                  <c:v>13.283100107642626</c:v>
                </c:pt>
                <c:pt idx="106">
                  <c:v>18.336425479282621</c:v>
                </c:pt>
                <c:pt idx="107">
                  <c:v>14.64613368283093</c:v>
                </c:pt>
                <c:pt idx="108">
                  <c:v>29.343749999999968</c:v>
                </c:pt>
                <c:pt idx="109">
                  <c:v>16.244154565591927</c:v>
                </c:pt>
                <c:pt idx="110">
                  <c:v>25.978835978835978</c:v>
                </c:pt>
                <c:pt idx="111">
                  <c:v>19.64415395787945</c:v>
                </c:pt>
                <c:pt idx="112">
                  <c:v>14.891003991403132</c:v>
                </c:pt>
                <c:pt idx="113">
                  <c:v>16.874102441359501</c:v>
                </c:pt>
                <c:pt idx="114">
                  <c:v>15.776796467282217</c:v>
                </c:pt>
                <c:pt idx="115">
                  <c:v>4.6753246753246751</c:v>
                </c:pt>
                <c:pt idx="116">
                  <c:v>21.533672891907184</c:v>
                </c:pt>
                <c:pt idx="117">
                  <c:v>16.831948539265611</c:v>
                </c:pt>
                <c:pt idx="118">
                  <c:v>17.818084822619362</c:v>
                </c:pt>
                <c:pt idx="119">
                  <c:v>16.875681570338031</c:v>
                </c:pt>
                <c:pt idx="120">
                  <c:v>18.889452332657203</c:v>
                </c:pt>
                <c:pt idx="121">
                  <c:v>20.604547975596226</c:v>
                </c:pt>
                <c:pt idx="122">
                  <c:v>20.553015458306117</c:v>
                </c:pt>
                <c:pt idx="123">
                  <c:v>19.813829787234042</c:v>
                </c:pt>
                <c:pt idx="124">
                  <c:v>17.744252873563219</c:v>
                </c:pt>
                <c:pt idx="125">
                  <c:v>13.063885267275097</c:v>
                </c:pt>
                <c:pt idx="126">
                  <c:v>11.968868321413526</c:v>
                </c:pt>
                <c:pt idx="127">
                  <c:v>29.057489245209229</c:v>
                </c:pt>
                <c:pt idx="128">
                  <c:v>14.216141001855265</c:v>
                </c:pt>
                <c:pt idx="129">
                  <c:v>15.936165430433805</c:v>
                </c:pt>
                <c:pt idx="130">
                  <c:v>18.278481012658226</c:v>
                </c:pt>
                <c:pt idx="131">
                  <c:v>5.3665220369947484</c:v>
                </c:pt>
                <c:pt idx="132">
                  <c:v>12.20223626640739</c:v>
                </c:pt>
                <c:pt idx="133">
                  <c:v>12.809146056929539</c:v>
                </c:pt>
                <c:pt idx="134">
                  <c:v>13.770053475935807</c:v>
                </c:pt>
                <c:pt idx="135">
                  <c:v>11.171704580866312</c:v>
                </c:pt>
                <c:pt idx="136">
                  <c:v>9.5615774399647488</c:v>
                </c:pt>
                <c:pt idx="137">
                  <c:v>14.43646160754378</c:v>
                </c:pt>
                <c:pt idx="138">
                  <c:v>11.382276455291059</c:v>
                </c:pt>
                <c:pt idx="139">
                  <c:v>17.011387404136649</c:v>
                </c:pt>
                <c:pt idx="140">
                  <c:v>9.1019417475728162</c:v>
                </c:pt>
                <c:pt idx="141">
                  <c:v>15.604186489058039</c:v>
                </c:pt>
                <c:pt idx="142">
                  <c:v>20.522815867920201</c:v>
                </c:pt>
                <c:pt idx="143">
                  <c:v>14.307164307164308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448-4278-A631-6E02AD1A304F}"/>
            </c:ext>
          </c:extLst>
        </c:ser>
        <c:ser>
          <c:idx val="3"/>
          <c:order val="3"/>
          <c:tx>
            <c:v>0.51 - 1.00</c:v>
          </c:tx>
          <c:marker>
            <c:symbol val="none"/>
          </c:marker>
          <c:trendline>
            <c:spPr>
              <a:ln w="38100">
                <a:solidFill>
                  <a:schemeClr val="accent4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3564082853759376E-2"/>
                  <c:y val="1.7535276742444813E-2"/>
                </c:manualLayout>
              </c:layout>
              <c:numFmt formatCode="General" sourceLinked="0"/>
            </c:trendlineLbl>
          </c:trendline>
          <c:xVal>
            <c:numRef>
              <c:f>'[1]ACM Amounts'!$A$2:$A$145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Amounts'!$AA$2:$AA$145</c:f>
              <c:numCache>
                <c:formatCode>General</c:formatCode>
                <c:ptCount val="144"/>
                <c:pt idx="0">
                  <c:v>35.171604576122029</c:v>
                </c:pt>
                <c:pt idx="1">
                  <c:v>35.068836045056067</c:v>
                </c:pt>
                <c:pt idx="2">
                  <c:v>29.063628785773826</c:v>
                </c:pt>
                <c:pt idx="3">
                  <c:v>24.546454095656951</c:v>
                </c:pt>
                <c:pt idx="4">
                  <c:v>26.299549014953715</c:v>
                </c:pt>
                <c:pt idx="5">
                  <c:v>28.538331929233152</c:v>
                </c:pt>
                <c:pt idx="6">
                  <c:v>23.891891891891675</c:v>
                </c:pt>
                <c:pt idx="7">
                  <c:v>31.686626746506985</c:v>
                </c:pt>
                <c:pt idx="8">
                  <c:v>34.943027672273288</c:v>
                </c:pt>
                <c:pt idx="9">
                  <c:v>28.113799283154123</c:v>
                </c:pt>
                <c:pt idx="10">
                  <c:v>30.353817504655495</c:v>
                </c:pt>
                <c:pt idx="11">
                  <c:v>19.323797139141739</c:v>
                </c:pt>
                <c:pt idx="12">
                  <c:v>35.393885293461061</c:v>
                </c:pt>
                <c:pt idx="13">
                  <c:v>31.864943286731734</c:v>
                </c:pt>
                <c:pt idx="14">
                  <c:v>42.138649750792702</c:v>
                </c:pt>
                <c:pt idx="15">
                  <c:v>33.762554725727526</c:v>
                </c:pt>
                <c:pt idx="16">
                  <c:v>35.264270613107826</c:v>
                </c:pt>
                <c:pt idx="17">
                  <c:v>36.995827538247568</c:v>
                </c:pt>
                <c:pt idx="18">
                  <c:v>28.870405151596458</c:v>
                </c:pt>
                <c:pt idx="19">
                  <c:v>45.45209903121637</c:v>
                </c:pt>
                <c:pt idx="20">
                  <c:v>31.105088828665767</c:v>
                </c:pt>
                <c:pt idx="21">
                  <c:v>33.122140091517032</c:v>
                </c:pt>
                <c:pt idx="22">
                  <c:v>15.48904659055847</c:v>
                </c:pt>
                <c:pt idx="23">
                  <c:v>24.319775596072901</c:v>
                </c:pt>
                <c:pt idx="24">
                  <c:v>41.44260599793175</c:v>
                </c:pt>
                <c:pt idx="25">
                  <c:v>23.969344608879492</c:v>
                </c:pt>
                <c:pt idx="26">
                  <c:v>35.478137220049774</c:v>
                </c:pt>
                <c:pt idx="27">
                  <c:v>38.42554362785549</c:v>
                </c:pt>
                <c:pt idx="28">
                  <c:v>28.015025701858441</c:v>
                </c:pt>
                <c:pt idx="29">
                  <c:v>25.511372934053345</c:v>
                </c:pt>
                <c:pt idx="30">
                  <c:v>22.196416721964169</c:v>
                </c:pt>
                <c:pt idx="31">
                  <c:v>31.095225938218025</c:v>
                </c:pt>
                <c:pt idx="32">
                  <c:v>28.217213114754099</c:v>
                </c:pt>
                <c:pt idx="33">
                  <c:v>31.376184590028842</c:v>
                </c:pt>
                <c:pt idx="34">
                  <c:v>24.31362196409712</c:v>
                </c:pt>
                <c:pt idx="35">
                  <c:v>16.79164434922335</c:v>
                </c:pt>
                <c:pt idx="36">
                  <c:v>36.615205359743669</c:v>
                </c:pt>
                <c:pt idx="37">
                  <c:v>33.114679936665688</c:v>
                </c:pt>
                <c:pt idx="38">
                  <c:v>31.08715184186882</c:v>
                </c:pt>
                <c:pt idx="39">
                  <c:v>28.119891008174385</c:v>
                </c:pt>
                <c:pt idx="40">
                  <c:v>22.968906720160483</c:v>
                </c:pt>
                <c:pt idx="41">
                  <c:v>30.597431602456449</c:v>
                </c:pt>
                <c:pt idx="42">
                  <c:v>42.509527997654644</c:v>
                </c:pt>
                <c:pt idx="43">
                  <c:v>29.943363703521303</c:v>
                </c:pt>
                <c:pt idx="44">
                  <c:v>35.40145985401427</c:v>
                </c:pt>
                <c:pt idx="45">
                  <c:v>20.610841423948219</c:v>
                </c:pt>
                <c:pt idx="46">
                  <c:v>30.798059964726633</c:v>
                </c:pt>
                <c:pt idx="47">
                  <c:v>37.879209574172002</c:v>
                </c:pt>
                <c:pt idx="48">
                  <c:v>26.200873362445414</c:v>
                </c:pt>
                <c:pt idx="49">
                  <c:v>37.186311787072242</c:v>
                </c:pt>
                <c:pt idx="50">
                  <c:v>29.548420777864788</c:v>
                </c:pt>
                <c:pt idx="51">
                  <c:v>31.066018862532147</c:v>
                </c:pt>
                <c:pt idx="52">
                  <c:v>37.967006307617424</c:v>
                </c:pt>
                <c:pt idx="53">
                  <c:v>17.538311846266115</c:v>
                </c:pt>
                <c:pt idx="54">
                  <c:v>23.138653588943157</c:v>
                </c:pt>
                <c:pt idx="55">
                  <c:v>37.22607489597781</c:v>
                </c:pt>
                <c:pt idx="56">
                  <c:v>28.960872354073118</c:v>
                </c:pt>
                <c:pt idx="57">
                  <c:v>33.386786401539133</c:v>
                </c:pt>
                <c:pt idx="58">
                  <c:v>28.488621726062689</c:v>
                </c:pt>
                <c:pt idx="59">
                  <c:v>29.861517456602105</c:v>
                </c:pt>
                <c:pt idx="60">
                  <c:v>29.740420271940664</c:v>
                </c:pt>
                <c:pt idx="61">
                  <c:v>22.365552325581213</c:v>
                </c:pt>
                <c:pt idx="62">
                  <c:v>28.643006263048022</c:v>
                </c:pt>
                <c:pt idx="63">
                  <c:v>24.085869308799008</c:v>
                </c:pt>
                <c:pt idx="64">
                  <c:v>19.271469271469272</c:v>
                </c:pt>
                <c:pt idx="65">
                  <c:v>32.618485953248985</c:v>
                </c:pt>
                <c:pt idx="66">
                  <c:v>34.596813133751567</c:v>
                </c:pt>
                <c:pt idx="67">
                  <c:v>24.07985028072364</c:v>
                </c:pt>
                <c:pt idx="68">
                  <c:v>36.109909130246649</c:v>
                </c:pt>
                <c:pt idx="69">
                  <c:v>24.861587134194568</c:v>
                </c:pt>
                <c:pt idx="70">
                  <c:v>22.664218686250507</c:v>
                </c:pt>
                <c:pt idx="71">
                  <c:v>27.858223470931488</c:v>
                </c:pt>
                <c:pt idx="72">
                  <c:v>44.116724192029807</c:v>
                </c:pt>
                <c:pt idx="73">
                  <c:v>44.540059347180708</c:v>
                </c:pt>
                <c:pt idx="74">
                  <c:v>29.07687359279511</c:v>
                </c:pt>
                <c:pt idx="75">
                  <c:v>25.459381044487429</c:v>
                </c:pt>
                <c:pt idx="76">
                  <c:v>21.398855954238169</c:v>
                </c:pt>
                <c:pt idx="77">
                  <c:v>33.989127621019669</c:v>
                </c:pt>
                <c:pt idx="78">
                  <c:v>31.501597444089452</c:v>
                </c:pt>
                <c:pt idx="79">
                  <c:v>25.076015024145949</c:v>
                </c:pt>
                <c:pt idx="80">
                  <c:v>30.158730158729863</c:v>
                </c:pt>
                <c:pt idx="81">
                  <c:v>30.875576036866072</c:v>
                </c:pt>
                <c:pt idx="82">
                  <c:v>32.377237264800144</c:v>
                </c:pt>
                <c:pt idx="83">
                  <c:v>45.133256083429892</c:v>
                </c:pt>
                <c:pt idx="84">
                  <c:v>22.093196367425932</c:v>
                </c:pt>
                <c:pt idx="85">
                  <c:v>18.383958705578717</c:v>
                </c:pt>
                <c:pt idx="86">
                  <c:v>27.621483375959055</c:v>
                </c:pt>
                <c:pt idx="87">
                  <c:v>32.737487231869004</c:v>
                </c:pt>
                <c:pt idx="88">
                  <c:v>26.935866983372918</c:v>
                </c:pt>
                <c:pt idx="89">
                  <c:v>28.439803439803406</c:v>
                </c:pt>
                <c:pt idx="90">
                  <c:v>30.316615298402638</c:v>
                </c:pt>
                <c:pt idx="91">
                  <c:v>37.603993344425625</c:v>
                </c:pt>
                <c:pt idx="92">
                  <c:v>28.804204993429437</c:v>
                </c:pt>
                <c:pt idx="93">
                  <c:v>26.725160066397912</c:v>
                </c:pt>
                <c:pt idx="94">
                  <c:v>33.688888888888883</c:v>
                </c:pt>
                <c:pt idx="95">
                  <c:v>27.456778889899908</c:v>
                </c:pt>
                <c:pt idx="96">
                  <c:v>38.82153932901015</c:v>
                </c:pt>
                <c:pt idx="97">
                  <c:v>18.214936247723131</c:v>
                </c:pt>
                <c:pt idx="98">
                  <c:v>39.899380804953374</c:v>
                </c:pt>
                <c:pt idx="99">
                  <c:v>27.845161290322579</c:v>
                </c:pt>
                <c:pt idx="100">
                  <c:v>22.515151515151512</c:v>
                </c:pt>
                <c:pt idx="101">
                  <c:v>39.508648784156428</c:v>
                </c:pt>
                <c:pt idx="102">
                  <c:v>28.062066688676129</c:v>
                </c:pt>
                <c:pt idx="103">
                  <c:v>26.138671308384104</c:v>
                </c:pt>
                <c:pt idx="104">
                  <c:v>34.719956498096785</c:v>
                </c:pt>
                <c:pt idx="105">
                  <c:v>31.044133476856832</c:v>
                </c:pt>
                <c:pt idx="106">
                  <c:v>41.960420531849103</c:v>
                </c:pt>
                <c:pt idx="107">
                  <c:v>45.543905635648755</c:v>
                </c:pt>
                <c:pt idx="108">
                  <c:v>35.343749999999687</c:v>
                </c:pt>
                <c:pt idx="109">
                  <c:v>39.182869800639921</c:v>
                </c:pt>
                <c:pt idx="110">
                  <c:v>29.021164021164026</c:v>
                </c:pt>
                <c:pt idx="111">
                  <c:v>35.802469135802468</c:v>
                </c:pt>
                <c:pt idx="112">
                  <c:v>29.382867669634631</c:v>
                </c:pt>
                <c:pt idx="113">
                  <c:v>22.618477740545714</c:v>
                </c:pt>
                <c:pt idx="114">
                  <c:v>33.400240867121596</c:v>
                </c:pt>
                <c:pt idx="115">
                  <c:v>32.259740259740212</c:v>
                </c:pt>
                <c:pt idx="116">
                  <c:v>39.247311827956985</c:v>
                </c:pt>
                <c:pt idx="117">
                  <c:v>34.521575984990349</c:v>
                </c:pt>
                <c:pt idx="118">
                  <c:v>27.874099759935977</c:v>
                </c:pt>
                <c:pt idx="119">
                  <c:v>30.234460196292257</c:v>
                </c:pt>
                <c:pt idx="120">
                  <c:v>20.486815415821503</c:v>
                </c:pt>
                <c:pt idx="121">
                  <c:v>37.104825291181363</c:v>
                </c:pt>
                <c:pt idx="122">
                  <c:v>26.779882429784458</c:v>
                </c:pt>
                <c:pt idx="123">
                  <c:v>32.890070921985597</c:v>
                </c:pt>
                <c:pt idx="124">
                  <c:v>33.524904214559385</c:v>
                </c:pt>
                <c:pt idx="125">
                  <c:v>32.020860495436764</c:v>
                </c:pt>
                <c:pt idx="126">
                  <c:v>17.311737484223812</c:v>
                </c:pt>
                <c:pt idx="127">
                  <c:v>25.029331247555731</c:v>
                </c:pt>
                <c:pt idx="128">
                  <c:v>29.800556586270872</c:v>
                </c:pt>
                <c:pt idx="129">
                  <c:v>32.951224994380532</c:v>
                </c:pt>
                <c:pt idx="130">
                  <c:v>17.645569620253163</c:v>
                </c:pt>
                <c:pt idx="131">
                  <c:v>33.820506965060524</c:v>
                </c:pt>
                <c:pt idx="132">
                  <c:v>21.657754010695161</c:v>
                </c:pt>
                <c:pt idx="133">
                  <c:v>26.458236117592161</c:v>
                </c:pt>
                <c:pt idx="134">
                  <c:v>25.356506238858955</c:v>
                </c:pt>
                <c:pt idx="135">
                  <c:v>20.84761607977563</c:v>
                </c:pt>
                <c:pt idx="136">
                  <c:v>22.934567085260852</c:v>
                </c:pt>
                <c:pt idx="137">
                  <c:v>38.751683879658508</c:v>
                </c:pt>
                <c:pt idx="138">
                  <c:v>21.424284856971195</c:v>
                </c:pt>
                <c:pt idx="139">
                  <c:v>17.940971415291656</c:v>
                </c:pt>
                <c:pt idx="140">
                  <c:v>16.62621359223299</c:v>
                </c:pt>
                <c:pt idx="141">
                  <c:v>33.991436726926736</c:v>
                </c:pt>
                <c:pt idx="142">
                  <c:v>28.158679202017655</c:v>
                </c:pt>
                <c:pt idx="143">
                  <c:v>13.256113256113256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4448-4278-A631-6E02AD1A3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04672"/>
        <c:axId val="118223232"/>
      </c:scatterChart>
      <c:valAx>
        <c:axId val="118204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223232"/>
        <c:crosses val="autoZero"/>
        <c:crossBetween val="midCat"/>
      </c:valAx>
      <c:valAx>
        <c:axId val="118223232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</a:t>
                </a:r>
              </a:p>
            </c:rich>
          </c:tx>
          <c:overlay val="0"/>
        </c:title>
        <c:numFmt formatCode="General\%" sourceLinked="0"/>
        <c:majorTickMark val="out"/>
        <c:minorTickMark val="none"/>
        <c:tickLblPos val="nextTo"/>
        <c:crossAx val="118204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40000"/>
        <a:lumOff val="60000"/>
      </a:schemeClr>
    </a:solidFill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Atlantic City Marina:</a:t>
            </a:r>
            <a:r>
              <a:rPr lang="en-US"/>
              <a:t> Binned Precipitation as a Percentage of Annual </a:t>
            </a:r>
            <a:r>
              <a:rPr lang="en-US" sz="1800" b="1" i="0" u="none" strike="noStrike" baseline="0">
                <a:effectLst/>
              </a:rPr>
              <a:t>Rainfall </a:t>
            </a:r>
            <a:r>
              <a:rPr lang="en-US"/>
              <a:t>(Large)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1.01 - 2.00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5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6527990963154916E-2"/>
                  <c:y val="1.840247562491892E-2"/>
                </c:manualLayout>
              </c:layout>
              <c:numFmt formatCode="General" sourceLinked="0"/>
            </c:trendlineLbl>
          </c:trendline>
          <c:xVal>
            <c:numRef>
              <c:f>'[1]ACM Amounts'!$U$2:$U$145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Amounts'!$AK$2:$AK$145</c:f>
              <c:numCache>
                <c:formatCode>General</c:formatCode>
                <c:ptCount val="144"/>
                <c:pt idx="0">
                  <c:v>33.05954825462009</c:v>
                </c:pt>
                <c:pt idx="1">
                  <c:v>12.966207759699625</c:v>
                </c:pt>
                <c:pt idx="2">
                  <c:v>8.7246457349263675</c:v>
                </c:pt>
                <c:pt idx="3">
                  <c:v>19.323804288070342</c:v>
                </c:pt>
                <c:pt idx="4">
                  <c:v>23.902207453121054</c:v>
                </c:pt>
                <c:pt idx="5">
                  <c:v>19.355518112889641</c:v>
                </c:pt>
                <c:pt idx="6">
                  <c:v>33.837837837837839</c:v>
                </c:pt>
                <c:pt idx="7">
                  <c:v>26.447105788423155</c:v>
                </c:pt>
                <c:pt idx="8">
                  <c:v>11.376379092060048</c:v>
                </c:pt>
                <c:pt idx="9">
                  <c:v>25.985663082437274</c:v>
                </c:pt>
                <c:pt idx="10">
                  <c:v>36.46182495344506</c:v>
                </c:pt>
                <c:pt idx="11">
                  <c:v>32.613784135240543</c:v>
                </c:pt>
                <c:pt idx="12">
                  <c:v>17.674626199509039</c:v>
                </c:pt>
                <c:pt idx="13">
                  <c:v>26.773938274861518</c:v>
                </c:pt>
                <c:pt idx="14">
                  <c:v>20.434979610330764</c:v>
                </c:pt>
                <c:pt idx="15">
                  <c:v>22.688642801957251</c:v>
                </c:pt>
                <c:pt idx="16">
                  <c:v>19.788583509513721</c:v>
                </c:pt>
                <c:pt idx="17">
                  <c:v>27.260083449234813</c:v>
                </c:pt>
                <c:pt idx="18">
                  <c:v>22.91387174671317</c:v>
                </c:pt>
                <c:pt idx="19">
                  <c:v>17.6264800861141</c:v>
                </c:pt>
                <c:pt idx="20">
                  <c:v>14.905149051490515</c:v>
                </c:pt>
                <c:pt idx="21">
                  <c:v>8.5885251671946499</c:v>
                </c:pt>
                <c:pt idx="22">
                  <c:v>23.202715211354519</c:v>
                </c:pt>
                <c:pt idx="23">
                  <c:v>20.168302945301544</c:v>
                </c:pt>
                <c:pt idx="24">
                  <c:v>21.225439503619441</c:v>
                </c:pt>
                <c:pt idx="25">
                  <c:v>8.8266384778012679</c:v>
                </c:pt>
                <c:pt idx="26">
                  <c:v>24.102381798791292</c:v>
                </c:pt>
                <c:pt idx="27">
                  <c:v>20.20368841178087</c:v>
                </c:pt>
                <c:pt idx="28">
                  <c:v>35.01383946223784</c:v>
                </c:pt>
                <c:pt idx="29">
                  <c:v>34.462444771723121</c:v>
                </c:pt>
                <c:pt idx="30">
                  <c:v>18.115461181154611</c:v>
                </c:pt>
                <c:pt idx="31">
                  <c:v>8.6290528465662479</c:v>
                </c:pt>
                <c:pt idx="32">
                  <c:v>21.700819672131125</c:v>
                </c:pt>
                <c:pt idx="33">
                  <c:v>19.509682735887928</c:v>
                </c:pt>
                <c:pt idx="34">
                  <c:v>28.247096092925023</c:v>
                </c:pt>
                <c:pt idx="35">
                  <c:v>28.253883235136581</c:v>
                </c:pt>
                <c:pt idx="36">
                  <c:v>26.099621322458468</c:v>
                </c:pt>
                <c:pt idx="37">
                  <c:v>24.97172585387921</c:v>
                </c:pt>
                <c:pt idx="38">
                  <c:v>32.367475292003569</c:v>
                </c:pt>
                <c:pt idx="39">
                  <c:v>28.828337874659397</c:v>
                </c:pt>
                <c:pt idx="40">
                  <c:v>24.999999999999947</c:v>
                </c:pt>
                <c:pt idx="41">
                  <c:v>31.602456728084867</c:v>
                </c:pt>
                <c:pt idx="42">
                  <c:v>14.599824098504838</c:v>
                </c:pt>
                <c:pt idx="43">
                  <c:v>34.572765328736764</c:v>
                </c:pt>
                <c:pt idx="44">
                  <c:v>15.228931652289315</c:v>
                </c:pt>
                <c:pt idx="45">
                  <c:v>20.368122977346278</c:v>
                </c:pt>
                <c:pt idx="46">
                  <c:v>24.91181657848324</c:v>
                </c:pt>
                <c:pt idx="47">
                  <c:v>33.620929585304758</c:v>
                </c:pt>
                <c:pt idx="48">
                  <c:v>26.560493192910329</c:v>
                </c:pt>
                <c:pt idx="49">
                  <c:v>22.20532319391635</c:v>
                </c:pt>
                <c:pt idx="50">
                  <c:v>32.184808144087704</c:v>
                </c:pt>
                <c:pt idx="51">
                  <c:v>21.663332380680192</c:v>
                </c:pt>
                <c:pt idx="52">
                  <c:v>21.518680252304708</c:v>
                </c:pt>
                <c:pt idx="53">
                  <c:v>36.584772561420579</c:v>
                </c:pt>
                <c:pt idx="54">
                  <c:v>20.931787784217565</c:v>
                </c:pt>
                <c:pt idx="55">
                  <c:v>28.932038834951456</c:v>
                </c:pt>
                <c:pt idx="56">
                  <c:v>16.164207825529186</c:v>
                </c:pt>
                <c:pt idx="57">
                  <c:v>34.637588197562479</c:v>
                </c:pt>
                <c:pt idx="58">
                  <c:v>36.711034778875053</c:v>
                </c:pt>
                <c:pt idx="59">
                  <c:v>20.616344841037641</c:v>
                </c:pt>
                <c:pt idx="60">
                  <c:v>31.866501854140918</c:v>
                </c:pt>
                <c:pt idx="61">
                  <c:v>12.427325581395351</c:v>
                </c:pt>
                <c:pt idx="62">
                  <c:v>28.914405010438415</c:v>
                </c:pt>
                <c:pt idx="63">
                  <c:v>24.510497758905402</c:v>
                </c:pt>
                <c:pt idx="64">
                  <c:v>21.347171347171326</c:v>
                </c:pt>
                <c:pt idx="65">
                  <c:v>34.16255629423118</c:v>
                </c:pt>
                <c:pt idx="66">
                  <c:v>22.935779816513737</c:v>
                </c:pt>
                <c:pt idx="67">
                  <c:v>25.046787273861508</c:v>
                </c:pt>
                <c:pt idx="68">
                  <c:v>23.755949805279098</c:v>
                </c:pt>
                <c:pt idx="69">
                  <c:v>25.995254416029525</c:v>
                </c:pt>
                <c:pt idx="70">
                  <c:v>19.359445124439002</c:v>
                </c:pt>
                <c:pt idx="71">
                  <c:v>21.871623081910521</c:v>
                </c:pt>
                <c:pt idx="72">
                  <c:v>4.1732036397866334</c:v>
                </c:pt>
                <c:pt idx="73">
                  <c:v>12.433234421364983</c:v>
                </c:pt>
                <c:pt idx="74">
                  <c:v>22.29012544226439</c:v>
                </c:pt>
                <c:pt idx="75">
                  <c:v>25.942940038684718</c:v>
                </c:pt>
                <c:pt idx="76">
                  <c:v>17.99271970878835</c:v>
                </c:pt>
                <c:pt idx="77">
                  <c:v>17.577012684442145</c:v>
                </c:pt>
                <c:pt idx="78">
                  <c:v>28.328008519701811</c:v>
                </c:pt>
                <c:pt idx="79">
                  <c:v>27.097120372026474</c:v>
                </c:pt>
                <c:pt idx="80">
                  <c:v>19.841269841269835</c:v>
                </c:pt>
                <c:pt idx="81">
                  <c:v>27.736175115207374</c:v>
                </c:pt>
                <c:pt idx="82">
                  <c:v>20.605782469022486</c:v>
                </c:pt>
                <c:pt idx="83">
                  <c:v>12.369640787949013</c:v>
                </c:pt>
                <c:pt idx="84">
                  <c:v>27.259193092154234</c:v>
                </c:pt>
                <c:pt idx="85">
                  <c:v>23.783998411753029</c:v>
                </c:pt>
                <c:pt idx="86">
                  <c:v>21.966467746518902</c:v>
                </c:pt>
                <c:pt idx="87">
                  <c:v>36.976506639427988</c:v>
                </c:pt>
                <c:pt idx="88">
                  <c:v>32.945368171021371</c:v>
                </c:pt>
                <c:pt idx="89">
                  <c:v>41.154791154791148</c:v>
                </c:pt>
                <c:pt idx="90">
                  <c:v>37.181283272625393</c:v>
                </c:pt>
                <c:pt idx="91">
                  <c:v>13.57737104825291</c:v>
                </c:pt>
                <c:pt idx="92">
                  <c:v>27.043363994743764</c:v>
                </c:pt>
                <c:pt idx="93">
                  <c:v>21.48446763101731</c:v>
                </c:pt>
                <c:pt idx="94">
                  <c:v>17.244444444444447</c:v>
                </c:pt>
                <c:pt idx="95">
                  <c:v>28.503184713375774</c:v>
                </c:pt>
                <c:pt idx="96">
                  <c:v>18.973780659712432</c:v>
                </c:pt>
                <c:pt idx="97">
                  <c:v>31.557377049180324</c:v>
                </c:pt>
                <c:pt idx="98">
                  <c:v>36.145510835913122</c:v>
                </c:pt>
                <c:pt idx="99">
                  <c:v>21.703225806451613</c:v>
                </c:pt>
                <c:pt idx="100">
                  <c:v>32.181818181818151</c:v>
                </c:pt>
                <c:pt idx="101">
                  <c:v>24.492353973426873</c:v>
                </c:pt>
                <c:pt idx="102">
                  <c:v>18.025751072961373</c:v>
                </c:pt>
                <c:pt idx="103">
                  <c:v>23.817812590658516</c:v>
                </c:pt>
                <c:pt idx="104">
                  <c:v>18.13485589994562</c:v>
                </c:pt>
                <c:pt idx="105">
                  <c:v>32.09903121636146</c:v>
                </c:pt>
                <c:pt idx="106">
                  <c:v>19.387755102040813</c:v>
                </c:pt>
                <c:pt idx="107">
                  <c:v>21.231979030144135</c:v>
                </c:pt>
                <c:pt idx="108">
                  <c:v>23.1875</c:v>
                </c:pt>
                <c:pt idx="109">
                  <c:v>24.710804824021658</c:v>
                </c:pt>
                <c:pt idx="110">
                  <c:v>7.7777777777777786</c:v>
                </c:pt>
                <c:pt idx="111">
                  <c:v>22.94843863471311</c:v>
                </c:pt>
                <c:pt idx="112">
                  <c:v>37.611298741172831</c:v>
                </c:pt>
                <c:pt idx="113">
                  <c:v>45.260890378171368</c:v>
                </c:pt>
                <c:pt idx="114">
                  <c:v>33.199518265756723</c:v>
                </c:pt>
                <c:pt idx="115">
                  <c:v>24.207792207792153</c:v>
                </c:pt>
                <c:pt idx="116">
                  <c:v>14.997170345217882</c:v>
                </c:pt>
                <c:pt idx="117">
                  <c:v>22.272849102117391</c:v>
                </c:pt>
                <c:pt idx="118">
                  <c:v>31.555081355027976</c:v>
                </c:pt>
                <c:pt idx="119">
                  <c:v>19.901853871319521</c:v>
                </c:pt>
                <c:pt idx="120">
                  <c:v>44.97971602434076</c:v>
                </c:pt>
                <c:pt idx="121">
                  <c:v>18.607875762617859</c:v>
                </c:pt>
                <c:pt idx="122">
                  <c:v>18.767689962987152</c:v>
                </c:pt>
                <c:pt idx="123">
                  <c:v>13.076241134751772</c:v>
                </c:pt>
                <c:pt idx="124">
                  <c:v>26.149425287356319</c:v>
                </c:pt>
                <c:pt idx="125">
                  <c:v>30.404172099087354</c:v>
                </c:pt>
                <c:pt idx="126">
                  <c:v>34.076567101388306</c:v>
                </c:pt>
                <c:pt idx="127">
                  <c:v>16.073523660539692</c:v>
                </c:pt>
                <c:pt idx="128">
                  <c:v>25.208719851576994</c:v>
                </c:pt>
                <c:pt idx="129">
                  <c:v>32.861317149921327</c:v>
                </c:pt>
                <c:pt idx="130">
                  <c:v>36.430379746835442</c:v>
                </c:pt>
                <c:pt idx="131">
                  <c:v>44.028316967343919</c:v>
                </c:pt>
                <c:pt idx="132">
                  <c:v>50.510452114730185</c:v>
                </c:pt>
                <c:pt idx="133">
                  <c:v>31.871208586094262</c:v>
                </c:pt>
                <c:pt idx="134">
                  <c:v>35.606060606060609</c:v>
                </c:pt>
                <c:pt idx="135">
                  <c:v>34.652539732003582</c:v>
                </c:pt>
                <c:pt idx="136">
                  <c:v>40.030843798193409</c:v>
                </c:pt>
                <c:pt idx="137">
                  <c:v>21.553659631791625</c:v>
                </c:pt>
                <c:pt idx="138">
                  <c:v>31.286257251450287</c:v>
                </c:pt>
                <c:pt idx="139">
                  <c:v>34.627004415524056</c:v>
                </c:pt>
                <c:pt idx="140">
                  <c:v>36.448220064724921</c:v>
                </c:pt>
                <c:pt idx="141">
                  <c:v>21.717411988582306</c:v>
                </c:pt>
                <c:pt idx="142">
                  <c:v>16.532905296950215</c:v>
                </c:pt>
                <c:pt idx="143">
                  <c:v>34.984984984984962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A7-40C1-A9EC-3B52608C8743}"/>
            </c:ext>
          </c:extLst>
        </c:ser>
        <c:ser>
          <c:idx val="6"/>
          <c:order val="1"/>
          <c:tx>
            <c:v>2.01+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6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0679889697332136E-2"/>
                  <c:y val="-1.8173952913308266E-2"/>
                </c:manualLayout>
              </c:layout>
              <c:numFmt formatCode="General" sourceLinked="0"/>
            </c:trendlineLbl>
          </c:trendline>
          <c:xVal>
            <c:numRef>
              <c:f>'[1]ACM Amounts'!$U$2:$U$145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Amounts'!$AN$2:$AN$145</c:f>
              <c:numCache>
                <c:formatCode>General</c:formatCode>
                <c:ptCount val="144"/>
                <c:pt idx="0">
                  <c:v>15.224405984159544</c:v>
                </c:pt>
                <c:pt idx="1">
                  <c:v>3.8047559449311636</c:v>
                </c:pt>
                <c:pt idx="2">
                  <c:v>28.924701305918305</c:v>
                </c:pt>
                <c:pt idx="3">
                  <c:v>14.293567894447499</c:v>
                </c:pt>
                <c:pt idx="4">
                  <c:v>11.179681936862092</c:v>
                </c:pt>
                <c:pt idx="5">
                  <c:v>30.812973883740526</c:v>
                </c:pt>
                <c:pt idx="6">
                  <c:v>30.443243243243224</c:v>
                </c:pt>
                <c:pt idx="7">
                  <c:v>14.545908183632736</c:v>
                </c:pt>
                <c:pt idx="8">
                  <c:v>24.850786760716225</c:v>
                </c:pt>
                <c:pt idx="9">
                  <c:v>16.644265232974909</c:v>
                </c:pt>
                <c:pt idx="10">
                  <c:v>14.599627560521416</c:v>
                </c:pt>
                <c:pt idx="11">
                  <c:v>14.252275682704784</c:v>
                </c:pt>
                <c:pt idx="12">
                  <c:v>26.422673510377145</c:v>
                </c:pt>
                <c:pt idx="13">
                  <c:v>4.5370614613558429</c:v>
                </c:pt>
                <c:pt idx="14">
                  <c:v>9.8550067965564114</c:v>
                </c:pt>
                <c:pt idx="15">
                  <c:v>10.22405356682977</c:v>
                </c:pt>
                <c:pt idx="16">
                  <c:v>14.376321353065538</c:v>
                </c:pt>
                <c:pt idx="17">
                  <c:v>3.5697728326379234</c:v>
                </c:pt>
                <c:pt idx="18">
                  <c:v>24.63107056613898</c:v>
                </c:pt>
                <c:pt idx="19">
                  <c:v>4.2518837459634025</c:v>
                </c:pt>
                <c:pt idx="20">
                  <c:v>11.201445347786811</c:v>
                </c:pt>
                <c:pt idx="21">
                  <c:v>7.7789510735656462</c:v>
                </c:pt>
                <c:pt idx="22">
                  <c:v>22.616476396174022</c:v>
                </c:pt>
                <c:pt idx="23">
                  <c:v>4.2636746143057502</c:v>
                </c:pt>
                <c:pt idx="24">
                  <c:v>3.9038262668045505</c:v>
                </c:pt>
                <c:pt idx="25">
                  <c:v>18.102536997885835</c:v>
                </c:pt>
                <c:pt idx="26">
                  <c:v>6.2211162460007108</c:v>
                </c:pt>
                <c:pt idx="27">
                  <c:v>5.202312138728324</c:v>
                </c:pt>
                <c:pt idx="28">
                  <c:v>20.877817319098462</c:v>
                </c:pt>
                <c:pt idx="29">
                  <c:v>28.080510554737359</c:v>
                </c:pt>
                <c:pt idx="30">
                  <c:v>13.835434638354347</c:v>
                </c:pt>
                <c:pt idx="31">
                  <c:v>18.304825121266276</c:v>
                </c:pt>
                <c:pt idx="32">
                  <c:v>30.02049180327867</c:v>
                </c:pt>
                <c:pt idx="33">
                  <c:v>11.701689328388955</c:v>
                </c:pt>
                <c:pt idx="34">
                  <c:v>11.246040126715943</c:v>
                </c:pt>
                <c:pt idx="35">
                  <c:v>22.442420996250668</c:v>
                </c:pt>
                <c:pt idx="36">
                  <c:v>0</c:v>
                </c:pt>
                <c:pt idx="37">
                  <c:v>5.6095905903641707</c:v>
                </c:pt>
                <c:pt idx="38">
                  <c:v>26.16801437556154</c:v>
                </c:pt>
                <c:pt idx="39">
                  <c:v>9.9455040871934592</c:v>
                </c:pt>
                <c:pt idx="40">
                  <c:v>18.304914744232669</c:v>
                </c:pt>
                <c:pt idx="41">
                  <c:v>9.1848129536571754</c:v>
                </c:pt>
                <c:pt idx="42">
                  <c:v>0</c:v>
                </c:pt>
                <c:pt idx="43">
                  <c:v>21.34942132479685</c:v>
                </c:pt>
                <c:pt idx="44">
                  <c:v>0</c:v>
                </c:pt>
                <c:pt idx="45">
                  <c:v>36.003236245954696</c:v>
                </c:pt>
                <c:pt idx="46">
                  <c:v>14.638447971781304</c:v>
                </c:pt>
                <c:pt idx="47">
                  <c:v>14.333426106317843</c:v>
                </c:pt>
                <c:pt idx="48">
                  <c:v>14.847161572052402</c:v>
                </c:pt>
                <c:pt idx="49">
                  <c:v>14.397972116603295</c:v>
                </c:pt>
                <c:pt idx="50">
                  <c:v>18.66353432524145</c:v>
                </c:pt>
                <c:pt idx="51">
                  <c:v>13.175192912260616</c:v>
                </c:pt>
                <c:pt idx="52">
                  <c:v>9.9951479864143629</c:v>
                </c:pt>
                <c:pt idx="53">
                  <c:v>38.895645828265629</c:v>
                </c:pt>
                <c:pt idx="54">
                  <c:v>27.819884083816316</c:v>
                </c:pt>
                <c:pt idx="55">
                  <c:v>5.2427184466019421</c:v>
                </c:pt>
                <c:pt idx="56">
                  <c:v>8.9159717767799869</c:v>
                </c:pt>
                <c:pt idx="57">
                  <c:v>22.418216805644615</c:v>
                </c:pt>
                <c:pt idx="58">
                  <c:v>20.287677114641475</c:v>
                </c:pt>
                <c:pt idx="59">
                  <c:v>24.04915155061439</c:v>
                </c:pt>
                <c:pt idx="60">
                  <c:v>5.5377008652657604</c:v>
                </c:pt>
                <c:pt idx="61">
                  <c:v>29.560319767441861</c:v>
                </c:pt>
                <c:pt idx="62">
                  <c:v>24.989561586638832</c:v>
                </c:pt>
                <c:pt idx="63">
                  <c:v>13.82401509790045</c:v>
                </c:pt>
                <c:pt idx="64">
                  <c:v>20.044770044770043</c:v>
                </c:pt>
                <c:pt idx="65">
                  <c:v>37.186360711987987</c:v>
                </c:pt>
                <c:pt idx="66">
                  <c:v>4.1284403669724767</c:v>
                </c:pt>
                <c:pt idx="67">
                  <c:v>36.182158452900808</c:v>
                </c:pt>
                <c:pt idx="68">
                  <c:v>12.332323669407183</c:v>
                </c:pt>
                <c:pt idx="69">
                  <c:v>30.187186923279725</c:v>
                </c:pt>
                <c:pt idx="70">
                  <c:v>29.232966136270907</c:v>
                </c:pt>
                <c:pt idx="71">
                  <c:v>10.481953749729845</c:v>
                </c:pt>
                <c:pt idx="72">
                  <c:v>6.4637590210229048</c:v>
                </c:pt>
                <c:pt idx="73">
                  <c:v>5.5786350148367942</c:v>
                </c:pt>
                <c:pt idx="74">
                  <c:v>20.553232550659377</c:v>
                </c:pt>
                <c:pt idx="75">
                  <c:v>19.656673114119897</c:v>
                </c:pt>
                <c:pt idx="76">
                  <c:v>17.212688507540303</c:v>
                </c:pt>
                <c:pt idx="77">
                  <c:v>11.545431012166711</c:v>
                </c:pt>
                <c:pt idx="78">
                  <c:v>26.964856230031948</c:v>
                </c:pt>
                <c:pt idx="79">
                  <c:v>46.950456090144883</c:v>
                </c:pt>
                <c:pt idx="80">
                  <c:v>20.958259847148732</c:v>
                </c:pt>
                <c:pt idx="81">
                  <c:v>33.928571428571431</c:v>
                </c:pt>
                <c:pt idx="82">
                  <c:v>10.899495181275816</c:v>
                </c:pt>
                <c:pt idx="83">
                  <c:v>4.6929316338354576</c:v>
                </c:pt>
                <c:pt idx="84">
                  <c:v>33.705523299091851</c:v>
                </c:pt>
                <c:pt idx="85">
                  <c:v>45.006948580504272</c:v>
                </c:pt>
                <c:pt idx="86">
                  <c:v>22.961068485365161</c:v>
                </c:pt>
                <c:pt idx="87">
                  <c:v>4.8518896833503575</c:v>
                </c:pt>
                <c:pt idx="88">
                  <c:v>22.280285035629451</c:v>
                </c:pt>
                <c:pt idx="89">
                  <c:v>14.926289926289925</c:v>
                </c:pt>
                <c:pt idx="90">
                  <c:v>10.647240123283833</c:v>
                </c:pt>
                <c:pt idx="91">
                  <c:v>19.434276206322764</c:v>
                </c:pt>
                <c:pt idx="92">
                  <c:v>14.954007884362682</c:v>
                </c:pt>
                <c:pt idx="93">
                  <c:v>34.550628408821439</c:v>
                </c:pt>
                <c:pt idx="94">
                  <c:v>11.733333333333333</c:v>
                </c:pt>
                <c:pt idx="95">
                  <c:v>23.157415832575047</c:v>
                </c:pt>
                <c:pt idx="96">
                  <c:v>5.0747110234000568</c:v>
                </c:pt>
                <c:pt idx="97">
                  <c:v>31.079234972677572</c:v>
                </c:pt>
                <c:pt idx="98">
                  <c:v>14.512383900928791</c:v>
                </c:pt>
                <c:pt idx="99">
                  <c:v>23.045161290322582</c:v>
                </c:pt>
                <c:pt idx="100">
                  <c:v>16.454545454545453</c:v>
                </c:pt>
                <c:pt idx="101">
                  <c:v>8.4983705189270253</c:v>
                </c:pt>
                <c:pt idx="102">
                  <c:v>15.417629580719712</c:v>
                </c:pt>
                <c:pt idx="103">
                  <c:v>0</c:v>
                </c:pt>
                <c:pt idx="104">
                  <c:v>15.633496465470365</c:v>
                </c:pt>
                <c:pt idx="105">
                  <c:v>18.363832077502689</c:v>
                </c:pt>
                <c:pt idx="106">
                  <c:v>5.4730983302411866</c:v>
                </c:pt>
                <c:pt idx="107">
                  <c:v>0</c:v>
                </c:pt>
                <c:pt idx="108">
                  <c:v>0</c:v>
                </c:pt>
                <c:pt idx="109">
                  <c:v>9.7218803839527439</c:v>
                </c:pt>
                <c:pt idx="110">
                  <c:v>27.354497354497354</c:v>
                </c:pt>
                <c:pt idx="111">
                  <c:v>0</c:v>
                </c:pt>
                <c:pt idx="112">
                  <c:v>11.053116364752809</c:v>
                </c:pt>
                <c:pt idx="113">
                  <c:v>17.616084250837719</c:v>
                </c:pt>
                <c:pt idx="114">
                  <c:v>0</c:v>
                </c:pt>
                <c:pt idx="115">
                  <c:v>29.610389610389561</c:v>
                </c:pt>
                <c:pt idx="116">
                  <c:v>15.930956423316353</c:v>
                </c:pt>
                <c:pt idx="117">
                  <c:v>21.924417046368262</c:v>
                </c:pt>
                <c:pt idx="118">
                  <c:v>19.765270738863695</c:v>
                </c:pt>
                <c:pt idx="119">
                  <c:v>0</c:v>
                </c:pt>
                <c:pt idx="120">
                  <c:v>4.2089249492900613</c:v>
                </c:pt>
                <c:pt idx="121">
                  <c:v>21.381031613976706</c:v>
                </c:pt>
                <c:pt idx="122">
                  <c:v>20.901371652514698</c:v>
                </c:pt>
                <c:pt idx="123">
                  <c:v>27.593085106382979</c:v>
                </c:pt>
                <c:pt idx="124">
                  <c:v>12.5</c:v>
                </c:pt>
                <c:pt idx="125">
                  <c:v>15.880052151238591</c:v>
                </c:pt>
                <c:pt idx="126">
                  <c:v>41.375683634833827</c:v>
                </c:pt>
                <c:pt idx="127">
                  <c:v>6.4528744622604606</c:v>
                </c:pt>
                <c:pt idx="128">
                  <c:v>12.847866419294991</c:v>
                </c:pt>
                <c:pt idx="129">
                  <c:v>25.938413126545292</c:v>
                </c:pt>
                <c:pt idx="130">
                  <c:v>10</c:v>
                </c:pt>
                <c:pt idx="131">
                  <c:v>17.264215574332042</c:v>
                </c:pt>
                <c:pt idx="132">
                  <c:v>30.262518230432669</c:v>
                </c:pt>
                <c:pt idx="133">
                  <c:v>30.65795613625756</c:v>
                </c:pt>
                <c:pt idx="134">
                  <c:v>26.492869875222816</c:v>
                </c:pt>
                <c:pt idx="135">
                  <c:v>28.01495793081957</c:v>
                </c:pt>
                <c:pt idx="136">
                  <c:v>36.726151134611122</c:v>
                </c:pt>
                <c:pt idx="137">
                  <c:v>21.867983834755279</c:v>
                </c:pt>
                <c:pt idx="138">
                  <c:v>36.847369473894773</c:v>
                </c:pt>
                <c:pt idx="139">
                  <c:v>21.589588659075062</c:v>
                </c:pt>
                <c:pt idx="140">
                  <c:v>30.622977346278319</c:v>
                </c:pt>
                <c:pt idx="141">
                  <c:v>22.07421503330162</c:v>
                </c:pt>
                <c:pt idx="142">
                  <c:v>25.452877780325615</c:v>
                </c:pt>
                <c:pt idx="143">
                  <c:v>25.91162591162589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7A7-40C1-A9EC-3B52608C8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17056"/>
        <c:axId val="118318976"/>
      </c:scatterChart>
      <c:valAx>
        <c:axId val="118317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318976"/>
        <c:crosses val="autoZero"/>
        <c:crossBetween val="midCat"/>
      </c:valAx>
      <c:valAx>
        <c:axId val="11831897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</a:t>
                </a:r>
              </a:p>
            </c:rich>
          </c:tx>
          <c:overlay val="0"/>
        </c:title>
        <c:numFmt formatCode="General\%" sourceLinked="0"/>
        <c:majorTickMark val="out"/>
        <c:minorTickMark val="none"/>
        <c:tickLblPos val="nextTo"/>
        <c:crossAx val="1183170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40000"/>
        <a:lumOff val="60000"/>
      </a:schemeClr>
    </a:solidFill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Atlantic City Marina: T</a:t>
            </a:r>
            <a:r>
              <a:rPr lang="en-US"/>
              <a:t>otal Precipitation Within</a:t>
            </a:r>
            <a:r>
              <a:rPr lang="en-US" baseline="0"/>
              <a:t> Bins (Large)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1.01 - 2.00</c:v>
          </c:tx>
          <c:marker>
            <c:symbol val="none"/>
          </c:marker>
          <c:trendline>
            <c:spPr>
              <a:ln w="38100">
                <a:solidFill>
                  <a:schemeClr val="accent5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0179288109919861E-2"/>
                  <c:y val="-3.4473504594988096E-2"/>
                </c:manualLayout>
              </c:layout>
              <c:numFmt formatCode="General" sourceLinked="0"/>
            </c:trendlineLbl>
          </c:trendline>
          <c:xVal>
            <c:numRef>
              <c:f>'[1]ACM Amounts'!$A$2:$A$145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Amounts'!$P$2:$P$145</c:f>
              <c:numCache>
                <c:formatCode>General</c:formatCode>
                <c:ptCount val="144"/>
                <c:pt idx="0">
                  <c:v>11.269999999999989</c:v>
                </c:pt>
                <c:pt idx="1">
                  <c:v>5.18</c:v>
                </c:pt>
                <c:pt idx="2">
                  <c:v>3.1399999999999997</c:v>
                </c:pt>
                <c:pt idx="3">
                  <c:v>7.0299999999999905</c:v>
                </c:pt>
                <c:pt idx="4">
                  <c:v>10.069999999999901</c:v>
                </c:pt>
                <c:pt idx="5">
                  <c:v>9.1900000000000013</c:v>
                </c:pt>
                <c:pt idx="6">
                  <c:v>15.65</c:v>
                </c:pt>
                <c:pt idx="7">
                  <c:v>10.6</c:v>
                </c:pt>
                <c:pt idx="8">
                  <c:v>6.29</c:v>
                </c:pt>
                <c:pt idx="9">
                  <c:v>11.6</c:v>
                </c:pt>
                <c:pt idx="10">
                  <c:v>19.579999999999998</c:v>
                </c:pt>
                <c:pt idx="11">
                  <c:v>12.539999999999988</c:v>
                </c:pt>
                <c:pt idx="12">
                  <c:v>7.92</c:v>
                </c:pt>
                <c:pt idx="13">
                  <c:v>10.15</c:v>
                </c:pt>
                <c:pt idx="14">
                  <c:v>9.02</c:v>
                </c:pt>
                <c:pt idx="15">
                  <c:v>8.81</c:v>
                </c:pt>
                <c:pt idx="16">
                  <c:v>9.3599999999999888</c:v>
                </c:pt>
                <c:pt idx="17">
                  <c:v>11.759999999999899</c:v>
                </c:pt>
                <c:pt idx="18">
                  <c:v>8.5399999999999991</c:v>
                </c:pt>
                <c:pt idx="19">
                  <c:v>6.55</c:v>
                </c:pt>
                <c:pt idx="20">
                  <c:v>4.95</c:v>
                </c:pt>
                <c:pt idx="21">
                  <c:v>2.44</c:v>
                </c:pt>
                <c:pt idx="22">
                  <c:v>7.52</c:v>
                </c:pt>
                <c:pt idx="23">
                  <c:v>7.1899999999999995</c:v>
                </c:pt>
                <c:pt idx="24">
                  <c:v>8.2100000000000009</c:v>
                </c:pt>
                <c:pt idx="25">
                  <c:v>3.34</c:v>
                </c:pt>
                <c:pt idx="26">
                  <c:v>6.7799999999999896</c:v>
                </c:pt>
                <c:pt idx="27">
                  <c:v>7.3399999999999901</c:v>
                </c:pt>
                <c:pt idx="28">
                  <c:v>17.709999999999901</c:v>
                </c:pt>
                <c:pt idx="29">
                  <c:v>21.060000000000002</c:v>
                </c:pt>
                <c:pt idx="30">
                  <c:v>5.46</c:v>
                </c:pt>
                <c:pt idx="31">
                  <c:v>3.38</c:v>
                </c:pt>
                <c:pt idx="32">
                  <c:v>10.589999999999989</c:v>
                </c:pt>
                <c:pt idx="33">
                  <c:v>9.4700000000000006</c:v>
                </c:pt>
                <c:pt idx="34">
                  <c:v>10.7</c:v>
                </c:pt>
                <c:pt idx="35">
                  <c:v>10.549999999999999</c:v>
                </c:pt>
                <c:pt idx="36">
                  <c:v>8.9599999999999902</c:v>
                </c:pt>
                <c:pt idx="37">
                  <c:v>11.04</c:v>
                </c:pt>
                <c:pt idx="38">
                  <c:v>14.409999999999989</c:v>
                </c:pt>
                <c:pt idx="39">
                  <c:v>10.58</c:v>
                </c:pt>
                <c:pt idx="40">
                  <c:v>9.9699999999999793</c:v>
                </c:pt>
                <c:pt idx="41">
                  <c:v>11.32</c:v>
                </c:pt>
                <c:pt idx="42">
                  <c:v>4.9800000000000004</c:v>
                </c:pt>
                <c:pt idx="43">
                  <c:v>14.04</c:v>
                </c:pt>
                <c:pt idx="44">
                  <c:v>4.59</c:v>
                </c:pt>
                <c:pt idx="45">
                  <c:v>10.07</c:v>
                </c:pt>
                <c:pt idx="46">
                  <c:v>11.299999999999999</c:v>
                </c:pt>
                <c:pt idx="47">
                  <c:v>12.08</c:v>
                </c:pt>
                <c:pt idx="48">
                  <c:v>10.339999999999989</c:v>
                </c:pt>
                <c:pt idx="49">
                  <c:v>8.76</c:v>
                </c:pt>
                <c:pt idx="50">
                  <c:v>12.33</c:v>
                </c:pt>
                <c:pt idx="51">
                  <c:v>7.58</c:v>
                </c:pt>
                <c:pt idx="52">
                  <c:v>8.870000000000001</c:v>
                </c:pt>
                <c:pt idx="53">
                  <c:v>15.04</c:v>
                </c:pt>
                <c:pt idx="54">
                  <c:v>9.39</c:v>
                </c:pt>
                <c:pt idx="55">
                  <c:v>10.43</c:v>
                </c:pt>
                <c:pt idx="56">
                  <c:v>5.04</c:v>
                </c:pt>
                <c:pt idx="57">
                  <c:v>10.799999999999979</c:v>
                </c:pt>
                <c:pt idx="58">
                  <c:v>17.100000000000001</c:v>
                </c:pt>
                <c:pt idx="59">
                  <c:v>10.57</c:v>
                </c:pt>
                <c:pt idx="60">
                  <c:v>12.89</c:v>
                </c:pt>
                <c:pt idx="61">
                  <c:v>6.84</c:v>
                </c:pt>
                <c:pt idx="62">
                  <c:v>13.85</c:v>
                </c:pt>
                <c:pt idx="63">
                  <c:v>10.39</c:v>
                </c:pt>
                <c:pt idx="64">
                  <c:v>10.48999999999999</c:v>
                </c:pt>
                <c:pt idx="65">
                  <c:v>15.93</c:v>
                </c:pt>
                <c:pt idx="66">
                  <c:v>9.4999999999999893</c:v>
                </c:pt>
                <c:pt idx="67">
                  <c:v>8.0299999999999994</c:v>
                </c:pt>
                <c:pt idx="68">
                  <c:v>10.98</c:v>
                </c:pt>
                <c:pt idx="69">
                  <c:v>9.86</c:v>
                </c:pt>
                <c:pt idx="70">
                  <c:v>9.4899999999999984</c:v>
                </c:pt>
                <c:pt idx="71">
                  <c:v>10.119999999999999</c:v>
                </c:pt>
                <c:pt idx="72">
                  <c:v>1.33</c:v>
                </c:pt>
                <c:pt idx="73">
                  <c:v>4.1899999999999995</c:v>
                </c:pt>
                <c:pt idx="74">
                  <c:v>13.86</c:v>
                </c:pt>
                <c:pt idx="75">
                  <c:v>10.73</c:v>
                </c:pt>
                <c:pt idx="76">
                  <c:v>6.92</c:v>
                </c:pt>
                <c:pt idx="77">
                  <c:v>6.79</c:v>
                </c:pt>
                <c:pt idx="78">
                  <c:v>13.3</c:v>
                </c:pt>
                <c:pt idx="79">
                  <c:v>15.15</c:v>
                </c:pt>
                <c:pt idx="80">
                  <c:v>6.75</c:v>
                </c:pt>
                <c:pt idx="81">
                  <c:v>9.629999999999999</c:v>
                </c:pt>
                <c:pt idx="82">
                  <c:v>8.98</c:v>
                </c:pt>
                <c:pt idx="83">
                  <c:v>4.2699999999999996</c:v>
                </c:pt>
                <c:pt idx="84">
                  <c:v>18.309999999999999</c:v>
                </c:pt>
                <c:pt idx="85">
                  <c:v>11.98</c:v>
                </c:pt>
                <c:pt idx="86">
                  <c:v>7.73</c:v>
                </c:pt>
                <c:pt idx="87">
                  <c:v>14.48</c:v>
                </c:pt>
                <c:pt idx="88">
                  <c:v>13.870000000000001</c:v>
                </c:pt>
                <c:pt idx="89">
                  <c:v>13.399999999999999</c:v>
                </c:pt>
                <c:pt idx="90">
                  <c:v>13.27</c:v>
                </c:pt>
                <c:pt idx="91">
                  <c:v>4.08</c:v>
                </c:pt>
                <c:pt idx="92">
                  <c:v>10.29</c:v>
                </c:pt>
                <c:pt idx="93">
                  <c:v>9.0599999999999987</c:v>
                </c:pt>
                <c:pt idx="94">
                  <c:v>5.82</c:v>
                </c:pt>
                <c:pt idx="95">
                  <c:v>12.52999999999999</c:v>
                </c:pt>
                <c:pt idx="96">
                  <c:v>6.7299999999999995</c:v>
                </c:pt>
                <c:pt idx="97">
                  <c:v>13.86</c:v>
                </c:pt>
                <c:pt idx="98">
                  <c:v>18.6799999999999</c:v>
                </c:pt>
                <c:pt idx="99">
                  <c:v>8.41</c:v>
                </c:pt>
                <c:pt idx="100">
                  <c:v>10.61999999999999</c:v>
                </c:pt>
                <c:pt idx="101">
                  <c:v>9.76999999999998</c:v>
                </c:pt>
                <c:pt idx="102">
                  <c:v>5.46</c:v>
                </c:pt>
                <c:pt idx="103">
                  <c:v>8.2099999999999902</c:v>
                </c:pt>
                <c:pt idx="104">
                  <c:v>6.67</c:v>
                </c:pt>
                <c:pt idx="105">
                  <c:v>14.909999999999901</c:v>
                </c:pt>
                <c:pt idx="106">
                  <c:v>6.27</c:v>
                </c:pt>
                <c:pt idx="107">
                  <c:v>6.4799999999999898</c:v>
                </c:pt>
                <c:pt idx="108">
                  <c:v>7.42</c:v>
                </c:pt>
                <c:pt idx="109">
                  <c:v>10.039999999999999</c:v>
                </c:pt>
                <c:pt idx="110">
                  <c:v>2.94</c:v>
                </c:pt>
                <c:pt idx="111">
                  <c:v>6.3199999999999896</c:v>
                </c:pt>
                <c:pt idx="112">
                  <c:v>12.249999999999989</c:v>
                </c:pt>
                <c:pt idx="113">
                  <c:v>18.91</c:v>
                </c:pt>
                <c:pt idx="114">
                  <c:v>8.27</c:v>
                </c:pt>
                <c:pt idx="115">
                  <c:v>4.6599999999999895</c:v>
                </c:pt>
                <c:pt idx="116">
                  <c:v>5.3000000000000007</c:v>
                </c:pt>
                <c:pt idx="117">
                  <c:v>8.3099999999999987</c:v>
                </c:pt>
                <c:pt idx="118">
                  <c:v>11.829999999999989</c:v>
                </c:pt>
                <c:pt idx="119">
                  <c:v>7.3</c:v>
                </c:pt>
                <c:pt idx="120">
                  <c:v>17.739999999999998</c:v>
                </c:pt>
                <c:pt idx="121">
                  <c:v>6.71</c:v>
                </c:pt>
                <c:pt idx="122">
                  <c:v>8.6199999999999992</c:v>
                </c:pt>
                <c:pt idx="123">
                  <c:v>5.9</c:v>
                </c:pt>
                <c:pt idx="124">
                  <c:v>10.92</c:v>
                </c:pt>
                <c:pt idx="125">
                  <c:v>11.66</c:v>
                </c:pt>
                <c:pt idx="126">
                  <c:v>16.2</c:v>
                </c:pt>
                <c:pt idx="127">
                  <c:v>4.1099999999999994</c:v>
                </c:pt>
                <c:pt idx="128">
                  <c:v>10.870000000000001</c:v>
                </c:pt>
                <c:pt idx="129">
                  <c:v>14.620000000000001</c:v>
                </c:pt>
                <c:pt idx="130">
                  <c:v>14.39</c:v>
                </c:pt>
                <c:pt idx="131">
                  <c:v>19.279999999999902</c:v>
                </c:pt>
                <c:pt idx="132">
                  <c:v>20.78</c:v>
                </c:pt>
                <c:pt idx="133">
                  <c:v>13.66</c:v>
                </c:pt>
                <c:pt idx="134">
                  <c:v>15.98</c:v>
                </c:pt>
                <c:pt idx="135">
                  <c:v>22.239999999999903</c:v>
                </c:pt>
                <c:pt idx="136">
                  <c:v>18.169999999999987</c:v>
                </c:pt>
                <c:pt idx="137">
                  <c:v>9.599999999999989</c:v>
                </c:pt>
                <c:pt idx="138">
                  <c:v>15.64</c:v>
                </c:pt>
                <c:pt idx="139">
                  <c:v>14.9</c:v>
                </c:pt>
                <c:pt idx="140">
                  <c:v>18.02</c:v>
                </c:pt>
                <c:pt idx="141">
                  <c:v>9.1300000000000008</c:v>
                </c:pt>
                <c:pt idx="142">
                  <c:v>7.2099999999999893</c:v>
                </c:pt>
                <c:pt idx="143">
                  <c:v>16.309999999999988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2FE-47E4-BDD0-5269FE8F27A3}"/>
            </c:ext>
          </c:extLst>
        </c:ser>
        <c:ser>
          <c:idx val="6"/>
          <c:order val="1"/>
          <c:tx>
            <c:v>2.01+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6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5989527531284249E-2"/>
                  <c:y val="-2.3487698123659691E-2"/>
                </c:manualLayout>
              </c:layout>
              <c:numFmt formatCode="General" sourceLinked="0"/>
            </c:trendlineLbl>
          </c:trendline>
          <c:xVal>
            <c:numRef>
              <c:f>'[1]ACM Amounts'!$A$2:$A$145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Amounts'!$S$2:$S$145</c:f>
              <c:numCache>
                <c:formatCode>General</c:formatCode>
                <c:ptCount val="144"/>
                <c:pt idx="0">
                  <c:v>0</c:v>
                </c:pt>
                <c:pt idx="1">
                  <c:v>3.15</c:v>
                </c:pt>
                <c:pt idx="2">
                  <c:v>8.6999999999999993</c:v>
                </c:pt>
                <c:pt idx="3">
                  <c:v>5.23</c:v>
                </c:pt>
                <c:pt idx="4">
                  <c:v>4.71</c:v>
                </c:pt>
                <c:pt idx="5">
                  <c:v>11.05</c:v>
                </c:pt>
                <c:pt idx="6">
                  <c:v>6.0799999999999903</c:v>
                </c:pt>
                <c:pt idx="7">
                  <c:v>2.31</c:v>
                </c:pt>
                <c:pt idx="8">
                  <c:v>15.25</c:v>
                </c:pt>
                <c:pt idx="9">
                  <c:v>5.6999999999999993</c:v>
                </c:pt>
                <c:pt idx="10">
                  <c:v>4.32</c:v>
                </c:pt>
                <c:pt idx="11">
                  <c:v>3.6</c:v>
                </c:pt>
                <c:pt idx="12">
                  <c:v>8.5</c:v>
                </c:pt>
                <c:pt idx="13">
                  <c:v>0</c:v>
                </c:pt>
                <c:pt idx="14">
                  <c:v>2.72</c:v>
                </c:pt>
                <c:pt idx="15">
                  <c:v>2.15</c:v>
                </c:pt>
                <c:pt idx="16">
                  <c:v>4.84</c:v>
                </c:pt>
                <c:pt idx="17">
                  <c:v>0</c:v>
                </c:pt>
                <c:pt idx="18">
                  <c:v>5.31</c:v>
                </c:pt>
                <c:pt idx="19">
                  <c:v>0</c:v>
                </c:pt>
                <c:pt idx="20">
                  <c:v>2.08</c:v>
                </c:pt>
                <c:pt idx="21">
                  <c:v>2.21</c:v>
                </c:pt>
                <c:pt idx="22">
                  <c:v>5.48</c:v>
                </c:pt>
                <c:pt idx="23">
                  <c:v>3.47</c:v>
                </c:pt>
                <c:pt idx="24">
                  <c:v>0</c:v>
                </c:pt>
                <c:pt idx="25">
                  <c:v>11.73</c:v>
                </c:pt>
                <c:pt idx="26">
                  <c:v>0</c:v>
                </c:pt>
                <c:pt idx="27">
                  <c:v>3.13</c:v>
                </c:pt>
                <c:pt idx="28">
                  <c:v>4.07</c:v>
                </c:pt>
                <c:pt idx="29">
                  <c:v>12.33</c:v>
                </c:pt>
                <c:pt idx="30">
                  <c:v>2.4900000000000002</c:v>
                </c:pt>
                <c:pt idx="31">
                  <c:v>7.17</c:v>
                </c:pt>
                <c:pt idx="32">
                  <c:v>11.539999999999988</c:v>
                </c:pt>
                <c:pt idx="33">
                  <c:v>5.8</c:v>
                </c:pt>
                <c:pt idx="34">
                  <c:v>5.48</c:v>
                </c:pt>
                <c:pt idx="35">
                  <c:v>6.87</c:v>
                </c:pt>
                <c:pt idx="36">
                  <c:v>0</c:v>
                </c:pt>
                <c:pt idx="37">
                  <c:v>2.48</c:v>
                </c:pt>
                <c:pt idx="38">
                  <c:v>4.5999999999999996</c:v>
                </c:pt>
                <c:pt idx="39">
                  <c:v>0</c:v>
                </c:pt>
                <c:pt idx="40">
                  <c:v>5.26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11.17</c:v>
                </c:pt>
                <c:pt idx="46">
                  <c:v>4.96</c:v>
                </c:pt>
                <c:pt idx="47">
                  <c:v>0</c:v>
                </c:pt>
                <c:pt idx="48">
                  <c:v>2.52</c:v>
                </c:pt>
                <c:pt idx="49">
                  <c:v>2.6</c:v>
                </c:pt>
                <c:pt idx="50">
                  <c:v>2.06</c:v>
                </c:pt>
                <c:pt idx="51">
                  <c:v>4.6099999999999897</c:v>
                </c:pt>
                <c:pt idx="52">
                  <c:v>5.49</c:v>
                </c:pt>
                <c:pt idx="53">
                  <c:v>5.3100000000000005</c:v>
                </c:pt>
                <c:pt idx="54">
                  <c:v>9.09</c:v>
                </c:pt>
                <c:pt idx="55">
                  <c:v>0</c:v>
                </c:pt>
                <c:pt idx="56">
                  <c:v>2.78</c:v>
                </c:pt>
                <c:pt idx="57">
                  <c:v>0</c:v>
                </c:pt>
                <c:pt idx="58">
                  <c:v>4.2699999999999996</c:v>
                </c:pt>
                <c:pt idx="59">
                  <c:v>10.78</c:v>
                </c:pt>
                <c:pt idx="60">
                  <c:v>2.2400000000000002</c:v>
                </c:pt>
                <c:pt idx="61">
                  <c:v>21.359999999999992</c:v>
                </c:pt>
                <c:pt idx="62">
                  <c:v>6.32</c:v>
                </c:pt>
                <c:pt idx="63">
                  <c:v>6.16</c:v>
                </c:pt>
                <c:pt idx="64">
                  <c:v>12.79</c:v>
                </c:pt>
                <c:pt idx="65">
                  <c:v>5.15</c:v>
                </c:pt>
                <c:pt idx="66">
                  <c:v>3.28</c:v>
                </c:pt>
                <c:pt idx="67">
                  <c:v>6.84</c:v>
                </c:pt>
                <c:pt idx="68">
                  <c:v>5.05</c:v>
                </c:pt>
                <c:pt idx="69">
                  <c:v>6.4399999999999995</c:v>
                </c:pt>
                <c:pt idx="70">
                  <c:v>16.07</c:v>
                </c:pt>
                <c:pt idx="71">
                  <c:v>8.18</c:v>
                </c:pt>
                <c:pt idx="72">
                  <c:v>5.07</c:v>
                </c:pt>
                <c:pt idx="73">
                  <c:v>0</c:v>
                </c:pt>
                <c:pt idx="74">
                  <c:v>15.849999999999998</c:v>
                </c:pt>
                <c:pt idx="75">
                  <c:v>4.3699999999999903</c:v>
                </c:pt>
                <c:pt idx="76">
                  <c:v>4.88</c:v>
                </c:pt>
                <c:pt idx="77">
                  <c:v>5.6300000000000008</c:v>
                </c:pt>
                <c:pt idx="78">
                  <c:v>4.03</c:v>
                </c:pt>
                <c:pt idx="79">
                  <c:v>14.66</c:v>
                </c:pt>
                <c:pt idx="80">
                  <c:v>5.48</c:v>
                </c:pt>
                <c:pt idx="81">
                  <c:v>4.7300000000000004</c:v>
                </c:pt>
                <c:pt idx="82">
                  <c:v>2.95</c:v>
                </c:pt>
                <c:pt idx="83">
                  <c:v>0</c:v>
                </c:pt>
                <c:pt idx="84">
                  <c:v>20.91</c:v>
                </c:pt>
                <c:pt idx="85">
                  <c:v>17.869999999999997</c:v>
                </c:pt>
                <c:pt idx="86">
                  <c:v>4.83</c:v>
                </c:pt>
                <c:pt idx="87">
                  <c:v>0</c:v>
                </c:pt>
                <c:pt idx="88">
                  <c:v>5.67</c:v>
                </c:pt>
                <c:pt idx="89">
                  <c:v>0</c:v>
                </c:pt>
                <c:pt idx="90">
                  <c:v>0</c:v>
                </c:pt>
                <c:pt idx="91">
                  <c:v>4.0399999999999903</c:v>
                </c:pt>
                <c:pt idx="92">
                  <c:v>2.39</c:v>
                </c:pt>
                <c:pt idx="93">
                  <c:v>9.14</c:v>
                </c:pt>
                <c:pt idx="94">
                  <c:v>5.8599999999999994</c:v>
                </c:pt>
                <c:pt idx="95">
                  <c:v>6.62</c:v>
                </c:pt>
                <c:pt idx="96">
                  <c:v>0</c:v>
                </c:pt>
                <c:pt idx="97">
                  <c:v>12.95999999999999</c:v>
                </c:pt>
                <c:pt idx="98">
                  <c:v>2.15</c:v>
                </c:pt>
                <c:pt idx="99">
                  <c:v>5.1400000000000006</c:v>
                </c:pt>
                <c:pt idx="100">
                  <c:v>2.13</c:v>
                </c:pt>
                <c:pt idx="101">
                  <c:v>0</c:v>
                </c:pt>
                <c:pt idx="102">
                  <c:v>2.99</c:v>
                </c:pt>
                <c:pt idx="103">
                  <c:v>3.66</c:v>
                </c:pt>
                <c:pt idx="104">
                  <c:v>5.57</c:v>
                </c:pt>
                <c:pt idx="105">
                  <c:v>5.27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2.42</c:v>
                </c:pt>
                <c:pt idx="110">
                  <c:v>8.66</c:v>
                </c:pt>
                <c:pt idx="111">
                  <c:v>0</c:v>
                </c:pt>
                <c:pt idx="112">
                  <c:v>0</c:v>
                </c:pt>
                <c:pt idx="113">
                  <c:v>2.27</c:v>
                </c:pt>
                <c:pt idx="114">
                  <c:v>0</c:v>
                </c:pt>
                <c:pt idx="115">
                  <c:v>5.87</c:v>
                </c:pt>
                <c:pt idx="116">
                  <c:v>2.39</c:v>
                </c:pt>
                <c:pt idx="117">
                  <c:v>4.97</c:v>
                </c:pt>
                <c:pt idx="118">
                  <c:v>2.06</c:v>
                </c:pt>
                <c:pt idx="119">
                  <c:v>6.58</c:v>
                </c:pt>
                <c:pt idx="120">
                  <c:v>0</c:v>
                </c:pt>
                <c:pt idx="121">
                  <c:v>4.51</c:v>
                </c:pt>
                <c:pt idx="122">
                  <c:v>9.6</c:v>
                </c:pt>
                <c:pt idx="123">
                  <c:v>8.69</c:v>
                </c:pt>
                <c:pt idx="124">
                  <c:v>5.2200000000000006</c:v>
                </c:pt>
                <c:pt idx="125">
                  <c:v>4.16</c:v>
                </c:pt>
                <c:pt idx="126">
                  <c:v>12.879999999999999</c:v>
                </c:pt>
                <c:pt idx="127">
                  <c:v>3.51</c:v>
                </c:pt>
                <c:pt idx="128">
                  <c:v>8.870000000000001</c:v>
                </c:pt>
                <c:pt idx="129">
                  <c:v>2.08</c:v>
                </c:pt>
                <c:pt idx="130">
                  <c:v>5.2</c:v>
                </c:pt>
                <c:pt idx="131">
                  <c:v>2.16</c:v>
                </c:pt>
                <c:pt idx="132">
                  <c:v>2.35</c:v>
                </c:pt>
                <c:pt idx="133">
                  <c:v>6.7299999999999898</c:v>
                </c:pt>
                <c:pt idx="134">
                  <c:v>6.4</c:v>
                </c:pt>
                <c:pt idx="135">
                  <c:v>15.73</c:v>
                </c:pt>
                <c:pt idx="136">
                  <c:v>7.7399999999999896</c:v>
                </c:pt>
                <c:pt idx="137">
                  <c:v>6.2099999999999991</c:v>
                </c:pt>
                <c:pt idx="138">
                  <c:v>11.59</c:v>
                </c:pt>
                <c:pt idx="139">
                  <c:v>7.37</c:v>
                </c:pt>
                <c:pt idx="140">
                  <c:v>12.41</c:v>
                </c:pt>
                <c:pt idx="141">
                  <c:v>7.52</c:v>
                </c:pt>
                <c:pt idx="142">
                  <c:v>9.42</c:v>
                </c:pt>
                <c:pt idx="143">
                  <c:v>11.92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2FE-47E4-BDD0-5269FE8F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55456"/>
        <c:axId val="118357376"/>
      </c:scatterChart>
      <c:valAx>
        <c:axId val="11835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Year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357376"/>
        <c:crosses val="autoZero"/>
        <c:crossBetween val="midCat"/>
      </c:valAx>
      <c:valAx>
        <c:axId val="11835737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Precipitation (Inches)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3554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40000"/>
        <a:lumOff val="60000"/>
      </a:schemeClr>
    </a:solidFill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Atlantic City Marina:</a:t>
            </a:r>
            <a:r>
              <a:rPr lang="en-US" baseline="0"/>
              <a:t> Number of Events (Large)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1.01 - 2.00</c:v>
          </c:tx>
          <c:spPr>
            <a:ln>
              <a:solidFill>
                <a:schemeClr val="accent5">
                  <a:alpha val="60000"/>
                </a:schemeClr>
              </a:solidFill>
            </a:ln>
          </c:spPr>
          <c:marker>
            <c:symbol val="none"/>
          </c:marker>
          <c:trendline>
            <c:spPr>
              <a:ln w="28575">
                <a:solidFill>
                  <a:schemeClr val="accent5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2035910140425744E-2"/>
                  <c:y val="-1.2115910512310076E-3"/>
                </c:manualLayout>
              </c:layout>
              <c:numFmt formatCode="General" sourceLinked="0"/>
            </c:trendlineLbl>
          </c:trendline>
          <c:xVal>
            <c:numRef>
              <c:f>'[1]ACM Events'!$A$2:$A$145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Events'!$P$2:$P$145</c:f>
              <c:numCache>
                <c:formatCode>General</c:formatCode>
                <c:ptCount val="144"/>
                <c:pt idx="0">
                  <c:v>8</c:v>
                </c:pt>
                <c:pt idx="1">
                  <c:v>4</c:v>
                </c:pt>
                <c:pt idx="2">
                  <c:v>2</c:v>
                </c:pt>
                <c:pt idx="3">
                  <c:v>5</c:v>
                </c:pt>
                <c:pt idx="4">
                  <c:v>9</c:v>
                </c:pt>
                <c:pt idx="5">
                  <c:v>7</c:v>
                </c:pt>
                <c:pt idx="6">
                  <c:v>11</c:v>
                </c:pt>
                <c:pt idx="7">
                  <c:v>8</c:v>
                </c:pt>
                <c:pt idx="8">
                  <c:v>5</c:v>
                </c:pt>
                <c:pt idx="9">
                  <c:v>8</c:v>
                </c:pt>
                <c:pt idx="10">
                  <c:v>15</c:v>
                </c:pt>
                <c:pt idx="11">
                  <c:v>9</c:v>
                </c:pt>
                <c:pt idx="12">
                  <c:v>6</c:v>
                </c:pt>
                <c:pt idx="13">
                  <c:v>8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9</c:v>
                </c:pt>
                <c:pt idx="18">
                  <c:v>6</c:v>
                </c:pt>
                <c:pt idx="19">
                  <c:v>5</c:v>
                </c:pt>
                <c:pt idx="20">
                  <c:v>4</c:v>
                </c:pt>
                <c:pt idx="21">
                  <c:v>2</c:v>
                </c:pt>
                <c:pt idx="22">
                  <c:v>6</c:v>
                </c:pt>
                <c:pt idx="23">
                  <c:v>6</c:v>
                </c:pt>
                <c:pt idx="24">
                  <c:v>7</c:v>
                </c:pt>
                <c:pt idx="25">
                  <c:v>2</c:v>
                </c:pt>
                <c:pt idx="26">
                  <c:v>5</c:v>
                </c:pt>
                <c:pt idx="27">
                  <c:v>6</c:v>
                </c:pt>
                <c:pt idx="28">
                  <c:v>13</c:v>
                </c:pt>
                <c:pt idx="29">
                  <c:v>16</c:v>
                </c:pt>
                <c:pt idx="30">
                  <c:v>4</c:v>
                </c:pt>
                <c:pt idx="31">
                  <c:v>3</c:v>
                </c:pt>
                <c:pt idx="32">
                  <c:v>8</c:v>
                </c:pt>
                <c:pt idx="33">
                  <c:v>7</c:v>
                </c:pt>
                <c:pt idx="34">
                  <c:v>8</c:v>
                </c:pt>
                <c:pt idx="35">
                  <c:v>9</c:v>
                </c:pt>
                <c:pt idx="36">
                  <c:v>8</c:v>
                </c:pt>
                <c:pt idx="37">
                  <c:v>9</c:v>
                </c:pt>
                <c:pt idx="38">
                  <c:v>10</c:v>
                </c:pt>
                <c:pt idx="39">
                  <c:v>8</c:v>
                </c:pt>
                <c:pt idx="40">
                  <c:v>7</c:v>
                </c:pt>
                <c:pt idx="41">
                  <c:v>8</c:v>
                </c:pt>
                <c:pt idx="42">
                  <c:v>4</c:v>
                </c:pt>
                <c:pt idx="43">
                  <c:v>9</c:v>
                </c:pt>
                <c:pt idx="44">
                  <c:v>4</c:v>
                </c:pt>
                <c:pt idx="45">
                  <c:v>7</c:v>
                </c:pt>
                <c:pt idx="46">
                  <c:v>9</c:v>
                </c:pt>
                <c:pt idx="47">
                  <c:v>9</c:v>
                </c:pt>
                <c:pt idx="48">
                  <c:v>8</c:v>
                </c:pt>
                <c:pt idx="49">
                  <c:v>7</c:v>
                </c:pt>
                <c:pt idx="50">
                  <c:v>9</c:v>
                </c:pt>
                <c:pt idx="51">
                  <c:v>6</c:v>
                </c:pt>
                <c:pt idx="52">
                  <c:v>7</c:v>
                </c:pt>
                <c:pt idx="53">
                  <c:v>10</c:v>
                </c:pt>
                <c:pt idx="54">
                  <c:v>7</c:v>
                </c:pt>
                <c:pt idx="55">
                  <c:v>8</c:v>
                </c:pt>
                <c:pt idx="56">
                  <c:v>4</c:v>
                </c:pt>
                <c:pt idx="57">
                  <c:v>7</c:v>
                </c:pt>
                <c:pt idx="58">
                  <c:v>12</c:v>
                </c:pt>
                <c:pt idx="59">
                  <c:v>9</c:v>
                </c:pt>
                <c:pt idx="60">
                  <c:v>11</c:v>
                </c:pt>
                <c:pt idx="61">
                  <c:v>5</c:v>
                </c:pt>
                <c:pt idx="62">
                  <c:v>10</c:v>
                </c:pt>
                <c:pt idx="63">
                  <c:v>8</c:v>
                </c:pt>
                <c:pt idx="64">
                  <c:v>8</c:v>
                </c:pt>
                <c:pt idx="65">
                  <c:v>10</c:v>
                </c:pt>
                <c:pt idx="66">
                  <c:v>8</c:v>
                </c:pt>
                <c:pt idx="67">
                  <c:v>6</c:v>
                </c:pt>
                <c:pt idx="68">
                  <c:v>8</c:v>
                </c:pt>
                <c:pt idx="69">
                  <c:v>7</c:v>
                </c:pt>
                <c:pt idx="70">
                  <c:v>7</c:v>
                </c:pt>
                <c:pt idx="71">
                  <c:v>9</c:v>
                </c:pt>
                <c:pt idx="72">
                  <c:v>1</c:v>
                </c:pt>
                <c:pt idx="73">
                  <c:v>3</c:v>
                </c:pt>
                <c:pt idx="74">
                  <c:v>11</c:v>
                </c:pt>
                <c:pt idx="75">
                  <c:v>7</c:v>
                </c:pt>
                <c:pt idx="76">
                  <c:v>5</c:v>
                </c:pt>
                <c:pt idx="77">
                  <c:v>5</c:v>
                </c:pt>
                <c:pt idx="78">
                  <c:v>9</c:v>
                </c:pt>
                <c:pt idx="79">
                  <c:v>10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3</c:v>
                </c:pt>
                <c:pt idx="84">
                  <c:v>13</c:v>
                </c:pt>
                <c:pt idx="85">
                  <c:v>9</c:v>
                </c:pt>
                <c:pt idx="86">
                  <c:v>6</c:v>
                </c:pt>
                <c:pt idx="87">
                  <c:v>11</c:v>
                </c:pt>
                <c:pt idx="88">
                  <c:v>11</c:v>
                </c:pt>
                <c:pt idx="89">
                  <c:v>10</c:v>
                </c:pt>
                <c:pt idx="90">
                  <c:v>10</c:v>
                </c:pt>
                <c:pt idx="91">
                  <c:v>3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9</c:v>
                </c:pt>
                <c:pt idx="96">
                  <c:v>5</c:v>
                </c:pt>
                <c:pt idx="97">
                  <c:v>10</c:v>
                </c:pt>
                <c:pt idx="98">
                  <c:v>14</c:v>
                </c:pt>
                <c:pt idx="99">
                  <c:v>6</c:v>
                </c:pt>
                <c:pt idx="100">
                  <c:v>8</c:v>
                </c:pt>
                <c:pt idx="101">
                  <c:v>7</c:v>
                </c:pt>
                <c:pt idx="102">
                  <c:v>4</c:v>
                </c:pt>
                <c:pt idx="103">
                  <c:v>7</c:v>
                </c:pt>
                <c:pt idx="104">
                  <c:v>5</c:v>
                </c:pt>
                <c:pt idx="105">
                  <c:v>12</c:v>
                </c:pt>
                <c:pt idx="106">
                  <c:v>5</c:v>
                </c:pt>
                <c:pt idx="107">
                  <c:v>5</c:v>
                </c:pt>
                <c:pt idx="108">
                  <c:v>6</c:v>
                </c:pt>
                <c:pt idx="109">
                  <c:v>8</c:v>
                </c:pt>
                <c:pt idx="110">
                  <c:v>2</c:v>
                </c:pt>
                <c:pt idx="111">
                  <c:v>5</c:v>
                </c:pt>
                <c:pt idx="112">
                  <c:v>9</c:v>
                </c:pt>
                <c:pt idx="113">
                  <c:v>14</c:v>
                </c:pt>
                <c:pt idx="114">
                  <c:v>7</c:v>
                </c:pt>
                <c:pt idx="115">
                  <c:v>3</c:v>
                </c:pt>
                <c:pt idx="116">
                  <c:v>4</c:v>
                </c:pt>
                <c:pt idx="117">
                  <c:v>6</c:v>
                </c:pt>
                <c:pt idx="118">
                  <c:v>8</c:v>
                </c:pt>
                <c:pt idx="119">
                  <c:v>6</c:v>
                </c:pt>
                <c:pt idx="120">
                  <c:v>14</c:v>
                </c:pt>
                <c:pt idx="121">
                  <c:v>5</c:v>
                </c:pt>
                <c:pt idx="122">
                  <c:v>7</c:v>
                </c:pt>
                <c:pt idx="123">
                  <c:v>4</c:v>
                </c:pt>
                <c:pt idx="124">
                  <c:v>9</c:v>
                </c:pt>
                <c:pt idx="125">
                  <c:v>9</c:v>
                </c:pt>
                <c:pt idx="126">
                  <c:v>12</c:v>
                </c:pt>
                <c:pt idx="127">
                  <c:v>3</c:v>
                </c:pt>
                <c:pt idx="128">
                  <c:v>8</c:v>
                </c:pt>
                <c:pt idx="129">
                  <c:v>9</c:v>
                </c:pt>
                <c:pt idx="130">
                  <c:v>11</c:v>
                </c:pt>
                <c:pt idx="131">
                  <c:v>14</c:v>
                </c:pt>
                <c:pt idx="132">
                  <c:v>15</c:v>
                </c:pt>
                <c:pt idx="133">
                  <c:v>10</c:v>
                </c:pt>
                <c:pt idx="134">
                  <c:v>12</c:v>
                </c:pt>
                <c:pt idx="135">
                  <c:v>16</c:v>
                </c:pt>
                <c:pt idx="136">
                  <c:v>13</c:v>
                </c:pt>
                <c:pt idx="137">
                  <c:v>7</c:v>
                </c:pt>
                <c:pt idx="138">
                  <c:v>11</c:v>
                </c:pt>
                <c:pt idx="139">
                  <c:v>12</c:v>
                </c:pt>
                <c:pt idx="140">
                  <c:v>13</c:v>
                </c:pt>
                <c:pt idx="141">
                  <c:v>7</c:v>
                </c:pt>
                <c:pt idx="142">
                  <c:v>6</c:v>
                </c:pt>
                <c:pt idx="143">
                  <c:v>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39B-4497-A643-3C1B92A27FCB}"/>
            </c:ext>
          </c:extLst>
        </c:ser>
        <c:ser>
          <c:idx val="6"/>
          <c:order val="1"/>
          <c:tx>
            <c:v>2.01+</c:v>
          </c:tx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6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8905261543886879E-2"/>
                  <c:y val="-3.112407362745619E-2"/>
                </c:manualLayout>
              </c:layout>
              <c:numFmt formatCode="General" sourceLinked="0"/>
            </c:trendlineLbl>
          </c:trendline>
          <c:xVal>
            <c:numRef>
              <c:f>'[1]ACM Events'!$A$2:$A$145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'[1]ACM Events'!$S$2:$S$145</c:f>
              <c:numCache>
                <c:formatCode>General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0</c:v>
                </c:pt>
                <c:pt idx="25">
                  <c:v>4</c:v>
                </c:pt>
                <c:pt idx="26">
                  <c:v>0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3</c:v>
                </c:pt>
                <c:pt idx="32">
                  <c:v>5</c:v>
                </c:pt>
                <c:pt idx="33">
                  <c:v>2</c:v>
                </c:pt>
                <c:pt idx="34">
                  <c:v>2</c:v>
                </c:pt>
                <c:pt idx="35">
                  <c:v>3</c:v>
                </c:pt>
                <c:pt idx="36">
                  <c:v>0</c:v>
                </c:pt>
                <c:pt idx="37">
                  <c:v>1</c:v>
                </c:pt>
                <c:pt idx="38">
                  <c:v>2</c:v>
                </c:pt>
                <c:pt idx="39">
                  <c:v>0</c:v>
                </c:pt>
                <c:pt idx="40">
                  <c:v>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2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3</c:v>
                </c:pt>
                <c:pt idx="55">
                  <c:v>0</c:v>
                </c:pt>
                <c:pt idx="56">
                  <c:v>1</c:v>
                </c:pt>
                <c:pt idx="57">
                  <c:v>0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5</c:v>
                </c:pt>
                <c:pt idx="62">
                  <c:v>2</c:v>
                </c:pt>
                <c:pt idx="63">
                  <c:v>2</c:v>
                </c:pt>
                <c:pt idx="64">
                  <c:v>4</c:v>
                </c:pt>
                <c:pt idx="65">
                  <c:v>1</c:v>
                </c:pt>
                <c:pt idx="66">
                  <c:v>1</c:v>
                </c:pt>
                <c:pt idx="67">
                  <c:v>3</c:v>
                </c:pt>
                <c:pt idx="68">
                  <c:v>2</c:v>
                </c:pt>
                <c:pt idx="69">
                  <c:v>2</c:v>
                </c:pt>
                <c:pt idx="70">
                  <c:v>6</c:v>
                </c:pt>
                <c:pt idx="71">
                  <c:v>3</c:v>
                </c:pt>
                <c:pt idx="72">
                  <c:v>2</c:v>
                </c:pt>
                <c:pt idx="73">
                  <c:v>0</c:v>
                </c:pt>
                <c:pt idx="74">
                  <c:v>5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1</c:v>
                </c:pt>
                <c:pt idx="79">
                  <c:v>4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0</c:v>
                </c:pt>
                <c:pt idx="84">
                  <c:v>7</c:v>
                </c:pt>
                <c:pt idx="85">
                  <c:v>5</c:v>
                </c:pt>
                <c:pt idx="86">
                  <c:v>2</c:v>
                </c:pt>
                <c:pt idx="87">
                  <c:v>0</c:v>
                </c:pt>
                <c:pt idx="88">
                  <c:v>2</c:v>
                </c:pt>
                <c:pt idx="89">
                  <c:v>0</c:v>
                </c:pt>
                <c:pt idx="90">
                  <c:v>0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2</c:v>
                </c:pt>
                <c:pt idx="95">
                  <c:v>1</c:v>
                </c:pt>
                <c:pt idx="96">
                  <c:v>0</c:v>
                </c:pt>
                <c:pt idx="97">
                  <c:v>5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</c:v>
                </c:pt>
                <c:pt idx="110">
                  <c:v>4</c:v>
                </c:pt>
                <c:pt idx="111">
                  <c:v>0</c:v>
                </c:pt>
                <c:pt idx="112">
                  <c:v>0</c:v>
                </c:pt>
                <c:pt idx="113">
                  <c:v>1</c:v>
                </c:pt>
                <c:pt idx="114">
                  <c:v>0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0</c:v>
                </c:pt>
                <c:pt idx="121">
                  <c:v>2</c:v>
                </c:pt>
                <c:pt idx="122">
                  <c:v>4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4</c:v>
                </c:pt>
                <c:pt idx="127">
                  <c:v>1</c:v>
                </c:pt>
                <c:pt idx="128">
                  <c:v>3</c:v>
                </c:pt>
                <c:pt idx="129">
                  <c:v>1</c:v>
                </c:pt>
                <c:pt idx="130">
                  <c:v>2</c:v>
                </c:pt>
                <c:pt idx="131">
                  <c:v>1</c:v>
                </c:pt>
                <c:pt idx="132">
                  <c:v>1</c:v>
                </c:pt>
                <c:pt idx="133">
                  <c:v>3</c:v>
                </c:pt>
                <c:pt idx="134">
                  <c:v>2</c:v>
                </c:pt>
                <c:pt idx="135">
                  <c:v>6</c:v>
                </c:pt>
                <c:pt idx="136">
                  <c:v>3</c:v>
                </c:pt>
                <c:pt idx="137">
                  <c:v>2</c:v>
                </c:pt>
                <c:pt idx="138">
                  <c:v>3</c:v>
                </c:pt>
                <c:pt idx="139">
                  <c:v>3</c:v>
                </c:pt>
                <c:pt idx="140">
                  <c:v>5</c:v>
                </c:pt>
                <c:pt idx="141">
                  <c:v>3</c:v>
                </c:pt>
                <c:pt idx="142">
                  <c:v>3</c:v>
                </c:pt>
                <c:pt idx="14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39B-4497-A643-3C1B92A27FCB}"/>
            </c:ext>
          </c:extLst>
        </c:ser>
        <c:ser>
          <c:idx val="0"/>
          <c:order val="2"/>
          <c:tx>
            <c:v>0.51 - 1.00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4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5360229963239507E-2"/>
                  <c:y val="-8.4139630009633318E-3"/>
                </c:manualLayout>
              </c:layout>
              <c:numFmt formatCode="General" sourceLinked="0"/>
            </c:trendlineLbl>
          </c:trendline>
          <c:xVal>
            <c:numRef>
              <c:f>'ACM NOE'!$A$2:$A$145</c:f>
              <c:numCache>
                <c:formatCode>General</c:formatCode>
                <c:ptCount val="144"/>
                <c:pt idx="0">
                  <c:v>1874</c:v>
                </c:pt>
                <c:pt idx="1">
                  <c:v>1875</c:v>
                </c:pt>
                <c:pt idx="2">
                  <c:v>1876</c:v>
                </c:pt>
                <c:pt idx="3">
                  <c:v>1877</c:v>
                </c:pt>
                <c:pt idx="4">
                  <c:v>1878</c:v>
                </c:pt>
                <c:pt idx="5">
                  <c:v>1879</c:v>
                </c:pt>
                <c:pt idx="6">
                  <c:v>1880</c:v>
                </c:pt>
                <c:pt idx="7">
                  <c:v>1881</c:v>
                </c:pt>
                <c:pt idx="8">
                  <c:v>1882</c:v>
                </c:pt>
                <c:pt idx="9">
                  <c:v>1883</c:v>
                </c:pt>
                <c:pt idx="10">
                  <c:v>1884</c:v>
                </c:pt>
                <c:pt idx="11">
                  <c:v>1885</c:v>
                </c:pt>
                <c:pt idx="12">
                  <c:v>1886</c:v>
                </c:pt>
                <c:pt idx="13">
                  <c:v>1887</c:v>
                </c:pt>
                <c:pt idx="14">
                  <c:v>1888</c:v>
                </c:pt>
                <c:pt idx="15">
                  <c:v>1889</c:v>
                </c:pt>
                <c:pt idx="16">
                  <c:v>1890</c:v>
                </c:pt>
                <c:pt idx="17">
                  <c:v>1891</c:v>
                </c:pt>
                <c:pt idx="18">
                  <c:v>1892</c:v>
                </c:pt>
                <c:pt idx="19">
                  <c:v>1893</c:v>
                </c:pt>
                <c:pt idx="20">
                  <c:v>1894</c:v>
                </c:pt>
                <c:pt idx="21">
                  <c:v>1895</c:v>
                </c:pt>
                <c:pt idx="22">
                  <c:v>1896</c:v>
                </c:pt>
                <c:pt idx="23">
                  <c:v>1897</c:v>
                </c:pt>
                <c:pt idx="24">
                  <c:v>1898</c:v>
                </c:pt>
                <c:pt idx="25">
                  <c:v>1899</c:v>
                </c:pt>
                <c:pt idx="26">
                  <c:v>1900</c:v>
                </c:pt>
                <c:pt idx="27">
                  <c:v>1901</c:v>
                </c:pt>
                <c:pt idx="28">
                  <c:v>1902</c:v>
                </c:pt>
                <c:pt idx="29">
                  <c:v>1903</c:v>
                </c:pt>
                <c:pt idx="30">
                  <c:v>1904</c:v>
                </c:pt>
                <c:pt idx="31">
                  <c:v>1905</c:v>
                </c:pt>
                <c:pt idx="32">
                  <c:v>1906</c:v>
                </c:pt>
                <c:pt idx="33">
                  <c:v>1907</c:v>
                </c:pt>
                <c:pt idx="34">
                  <c:v>1908</c:v>
                </c:pt>
                <c:pt idx="35">
                  <c:v>1909</c:v>
                </c:pt>
                <c:pt idx="36">
                  <c:v>1910</c:v>
                </c:pt>
                <c:pt idx="37">
                  <c:v>1911</c:v>
                </c:pt>
                <c:pt idx="38">
                  <c:v>1912</c:v>
                </c:pt>
                <c:pt idx="39">
                  <c:v>1913</c:v>
                </c:pt>
                <c:pt idx="40">
                  <c:v>1914</c:v>
                </c:pt>
                <c:pt idx="41">
                  <c:v>1915</c:v>
                </c:pt>
                <c:pt idx="42">
                  <c:v>1916</c:v>
                </c:pt>
                <c:pt idx="43">
                  <c:v>1917</c:v>
                </c:pt>
                <c:pt idx="44">
                  <c:v>1918</c:v>
                </c:pt>
                <c:pt idx="45">
                  <c:v>1919</c:v>
                </c:pt>
                <c:pt idx="46">
                  <c:v>1920</c:v>
                </c:pt>
                <c:pt idx="47">
                  <c:v>1921</c:v>
                </c:pt>
                <c:pt idx="48">
                  <c:v>1922</c:v>
                </c:pt>
                <c:pt idx="49">
                  <c:v>1923</c:v>
                </c:pt>
                <c:pt idx="50">
                  <c:v>1924</c:v>
                </c:pt>
                <c:pt idx="51">
                  <c:v>1925</c:v>
                </c:pt>
                <c:pt idx="52">
                  <c:v>1926</c:v>
                </c:pt>
                <c:pt idx="53">
                  <c:v>1927</c:v>
                </c:pt>
                <c:pt idx="54">
                  <c:v>1928</c:v>
                </c:pt>
                <c:pt idx="55">
                  <c:v>1929</c:v>
                </c:pt>
                <c:pt idx="56">
                  <c:v>1930</c:v>
                </c:pt>
                <c:pt idx="57">
                  <c:v>1931</c:v>
                </c:pt>
                <c:pt idx="58">
                  <c:v>1932</c:v>
                </c:pt>
                <c:pt idx="59">
                  <c:v>1933</c:v>
                </c:pt>
                <c:pt idx="60">
                  <c:v>1934</c:v>
                </c:pt>
                <c:pt idx="61">
                  <c:v>1935</c:v>
                </c:pt>
                <c:pt idx="62">
                  <c:v>1936</c:v>
                </c:pt>
                <c:pt idx="63">
                  <c:v>1937</c:v>
                </c:pt>
                <c:pt idx="64">
                  <c:v>1938</c:v>
                </c:pt>
                <c:pt idx="65">
                  <c:v>1939</c:v>
                </c:pt>
                <c:pt idx="66">
                  <c:v>1940</c:v>
                </c:pt>
                <c:pt idx="67">
                  <c:v>1941</c:v>
                </c:pt>
                <c:pt idx="68">
                  <c:v>1942</c:v>
                </c:pt>
                <c:pt idx="69">
                  <c:v>1943</c:v>
                </c:pt>
                <c:pt idx="70">
                  <c:v>1944</c:v>
                </c:pt>
                <c:pt idx="71">
                  <c:v>1945</c:v>
                </c:pt>
                <c:pt idx="72">
                  <c:v>1946</c:v>
                </c:pt>
                <c:pt idx="73">
                  <c:v>1947</c:v>
                </c:pt>
                <c:pt idx="74">
                  <c:v>1948</c:v>
                </c:pt>
                <c:pt idx="75">
                  <c:v>1949</c:v>
                </c:pt>
                <c:pt idx="76">
                  <c:v>1950</c:v>
                </c:pt>
                <c:pt idx="77">
                  <c:v>1951</c:v>
                </c:pt>
                <c:pt idx="78">
                  <c:v>1952</c:v>
                </c:pt>
                <c:pt idx="79">
                  <c:v>1953</c:v>
                </c:pt>
                <c:pt idx="80">
                  <c:v>1954</c:v>
                </c:pt>
                <c:pt idx="81">
                  <c:v>1955</c:v>
                </c:pt>
                <c:pt idx="82">
                  <c:v>1956</c:v>
                </c:pt>
                <c:pt idx="83">
                  <c:v>1957</c:v>
                </c:pt>
                <c:pt idx="84">
                  <c:v>1958</c:v>
                </c:pt>
                <c:pt idx="85">
                  <c:v>1959</c:v>
                </c:pt>
                <c:pt idx="86">
                  <c:v>1960</c:v>
                </c:pt>
                <c:pt idx="87">
                  <c:v>1961</c:v>
                </c:pt>
                <c:pt idx="88">
                  <c:v>1962</c:v>
                </c:pt>
                <c:pt idx="89">
                  <c:v>1963</c:v>
                </c:pt>
                <c:pt idx="90">
                  <c:v>1964</c:v>
                </c:pt>
                <c:pt idx="91">
                  <c:v>1965</c:v>
                </c:pt>
                <c:pt idx="92">
                  <c:v>1966</c:v>
                </c:pt>
                <c:pt idx="93">
                  <c:v>1967</c:v>
                </c:pt>
                <c:pt idx="94">
                  <c:v>1968</c:v>
                </c:pt>
                <c:pt idx="95">
                  <c:v>1969</c:v>
                </c:pt>
                <c:pt idx="96">
                  <c:v>1970</c:v>
                </c:pt>
                <c:pt idx="97">
                  <c:v>1971</c:v>
                </c:pt>
                <c:pt idx="98">
                  <c:v>1972</c:v>
                </c:pt>
                <c:pt idx="99">
                  <c:v>1973</c:v>
                </c:pt>
                <c:pt idx="100">
                  <c:v>1974</c:v>
                </c:pt>
                <c:pt idx="101">
                  <c:v>1975</c:v>
                </c:pt>
                <c:pt idx="102">
                  <c:v>1976</c:v>
                </c:pt>
                <c:pt idx="103">
                  <c:v>1977</c:v>
                </c:pt>
                <c:pt idx="104">
                  <c:v>1978</c:v>
                </c:pt>
                <c:pt idx="105">
                  <c:v>1979</c:v>
                </c:pt>
                <c:pt idx="106">
                  <c:v>1980</c:v>
                </c:pt>
                <c:pt idx="107">
                  <c:v>1981</c:v>
                </c:pt>
                <c:pt idx="108">
                  <c:v>1982</c:v>
                </c:pt>
                <c:pt idx="109">
                  <c:v>1983</c:v>
                </c:pt>
                <c:pt idx="110">
                  <c:v>1984</c:v>
                </c:pt>
                <c:pt idx="111">
                  <c:v>1985</c:v>
                </c:pt>
                <c:pt idx="112">
                  <c:v>1986</c:v>
                </c:pt>
                <c:pt idx="113">
                  <c:v>1987</c:v>
                </c:pt>
                <c:pt idx="114">
                  <c:v>1988</c:v>
                </c:pt>
                <c:pt idx="115">
                  <c:v>1989</c:v>
                </c:pt>
                <c:pt idx="116">
                  <c:v>1990</c:v>
                </c:pt>
                <c:pt idx="117">
                  <c:v>1991</c:v>
                </c:pt>
                <c:pt idx="118">
                  <c:v>1992</c:v>
                </c:pt>
                <c:pt idx="119">
                  <c:v>1993</c:v>
                </c:pt>
                <c:pt idx="120">
                  <c:v>1994</c:v>
                </c:pt>
                <c:pt idx="121">
                  <c:v>1995</c:v>
                </c:pt>
                <c:pt idx="122">
                  <c:v>1996</c:v>
                </c:pt>
                <c:pt idx="123">
                  <c:v>1997</c:v>
                </c:pt>
                <c:pt idx="124">
                  <c:v>1998</c:v>
                </c:pt>
                <c:pt idx="125">
                  <c:v>1999</c:v>
                </c:pt>
                <c:pt idx="126">
                  <c:v>2000</c:v>
                </c:pt>
                <c:pt idx="127">
                  <c:v>2001</c:v>
                </c:pt>
                <c:pt idx="128">
                  <c:v>2002</c:v>
                </c:pt>
                <c:pt idx="129">
                  <c:v>2003</c:v>
                </c:pt>
                <c:pt idx="130">
                  <c:v>2004</c:v>
                </c:pt>
                <c:pt idx="131">
                  <c:v>2005</c:v>
                </c:pt>
                <c:pt idx="132">
                  <c:v>2006</c:v>
                </c:pt>
                <c:pt idx="133">
                  <c:v>2007</c:v>
                </c:pt>
                <c:pt idx="134">
                  <c:v>2008</c:v>
                </c:pt>
                <c:pt idx="135">
                  <c:v>2009</c:v>
                </c:pt>
                <c:pt idx="136">
                  <c:v>2010</c:v>
                </c:pt>
                <c:pt idx="137">
                  <c:v>2011</c:v>
                </c:pt>
                <c:pt idx="138">
                  <c:v>2012</c:v>
                </c:pt>
                <c:pt idx="139">
                  <c:v>2013</c:v>
                </c:pt>
                <c:pt idx="140">
                  <c:v>2014</c:v>
                </c:pt>
                <c:pt idx="141">
                  <c:v>2015</c:v>
                </c:pt>
                <c:pt idx="142">
                  <c:v>2016</c:v>
                </c:pt>
                <c:pt idx="143">
                  <c:v>2017</c:v>
                </c:pt>
              </c:numCache>
            </c:numRef>
          </c:xVal>
          <c:yVal>
            <c:numRef>
              <c:f>'ACM NOE'!$F$2:$F$145</c:f>
              <c:numCache>
                <c:formatCode>General</c:formatCode>
                <c:ptCount val="144"/>
                <c:pt idx="0">
                  <c:v>17</c:v>
                </c:pt>
                <c:pt idx="1">
                  <c:v>19</c:v>
                </c:pt>
                <c:pt idx="2">
                  <c:v>16</c:v>
                </c:pt>
                <c:pt idx="3">
                  <c:v>13</c:v>
                </c:pt>
                <c:pt idx="4">
                  <c:v>16</c:v>
                </c:pt>
                <c:pt idx="5">
                  <c:v>19</c:v>
                </c:pt>
                <c:pt idx="6">
                  <c:v>14</c:v>
                </c:pt>
                <c:pt idx="7">
                  <c:v>17</c:v>
                </c:pt>
                <c:pt idx="8">
                  <c:v>27</c:v>
                </c:pt>
                <c:pt idx="9">
                  <c:v>19</c:v>
                </c:pt>
                <c:pt idx="10">
                  <c:v>22</c:v>
                </c:pt>
                <c:pt idx="11">
                  <c:v>10</c:v>
                </c:pt>
                <c:pt idx="12">
                  <c:v>22</c:v>
                </c:pt>
                <c:pt idx="13">
                  <c:v>17</c:v>
                </c:pt>
                <c:pt idx="14">
                  <c:v>27</c:v>
                </c:pt>
                <c:pt idx="15">
                  <c:v>19</c:v>
                </c:pt>
                <c:pt idx="16">
                  <c:v>23</c:v>
                </c:pt>
                <c:pt idx="17">
                  <c:v>23</c:v>
                </c:pt>
                <c:pt idx="18">
                  <c:v>16</c:v>
                </c:pt>
                <c:pt idx="19">
                  <c:v>24</c:v>
                </c:pt>
                <c:pt idx="20">
                  <c:v>14</c:v>
                </c:pt>
                <c:pt idx="21">
                  <c:v>14</c:v>
                </c:pt>
                <c:pt idx="22">
                  <c:v>8</c:v>
                </c:pt>
                <c:pt idx="23">
                  <c:v>13</c:v>
                </c:pt>
                <c:pt idx="24">
                  <c:v>24</c:v>
                </c:pt>
                <c:pt idx="25">
                  <c:v>14</c:v>
                </c:pt>
                <c:pt idx="26">
                  <c:v>14</c:v>
                </c:pt>
                <c:pt idx="27">
                  <c:v>19</c:v>
                </c:pt>
                <c:pt idx="28">
                  <c:v>20</c:v>
                </c:pt>
                <c:pt idx="29">
                  <c:v>22</c:v>
                </c:pt>
                <c:pt idx="30">
                  <c:v>10</c:v>
                </c:pt>
                <c:pt idx="31">
                  <c:v>17</c:v>
                </c:pt>
                <c:pt idx="32">
                  <c:v>19</c:v>
                </c:pt>
                <c:pt idx="33">
                  <c:v>21</c:v>
                </c:pt>
                <c:pt idx="34">
                  <c:v>13</c:v>
                </c:pt>
                <c:pt idx="35">
                  <c:v>9</c:v>
                </c:pt>
                <c:pt idx="36">
                  <c:v>18</c:v>
                </c:pt>
                <c:pt idx="37">
                  <c:v>21</c:v>
                </c:pt>
                <c:pt idx="38">
                  <c:v>19</c:v>
                </c:pt>
                <c:pt idx="39">
                  <c:v>14</c:v>
                </c:pt>
                <c:pt idx="40">
                  <c:v>12</c:v>
                </c:pt>
                <c:pt idx="41">
                  <c:v>15</c:v>
                </c:pt>
                <c:pt idx="42">
                  <c:v>22</c:v>
                </c:pt>
                <c:pt idx="43">
                  <c:v>19</c:v>
                </c:pt>
                <c:pt idx="44">
                  <c:v>14</c:v>
                </c:pt>
                <c:pt idx="45">
                  <c:v>15</c:v>
                </c:pt>
                <c:pt idx="46">
                  <c:v>19</c:v>
                </c:pt>
                <c:pt idx="47">
                  <c:v>20</c:v>
                </c:pt>
                <c:pt idx="48">
                  <c:v>16</c:v>
                </c:pt>
                <c:pt idx="49">
                  <c:v>19</c:v>
                </c:pt>
                <c:pt idx="50">
                  <c:v>16</c:v>
                </c:pt>
                <c:pt idx="51">
                  <c:v>16</c:v>
                </c:pt>
                <c:pt idx="52">
                  <c:v>23</c:v>
                </c:pt>
                <c:pt idx="53">
                  <c:v>10</c:v>
                </c:pt>
                <c:pt idx="54">
                  <c:v>14</c:v>
                </c:pt>
                <c:pt idx="55">
                  <c:v>18</c:v>
                </c:pt>
                <c:pt idx="56">
                  <c:v>13</c:v>
                </c:pt>
                <c:pt idx="57">
                  <c:v>14</c:v>
                </c:pt>
                <c:pt idx="58">
                  <c:v>18</c:v>
                </c:pt>
                <c:pt idx="59">
                  <c:v>22</c:v>
                </c:pt>
                <c:pt idx="60">
                  <c:v>17</c:v>
                </c:pt>
                <c:pt idx="61">
                  <c:v>18</c:v>
                </c:pt>
                <c:pt idx="62">
                  <c:v>19</c:v>
                </c:pt>
                <c:pt idx="63">
                  <c:v>15</c:v>
                </c:pt>
                <c:pt idx="64">
                  <c:v>13</c:v>
                </c:pt>
                <c:pt idx="65">
                  <c:v>21</c:v>
                </c:pt>
                <c:pt idx="66">
                  <c:v>20</c:v>
                </c:pt>
                <c:pt idx="67">
                  <c:v>11</c:v>
                </c:pt>
                <c:pt idx="68">
                  <c:v>24</c:v>
                </c:pt>
                <c:pt idx="69">
                  <c:v>14</c:v>
                </c:pt>
                <c:pt idx="70">
                  <c:v>16</c:v>
                </c:pt>
                <c:pt idx="71">
                  <c:v>18</c:v>
                </c:pt>
                <c:pt idx="72">
                  <c:v>20</c:v>
                </c:pt>
                <c:pt idx="73">
                  <c:v>21</c:v>
                </c:pt>
                <c:pt idx="74">
                  <c:v>25</c:v>
                </c:pt>
                <c:pt idx="75">
                  <c:v>16</c:v>
                </c:pt>
                <c:pt idx="76">
                  <c:v>13</c:v>
                </c:pt>
                <c:pt idx="77">
                  <c:v>18</c:v>
                </c:pt>
                <c:pt idx="78">
                  <c:v>20</c:v>
                </c:pt>
                <c:pt idx="79">
                  <c:v>19</c:v>
                </c:pt>
                <c:pt idx="80">
                  <c:v>15</c:v>
                </c:pt>
                <c:pt idx="81">
                  <c:v>15</c:v>
                </c:pt>
                <c:pt idx="82">
                  <c:v>20</c:v>
                </c:pt>
                <c:pt idx="83">
                  <c:v>22</c:v>
                </c:pt>
                <c:pt idx="84">
                  <c:v>21</c:v>
                </c:pt>
                <c:pt idx="85">
                  <c:v>12</c:v>
                </c:pt>
                <c:pt idx="86">
                  <c:v>14</c:v>
                </c:pt>
                <c:pt idx="87">
                  <c:v>18</c:v>
                </c:pt>
                <c:pt idx="88">
                  <c:v>16</c:v>
                </c:pt>
                <c:pt idx="89">
                  <c:v>12</c:v>
                </c:pt>
                <c:pt idx="90">
                  <c:v>15</c:v>
                </c:pt>
                <c:pt idx="91">
                  <c:v>16</c:v>
                </c:pt>
                <c:pt idx="92">
                  <c:v>16</c:v>
                </c:pt>
                <c:pt idx="93">
                  <c:v>15</c:v>
                </c:pt>
                <c:pt idx="94">
                  <c:v>15</c:v>
                </c:pt>
                <c:pt idx="95">
                  <c:v>16</c:v>
                </c:pt>
                <c:pt idx="96">
                  <c:v>19</c:v>
                </c:pt>
                <c:pt idx="97">
                  <c:v>12</c:v>
                </c:pt>
                <c:pt idx="98">
                  <c:v>28</c:v>
                </c:pt>
                <c:pt idx="99">
                  <c:v>15</c:v>
                </c:pt>
                <c:pt idx="100">
                  <c:v>10</c:v>
                </c:pt>
                <c:pt idx="101">
                  <c:v>22</c:v>
                </c:pt>
                <c:pt idx="102">
                  <c:v>12</c:v>
                </c:pt>
                <c:pt idx="103">
                  <c:v>12</c:v>
                </c:pt>
                <c:pt idx="104">
                  <c:v>17</c:v>
                </c:pt>
                <c:pt idx="105">
                  <c:v>21</c:v>
                </c:pt>
                <c:pt idx="106">
                  <c:v>18</c:v>
                </c:pt>
                <c:pt idx="107">
                  <c:v>19</c:v>
                </c:pt>
                <c:pt idx="108">
                  <c:v>16</c:v>
                </c:pt>
                <c:pt idx="109">
                  <c:v>23</c:v>
                </c:pt>
                <c:pt idx="110">
                  <c:v>15</c:v>
                </c:pt>
                <c:pt idx="111">
                  <c:v>14</c:v>
                </c:pt>
                <c:pt idx="112">
                  <c:v>14</c:v>
                </c:pt>
                <c:pt idx="113">
                  <c:v>13</c:v>
                </c:pt>
                <c:pt idx="114">
                  <c:v>13</c:v>
                </c:pt>
                <c:pt idx="115">
                  <c:v>8</c:v>
                </c:pt>
                <c:pt idx="116">
                  <c:v>20</c:v>
                </c:pt>
                <c:pt idx="117">
                  <c:v>19</c:v>
                </c:pt>
                <c:pt idx="118">
                  <c:v>15</c:v>
                </c:pt>
                <c:pt idx="119">
                  <c:v>16</c:v>
                </c:pt>
                <c:pt idx="120">
                  <c:v>11</c:v>
                </c:pt>
                <c:pt idx="121">
                  <c:v>18</c:v>
                </c:pt>
                <c:pt idx="122">
                  <c:v>18</c:v>
                </c:pt>
                <c:pt idx="123">
                  <c:v>20</c:v>
                </c:pt>
                <c:pt idx="124">
                  <c:v>20</c:v>
                </c:pt>
                <c:pt idx="125">
                  <c:v>17</c:v>
                </c:pt>
                <c:pt idx="126">
                  <c:v>11</c:v>
                </c:pt>
                <c:pt idx="127">
                  <c:v>9</c:v>
                </c:pt>
                <c:pt idx="128">
                  <c:v>18</c:v>
                </c:pt>
                <c:pt idx="129">
                  <c:v>20</c:v>
                </c:pt>
                <c:pt idx="130">
                  <c:v>10</c:v>
                </c:pt>
                <c:pt idx="131">
                  <c:v>20</c:v>
                </c:pt>
                <c:pt idx="132">
                  <c:v>13</c:v>
                </c:pt>
                <c:pt idx="133">
                  <c:v>15</c:v>
                </c:pt>
                <c:pt idx="134">
                  <c:v>17</c:v>
                </c:pt>
                <c:pt idx="135">
                  <c:v>18</c:v>
                </c:pt>
                <c:pt idx="136">
                  <c:v>14</c:v>
                </c:pt>
                <c:pt idx="137">
                  <c:v>25</c:v>
                </c:pt>
                <c:pt idx="138">
                  <c:v>15</c:v>
                </c:pt>
                <c:pt idx="139">
                  <c:v>11</c:v>
                </c:pt>
                <c:pt idx="140">
                  <c:v>11</c:v>
                </c:pt>
                <c:pt idx="141">
                  <c:v>19</c:v>
                </c:pt>
                <c:pt idx="142">
                  <c:v>17</c:v>
                </c:pt>
                <c:pt idx="143">
                  <c:v>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81664"/>
        <c:axId val="118483584"/>
      </c:scatterChart>
      <c:valAx>
        <c:axId val="118481664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out"/>
        <c:minorTickMark val="none"/>
        <c:tickLblPos val="nextTo"/>
        <c:crossAx val="118483584"/>
        <c:crosses val="autoZero"/>
        <c:crossBetween val="midCat"/>
      </c:valAx>
      <c:valAx>
        <c:axId val="118483584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Events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481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tx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New Brunswick: Number of Binned Events (Small)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0.03 - 0.10</c:v>
          </c:tx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1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0.10045914177985289"/>
                  <c:y val="3.0695820065375773E-3"/>
                </c:manualLayout>
              </c:layout>
              <c:numFmt formatCode="General" sourceLinked="0"/>
            </c:trendlineLbl>
          </c:trendline>
          <c:xVal>
            <c:numRef>
              <c:f>'[2]Number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'[2]Number of Events'!$C$2:$C$123</c:f>
              <c:numCache>
                <c:formatCode>General</c:formatCode>
                <c:ptCount val="122"/>
                <c:pt idx="0">
                  <c:v>23</c:v>
                </c:pt>
                <c:pt idx="1">
                  <c:v>31</c:v>
                </c:pt>
                <c:pt idx="2">
                  <c:v>32</c:v>
                </c:pt>
                <c:pt idx="3">
                  <c:v>28</c:v>
                </c:pt>
                <c:pt idx="4">
                  <c:v>31</c:v>
                </c:pt>
                <c:pt idx="5">
                  <c:v>31</c:v>
                </c:pt>
                <c:pt idx="6">
                  <c:v>38</c:v>
                </c:pt>
                <c:pt idx="7">
                  <c:v>30</c:v>
                </c:pt>
                <c:pt idx="8">
                  <c:v>38</c:v>
                </c:pt>
                <c:pt idx="9">
                  <c:v>30</c:v>
                </c:pt>
                <c:pt idx="10">
                  <c:v>27</c:v>
                </c:pt>
                <c:pt idx="11">
                  <c:v>21</c:v>
                </c:pt>
                <c:pt idx="12">
                  <c:v>25</c:v>
                </c:pt>
                <c:pt idx="13">
                  <c:v>35</c:v>
                </c:pt>
                <c:pt idx="14">
                  <c:v>44</c:v>
                </c:pt>
                <c:pt idx="15">
                  <c:v>27</c:v>
                </c:pt>
                <c:pt idx="16">
                  <c:v>22</c:v>
                </c:pt>
                <c:pt idx="17">
                  <c:v>27</c:v>
                </c:pt>
                <c:pt idx="18">
                  <c:v>24</c:v>
                </c:pt>
                <c:pt idx="19">
                  <c:v>25</c:v>
                </c:pt>
                <c:pt idx="20">
                  <c:v>34</c:v>
                </c:pt>
                <c:pt idx="21">
                  <c:v>34</c:v>
                </c:pt>
                <c:pt idx="22">
                  <c:v>28</c:v>
                </c:pt>
                <c:pt idx="23">
                  <c:v>41</c:v>
                </c:pt>
                <c:pt idx="24">
                  <c:v>30</c:v>
                </c:pt>
                <c:pt idx="25">
                  <c:v>33</c:v>
                </c:pt>
                <c:pt idx="26">
                  <c:v>27</c:v>
                </c:pt>
                <c:pt idx="27">
                  <c:v>25</c:v>
                </c:pt>
                <c:pt idx="28">
                  <c:v>25</c:v>
                </c:pt>
                <c:pt idx="29">
                  <c:v>28</c:v>
                </c:pt>
                <c:pt idx="30">
                  <c:v>36</c:v>
                </c:pt>
                <c:pt idx="31">
                  <c:v>33</c:v>
                </c:pt>
                <c:pt idx="32">
                  <c:v>32</c:v>
                </c:pt>
                <c:pt idx="33">
                  <c:v>23</c:v>
                </c:pt>
                <c:pt idx="34">
                  <c:v>28</c:v>
                </c:pt>
                <c:pt idx="35">
                  <c:v>29</c:v>
                </c:pt>
                <c:pt idx="36">
                  <c:v>27</c:v>
                </c:pt>
                <c:pt idx="37">
                  <c:v>31</c:v>
                </c:pt>
                <c:pt idx="38">
                  <c:v>37</c:v>
                </c:pt>
                <c:pt idx="39">
                  <c:v>31</c:v>
                </c:pt>
                <c:pt idx="40">
                  <c:v>31</c:v>
                </c:pt>
                <c:pt idx="41">
                  <c:v>34</c:v>
                </c:pt>
                <c:pt idx="42">
                  <c:v>38</c:v>
                </c:pt>
                <c:pt idx="43">
                  <c:v>28</c:v>
                </c:pt>
                <c:pt idx="44">
                  <c:v>28</c:v>
                </c:pt>
                <c:pt idx="45">
                  <c:v>26</c:v>
                </c:pt>
                <c:pt idx="46">
                  <c:v>19</c:v>
                </c:pt>
                <c:pt idx="47">
                  <c:v>30</c:v>
                </c:pt>
                <c:pt idx="48">
                  <c:v>28</c:v>
                </c:pt>
                <c:pt idx="49">
                  <c:v>25</c:v>
                </c:pt>
                <c:pt idx="50">
                  <c:v>27</c:v>
                </c:pt>
                <c:pt idx="51">
                  <c:v>27</c:v>
                </c:pt>
                <c:pt idx="52">
                  <c:v>41</c:v>
                </c:pt>
                <c:pt idx="53">
                  <c:v>30</c:v>
                </c:pt>
                <c:pt idx="54">
                  <c:v>40</c:v>
                </c:pt>
                <c:pt idx="55">
                  <c:v>37</c:v>
                </c:pt>
                <c:pt idx="56">
                  <c:v>32</c:v>
                </c:pt>
                <c:pt idx="57">
                  <c:v>22</c:v>
                </c:pt>
                <c:pt idx="58">
                  <c:v>27</c:v>
                </c:pt>
                <c:pt idx="59">
                  <c:v>29</c:v>
                </c:pt>
                <c:pt idx="60">
                  <c:v>28</c:v>
                </c:pt>
                <c:pt idx="61">
                  <c:v>37</c:v>
                </c:pt>
                <c:pt idx="62">
                  <c:v>25</c:v>
                </c:pt>
                <c:pt idx="63">
                  <c:v>26</c:v>
                </c:pt>
                <c:pt idx="64">
                  <c:v>21</c:v>
                </c:pt>
                <c:pt idx="65">
                  <c:v>24</c:v>
                </c:pt>
                <c:pt idx="66">
                  <c:v>34</c:v>
                </c:pt>
                <c:pt idx="67">
                  <c:v>29</c:v>
                </c:pt>
                <c:pt idx="68">
                  <c:v>27</c:v>
                </c:pt>
                <c:pt idx="69">
                  <c:v>33</c:v>
                </c:pt>
                <c:pt idx="70">
                  <c:v>24</c:v>
                </c:pt>
                <c:pt idx="71">
                  <c:v>22</c:v>
                </c:pt>
                <c:pt idx="72">
                  <c:v>28</c:v>
                </c:pt>
                <c:pt idx="73">
                  <c:v>31</c:v>
                </c:pt>
                <c:pt idx="74">
                  <c:v>26</c:v>
                </c:pt>
                <c:pt idx="75">
                  <c:v>29</c:v>
                </c:pt>
                <c:pt idx="76">
                  <c:v>35</c:v>
                </c:pt>
                <c:pt idx="77">
                  <c:v>26</c:v>
                </c:pt>
                <c:pt idx="78">
                  <c:v>22</c:v>
                </c:pt>
                <c:pt idx="79">
                  <c:v>28</c:v>
                </c:pt>
                <c:pt idx="80">
                  <c:v>29</c:v>
                </c:pt>
                <c:pt idx="81">
                  <c:v>26</c:v>
                </c:pt>
                <c:pt idx="82">
                  <c:v>24</c:v>
                </c:pt>
                <c:pt idx="83">
                  <c:v>26</c:v>
                </c:pt>
                <c:pt idx="84">
                  <c:v>22</c:v>
                </c:pt>
                <c:pt idx="85">
                  <c:v>32</c:v>
                </c:pt>
                <c:pt idx="86">
                  <c:v>25</c:v>
                </c:pt>
                <c:pt idx="87">
                  <c:v>19</c:v>
                </c:pt>
                <c:pt idx="88">
                  <c:v>25</c:v>
                </c:pt>
                <c:pt idx="89">
                  <c:v>34</c:v>
                </c:pt>
                <c:pt idx="90">
                  <c:v>35</c:v>
                </c:pt>
                <c:pt idx="91">
                  <c:v>31</c:v>
                </c:pt>
                <c:pt idx="92">
                  <c:v>17</c:v>
                </c:pt>
                <c:pt idx="93">
                  <c:v>36</c:v>
                </c:pt>
                <c:pt idx="94">
                  <c:v>39</c:v>
                </c:pt>
                <c:pt idx="95">
                  <c:v>24</c:v>
                </c:pt>
                <c:pt idx="96">
                  <c:v>31</c:v>
                </c:pt>
                <c:pt idx="97">
                  <c:v>28</c:v>
                </c:pt>
                <c:pt idx="98">
                  <c:v>26</c:v>
                </c:pt>
                <c:pt idx="99">
                  <c:v>22</c:v>
                </c:pt>
                <c:pt idx="100">
                  <c:v>40</c:v>
                </c:pt>
                <c:pt idx="101">
                  <c:v>38</c:v>
                </c:pt>
                <c:pt idx="102">
                  <c:v>34</c:v>
                </c:pt>
                <c:pt idx="103">
                  <c:v>28</c:v>
                </c:pt>
                <c:pt idx="104">
                  <c:v>34</c:v>
                </c:pt>
                <c:pt idx="105">
                  <c:v>34</c:v>
                </c:pt>
                <c:pt idx="106">
                  <c:v>26</c:v>
                </c:pt>
                <c:pt idx="107">
                  <c:v>31</c:v>
                </c:pt>
                <c:pt idx="108">
                  <c:v>28</c:v>
                </c:pt>
                <c:pt idx="109">
                  <c:v>32</c:v>
                </c:pt>
                <c:pt idx="110">
                  <c:v>18</c:v>
                </c:pt>
                <c:pt idx="111">
                  <c:v>30</c:v>
                </c:pt>
                <c:pt idx="112">
                  <c:v>33</c:v>
                </c:pt>
                <c:pt idx="113">
                  <c:v>34</c:v>
                </c:pt>
                <c:pt idx="114">
                  <c:v>27</c:v>
                </c:pt>
                <c:pt idx="115">
                  <c:v>26</c:v>
                </c:pt>
                <c:pt idx="116">
                  <c:v>27</c:v>
                </c:pt>
                <c:pt idx="117">
                  <c:v>30</c:v>
                </c:pt>
                <c:pt idx="118">
                  <c:v>20</c:v>
                </c:pt>
                <c:pt idx="119">
                  <c:v>32</c:v>
                </c:pt>
                <c:pt idx="120">
                  <c:v>31</c:v>
                </c:pt>
                <c:pt idx="121">
                  <c:v>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2F-4461-B99F-95E2F86BCE37}"/>
            </c:ext>
          </c:extLst>
        </c:ser>
        <c:ser>
          <c:idx val="1"/>
          <c:order val="1"/>
          <c:tx>
            <c:v>0.11 - 0.25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trendline>
            <c:spPr>
              <a:ln w="28575">
                <a:solidFill>
                  <a:schemeClr val="accent2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0.10098128309902869"/>
                  <c:y val="-2.6247324266838894E-2"/>
                </c:manualLayout>
              </c:layout>
              <c:numFmt formatCode="General" sourceLinked="0"/>
            </c:trendlineLbl>
          </c:trendline>
          <c:xVal>
            <c:numRef>
              <c:f>'[2]Number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'[2]Number of Events'!$D$2:$D$123</c:f>
              <c:numCache>
                <c:formatCode>General</c:formatCode>
                <c:ptCount val="122"/>
                <c:pt idx="0">
                  <c:v>22</c:v>
                </c:pt>
                <c:pt idx="1">
                  <c:v>25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31</c:v>
                </c:pt>
                <c:pt idx="6">
                  <c:v>25</c:v>
                </c:pt>
                <c:pt idx="7">
                  <c:v>29</c:v>
                </c:pt>
                <c:pt idx="8">
                  <c:v>30</c:v>
                </c:pt>
                <c:pt idx="9">
                  <c:v>22</c:v>
                </c:pt>
                <c:pt idx="10">
                  <c:v>32</c:v>
                </c:pt>
                <c:pt idx="11">
                  <c:v>34</c:v>
                </c:pt>
                <c:pt idx="12">
                  <c:v>27</c:v>
                </c:pt>
                <c:pt idx="13">
                  <c:v>33</c:v>
                </c:pt>
                <c:pt idx="14">
                  <c:v>22</c:v>
                </c:pt>
                <c:pt idx="15">
                  <c:v>24</c:v>
                </c:pt>
                <c:pt idx="16">
                  <c:v>12</c:v>
                </c:pt>
                <c:pt idx="17">
                  <c:v>24</c:v>
                </c:pt>
                <c:pt idx="18">
                  <c:v>17</c:v>
                </c:pt>
                <c:pt idx="19">
                  <c:v>24</c:v>
                </c:pt>
                <c:pt idx="20">
                  <c:v>22</c:v>
                </c:pt>
                <c:pt idx="21">
                  <c:v>24</c:v>
                </c:pt>
                <c:pt idx="22">
                  <c:v>16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32</c:v>
                </c:pt>
                <c:pt idx="27">
                  <c:v>28</c:v>
                </c:pt>
                <c:pt idx="28">
                  <c:v>25</c:v>
                </c:pt>
                <c:pt idx="29">
                  <c:v>19</c:v>
                </c:pt>
                <c:pt idx="30">
                  <c:v>27</c:v>
                </c:pt>
                <c:pt idx="31">
                  <c:v>21</c:v>
                </c:pt>
                <c:pt idx="32">
                  <c:v>23</c:v>
                </c:pt>
                <c:pt idx="33">
                  <c:v>22</c:v>
                </c:pt>
                <c:pt idx="34">
                  <c:v>21</c:v>
                </c:pt>
                <c:pt idx="35">
                  <c:v>19</c:v>
                </c:pt>
                <c:pt idx="36">
                  <c:v>32</c:v>
                </c:pt>
                <c:pt idx="37">
                  <c:v>26</c:v>
                </c:pt>
                <c:pt idx="38">
                  <c:v>22</c:v>
                </c:pt>
                <c:pt idx="39">
                  <c:v>29</c:v>
                </c:pt>
                <c:pt idx="40">
                  <c:v>24</c:v>
                </c:pt>
                <c:pt idx="41">
                  <c:v>15</c:v>
                </c:pt>
                <c:pt idx="42">
                  <c:v>34</c:v>
                </c:pt>
                <c:pt idx="43">
                  <c:v>33</c:v>
                </c:pt>
                <c:pt idx="44">
                  <c:v>23</c:v>
                </c:pt>
                <c:pt idx="45">
                  <c:v>23</c:v>
                </c:pt>
                <c:pt idx="46">
                  <c:v>17</c:v>
                </c:pt>
                <c:pt idx="47">
                  <c:v>23</c:v>
                </c:pt>
                <c:pt idx="48">
                  <c:v>19</c:v>
                </c:pt>
                <c:pt idx="49">
                  <c:v>33</c:v>
                </c:pt>
                <c:pt idx="50">
                  <c:v>27</c:v>
                </c:pt>
                <c:pt idx="51">
                  <c:v>29</c:v>
                </c:pt>
                <c:pt idx="52">
                  <c:v>24</c:v>
                </c:pt>
                <c:pt idx="53">
                  <c:v>18</c:v>
                </c:pt>
                <c:pt idx="54">
                  <c:v>31</c:v>
                </c:pt>
                <c:pt idx="55">
                  <c:v>21</c:v>
                </c:pt>
                <c:pt idx="56">
                  <c:v>19</c:v>
                </c:pt>
                <c:pt idx="57">
                  <c:v>25</c:v>
                </c:pt>
                <c:pt idx="58">
                  <c:v>23</c:v>
                </c:pt>
                <c:pt idx="59">
                  <c:v>22</c:v>
                </c:pt>
                <c:pt idx="60">
                  <c:v>36</c:v>
                </c:pt>
                <c:pt idx="61">
                  <c:v>21</c:v>
                </c:pt>
                <c:pt idx="62">
                  <c:v>23</c:v>
                </c:pt>
                <c:pt idx="63">
                  <c:v>19</c:v>
                </c:pt>
                <c:pt idx="64">
                  <c:v>20</c:v>
                </c:pt>
                <c:pt idx="65">
                  <c:v>30</c:v>
                </c:pt>
                <c:pt idx="66">
                  <c:v>12</c:v>
                </c:pt>
                <c:pt idx="67">
                  <c:v>19</c:v>
                </c:pt>
                <c:pt idx="68">
                  <c:v>23</c:v>
                </c:pt>
                <c:pt idx="69">
                  <c:v>25</c:v>
                </c:pt>
                <c:pt idx="70">
                  <c:v>16</c:v>
                </c:pt>
                <c:pt idx="71">
                  <c:v>25</c:v>
                </c:pt>
                <c:pt idx="72">
                  <c:v>14</c:v>
                </c:pt>
                <c:pt idx="73">
                  <c:v>22</c:v>
                </c:pt>
                <c:pt idx="74">
                  <c:v>18</c:v>
                </c:pt>
                <c:pt idx="75">
                  <c:v>25</c:v>
                </c:pt>
                <c:pt idx="76">
                  <c:v>24</c:v>
                </c:pt>
                <c:pt idx="77">
                  <c:v>24</c:v>
                </c:pt>
                <c:pt idx="78">
                  <c:v>21</c:v>
                </c:pt>
                <c:pt idx="79">
                  <c:v>30</c:v>
                </c:pt>
                <c:pt idx="80">
                  <c:v>29</c:v>
                </c:pt>
                <c:pt idx="81">
                  <c:v>28</c:v>
                </c:pt>
                <c:pt idx="82">
                  <c:v>23</c:v>
                </c:pt>
                <c:pt idx="83">
                  <c:v>30</c:v>
                </c:pt>
                <c:pt idx="84">
                  <c:v>24</c:v>
                </c:pt>
                <c:pt idx="85">
                  <c:v>16</c:v>
                </c:pt>
                <c:pt idx="86">
                  <c:v>19</c:v>
                </c:pt>
                <c:pt idx="87">
                  <c:v>21</c:v>
                </c:pt>
                <c:pt idx="88">
                  <c:v>17</c:v>
                </c:pt>
                <c:pt idx="89">
                  <c:v>18</c:v>
                </c:pt>
                <c:pt idx="90">
                  <c:v>23</c:v>
                </c:pt>
                <c:pt idx="91">
                  <c:v>22</c:v>
                </c:pt>
                <c:pt idx="92">
                  <c:v>20</c:v>
                </c:pt>
                <c:pt idx="93">
                  <c:v>24</c:v>
                </c:pt>
                <c:pt idx="94">
                  <c:v>24</c:v>
                </c:pt>
                <c:pt idx="95">
                  <c:v>20</c:v>
                </c:pt>
                <c:pt idx="96">
                  <c:v>26</c:v>
                </c:pt>
                <c:pt idx="97">
                  <c:v>25</c:v>
                </c:pt>
                <c:pt idx="98">
                  <c:v>18</c:v>
                </c:pt>
                <c:pt idx="99">
                  <c:v>25</c:v>
                </c:pt>
                <c:pt idx="100">
                  <c:v>26</c:v>
                </c:pt>
                <c:pt idx="101">
                  <c:v>22</c:v>
                </c:pt>
                <c:pt idx="102">
                  <c:v>16</c:v>
                </c:pt>
                <c:pt idx="103">
                  <c:v>24</c:v>
                </c:pt>
                <c:pt idx="104">
                  <c:v>21</c:v>
                </c:pt>
                <c:pt idx="105">
                  <c:v>16</c:v>
                </c:pt>
                <c:pt idx="106">
                  <c:v>19</c:v>
                </c:pt>
                <c:pt idx="107">
                  <c:v>34</c:v>
                </c:pt>
                <c:pt idx="108">
                  <c:v>23</c:v>
                </c:pt>
                <c:pt idx="109">
                  <c:v>22</c:v>
                </c:pt>
                <c:pt idx="110">
                  <c:v>27</c:v>
                </c:pt>
                <c:pt idx="111">
                  <c:v>24</c:v>
                </c:pt>
                <c:pt idx="112">
                  <c:v>23</c:v>
                </c:pt>
                <c:pt idx="113">
                  <c:v>19</c:v>
                </c:pt>
                <c:pt idx="114">
                  <c:v>17</c:v>
                </c:pt>
                <c:pt idx="115">
                  <c:v>21</c:v>
                </c:pt>
                <c:pt idx="116">
                  <c:v>26</c:v>
                </c:pt>
                <c:pt idx="117">
                  <c:v>28</c:v>
                </c:pt>
                <c:pt idx="118">
                  <c:v>25</c:v>
                </c:pt>
                <c:pt idx="119">
                  <c:v>21</c:v>
                </c:pt>
                <c:pt idx="120">
                  <c:v>24</c:v>
                </c:pt>
                <c:pt idx="121">
                  <c:v>20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C2F-4461-B99F-95E2F86BCE37}"/>
            </c:ext>
          </c:extLst>
        </c:ser>
        <c:ser>
          <c:idx val="2"/>
          <c:order val="2"/>
          <c:tx>
            <c:v>0.26 - 0.50</c:v>
          </c:tx>
          <c:spPr>
            <a:ln>
              <a:solidFill>
                <a:schemeClr val="accent3">
                  <a:lumMod val="60000"/>
                  <a:lumOff val="40000"/>
                </a:schemeClr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3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0.1018150357065135"/>
                  <c:y val="4.5019491464223862E-2"/>
                </c:manualLayout>
              </c:layout>
              <c:numFmt formatCode="General" sourceLinked="0"/>
            </c:trendlineLbl>
          </c:trendline>
          <c:xVal>
            <c:numRef>
              <c:f>'[2]Number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'[2]Number of Events'!$E$2:$E$123</c:f>
              <c:numCache>
                <c:formatCode>General</c:formatCode>
                <c:ptCount val="122"/>
                <c:pt idx="0">
                  <c:v>10</c:v>
                </c:pt>
                <c:pt idx="1">
                  <c:v>17</c:v>
                </c:pt>
                <c:pt idx="2">
                  <c:v>29</c:v>
                </c:pt>
                <c:pt idx="3">
                  <c:v>29</c:v>
                </c:pt>
                <c:pt idx="4">
                  <c:v>15</c:v>
                </c:pt>
                <c:pt idx="5">
                  <c:v>17</c:v>
                </c:pt>
                <c:pt idx="6">
                  <c:v>18</c:v>
                </c:pt>
                <c:pt idx="7">
                  <c:v>22</c:v>
                </c:pt>
                <c:pt idx="8">
                  <c:v>14</c:v>
                </c:pt>
                <c:pt idx="9">
                  <c:v>24</c:v>
                </c:pt>
                <c:pt idx="10">
                  <c:v>20</c:v>
                </c:pt>
                <c:pt idx="11">
                  <c:v>25</c:v>
                </c:pt>
                <c:pt idx="12">
                  <c:v>18</c:v>
                </c:pt>
                <c:pt idx="13">
                  <c:v>23</c:v>
                </c:pt>
                <c:pt idx="14">
                  <c:v>18</c:v>
                </c:pt>
                <c:pt idx="15">
                  <c:v>26</c:v>
                </c:pt>
                <c:pt idx="16">
                  <c:v>26</c:v>
                </c:pt>
                <c:pt idx="17">
                  <c:v>23</c:v>
                </c:pt>
                <c:pt idx="18">
                  <c:v>31</c:v>
                </c:pt>
                <c:pt idx="19">
                  <c:v>20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16</c:v>
                </c:pt>
                <c:pt idx="24">
                  <c:v>18</c:v>
                </c:pt>
                <c:pt idx="25">
                  <c:v>16</c:v>
                </c:pt>
                <c:pt idx="26">
                  <c:v>21</c:v>
                </c:pt>
                <c:pt idx="27">
                  <c:v>25</c:v>
                </c:pt>
                <c:pt idx="28">
                  <c:v>18</c:v>
                </c:pt>
                <c:pt idx="29">
                  <c:v>25</c:v>
                </c:pt>
                <c:pt idx="30">
                  <c:v>25</c:v>
                </c:pt>
                <c:pt idx="31">
                  <c:v>21</c:v>
                </c:pt>
                <c:pt idx="32">
                  <c:v>16</c:v>
                </c:pt>
                <c:pt idx="33">
                  <c:v>34</c:v>
                </c:pt>
                <c:pt idx="34">
                  <c:v>17</c:v>
                </c:pt>
                <c:pt idx="35">
                  <c:v>21</c:v>
                </c:pt>
                <c:pt idx="36">
                  <c:v>18</c:v>
                </c:pt>
                <c:pt idx="37">
                  <c:v>12</c:v>
                </c:pt>
                <c:pt idx="38">
                  <c:v>23</c:v>
                </c:pt>
                <c:pt idx="39">
                  <c:v>30</c:v>
                </c:pt>
                <c:pt idx="40">
                  <c:v>22</c:v>
                </c:pt>
                <c:pt idx="41">
                  <c:v>24</c:v>
                </c:pt>
                <c:pt idx="42">
                  <c:v>28</c:v>
                </c:pt>
                <c:pt idx="43">
                  <c:v>16</c:v>
                </c:pt>
                <c:pt idx="44">
                  <c:v>15</c:v>
                </c:pt>
                <c:pt idx="45">
                  <c:v>15</c:v>
                </c:pt>
                <c:pt idx="46">
                  <c:v>19</c:v>
                </c:pt>
                <c:pt idx="47">
                  <c:v>9</c:v>
                </c:pt>
                <c:pt idx="48">
                  <c:v>14</c:v>
                </c:pt>
                <c:pt idx="49">
                  <c:v>32</c:v>
                </c:pt>
                <c:pt idx="50">
                  <c:v>12</c:v>
                </c:pt>
                <c:pt idx="51">
                  <c:v>12</c:v>
                </c:pt>
                <c:pt idx="52">
                  <c:v>31</c:v>
                </c:pt>
                <c:pt idx="53">
                  <c:v>20</c:v>
                </c:pt>
                <c:pt idx="54">
                  <c:v>15</c:v>
                </c:pt>
                <c:pt idx="55">
                  <c:v>22</c:v>
                </c:pt>
                <c:pt idx="56">
                  <c:v>18</c:v>
                </c:pt>
                <c:pt idx="57">
                  <c:v>23</c:v>
                </c:pt>
                <c:pt idx="58">
                  <c:v>15</c:v>
                </c:pt>
                <c:pt idx="59">
                  <c:v>11</c:v>
                </c:pt>
                <c:pt idx="60">
                  <c:v>30</c:v>
                </c:pt>
                <c:pt idx="61">
                  <c:v>24</c:v>
                </c:pt>
                <c:pt idx="62">
                  <c:v>22</c:v>
                </c:pt>
                <c:pt idx="63">
                  <c:v>19</c:v>
                </c:pt>
                <c:pt idx="64">
                  <c:v>17</c:v>
                </c:pt>
                <c:pt idx="65">
                  <c:v>24</c:v>
                </c:pt>
                <c:pt idx="66">
                  <c:v>16</c:v>
                </c:pt>
                <c:pt idx="67">
                  <c:v>23</c:v>
                </c:pt>
                <c:pt idx="68">
                  <c:v>21</c:v>
                </c:pt>
                <c:pt idx="69">
                  <c:v>17</c:v>
                </c:pt>
                <c:pt idx="70">
                  <c:v>20</c:v>
                </c:pt>
                <c:pt idx="71">
                  <c:v>29</c:v>
                </c:pt>
                <c:pt idx="72">
                  <c:v>13</c:v>
                </c:pt>
                <c:pt idx="73">
                  <c:v>27</c:v>
                </c:pt>
                <c:pt idx="74">
                  <c:v>19</c:v>
                </c:pt>
                <c:pt idx="75">
                  <c:v>20</c:v>
                </c:pt>
                <c:pt idx="76">
                  <c:v>22</c:v>
                </c:pt>
                <c:pt idx="77">
                  <c:v>17</c:v>
                </c:pt>
                <c:pt idx="78">
                  <c:v>24</c:v>
                </c:pt>
                <c:pt idx="79">
                  <c:v>23</c:v>
                </c:pt>
                <c:pt idx="80">
                  <c:v>19</c:v>
                </c:pt>
                <c:pt idx="81">
                  <c:v>20</c:v>
                </c:pt>
                <c:pt idx="82">
                  <c:v>20</c:v>
                </c:pt>
                <c:pt idx="83">
                  <c:v>25</c:v>
                </c:pt>
                <c:pt idx="84">
                  <c:v>15</c:v>
                </c:pt>
                <c:pt idx="85">
                  <c:v>18</c:v>
                </c:pt>
                <c:pt idx="86">
                  <c:v>16</c:v>
                </c:pt>
                <c:pt idx="87">
                  <c:v>16</c:v>
                </c:pt>
                <c:pt idx="88">
                  <c:v>22</c:v>
                </c:pt>
                <c:pt idx="89">
                  <c:v>11</c:v>
                </c:pt>
                <c:pt idx="90">
                  <c:v>21</c:v>
                </c:pt>
                <c:pt idx="91">
                  <c:v>19</c:v>
                </c:pt>
                <c:pt idx="92">
                  <c:v>22</c:v>
                </c:pt>
                <c:pt idx="93">
                  <c:v>23</c:v>
                </c:pt>
                <c:pt idx="94">
                  <c:v>23</c:v>
                </c:pt>
                <c:pt idx="95">
                  <c:v>23</c:v>
                </c:pt>
                <c:pt idx="96">
                  <c:v>19</c:v>
                </c:pt>
                <c:pt idx="97">
                  <c:v>20</c:v>
                </c:pt>
                <c:pt idx="98">
                  <c:v>17</c:v>
                </c:pt>
                <c:pt idx="99">
                  <c:v>19</c:v>
                </c:pt>
                <c:pt idx="100">
                  <c:v>22</c:v>
                </c:pt>
                <c:pt idx="101">
                  <c:v>23</c:v>
                </c:pt>
                <c:pt idx="102">
                  <c:v>16</c:v>
                </c:pt>
                <c:pt idx="103">
                  <c:v>20</c:v>
                </c:pt>
                <c:pt idx="104">
                  <c:v>16</c:v>
                </c:pt>
                <c:pt idx="105">
                  <c:v>17</c:v>
                </c:pt>
                <c:pt idx="106">
                  <c:v>17</c:v>
                </c:pt>
                <c:pt idx="107">
                  <c:v>19</c:v>
                </c:pt>
                <c:pt idx="108">
                  <c:v>28</c:v>
                </c:pt>
                <c:pt idx="109">
                  <c:v>20</c:v>
                </c:pt>
                <c:pt idx="110">
                  <c:v>26</c:v>
                </c:pt>
                <c:pt idx="111">
                  <c:v>23</c:v>
                </c:pt>
                <c:pt idx="112">
                  <c:v>20</c:v>
                </c:pt>
                <c:pt idx="113">
                  <c:v>27</c:v>
                </c:pt>
                <c:pt idx="114">
                  <c:v>17</c:v>
                </c:pt>
                <c:pt idx="115">
                  <c:v>25</c:v>
                </c:pt>
                <c:pt idx="116">
                  <c:v>21</c:v>
                </c:pt>
                <c:pt idx="117">
                  <c:v>18</c:v>
                </c:pt>
                <c:pt idx="118">
                  <c:v>33</c:v>
                </c:pt>
                <c:pt idx="119">
                  <c:v>19</c:v>
                </c:pt>
                <c:pt idx="120">
                  <c:v>28</c:v>
                </c:pt>
                <c:pt idx="121">
                  <c:v>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DC2F-4461-B99F-95E2F86BC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95744"/>
        <c:axId val="118897664"/>
      </c:scatterChart>
      <c:valAx>
        <c:axId val="118895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897664"/>
        <c:crosses val="autoZero"/>
        <c:crossBetween val="midCat"/>
      </c:valAx>
      <c:valAx>
        <c:axId val="118897664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Events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8957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tx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New Brunswick Annual Precipitation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NB Annual Precip</c:v>
          </c:tx>
          <c:marker>
            <c:symbol val="none"/>
          </c:marker>
          <c:trendline>
            <c:spPr>
              <a:ln w="38100">
                <a:solidFill>
                  <a:schemeClr val="accent1"/>
                </a:solidFill>
                <a:prstDash val="lgDash"/>
              </a:ln>
            </c:spPr>
            <c:trendlineType val="linear"/>
            <c:dispRSqr val="1"/>
            <c:dispEq val="1"/>
            <c:trendlineLbl>
              <c:layout>
                <c:manualLayout>
                  <c:x val="0.10519921682158674"/>
                  <c:y val="2.3446154389340772E-2"/>
                </c:manualLayout>
              </c:layout>
              <c:numFmt formatCode="General" sourceLinked="0"/>
            </c:trendlineLbl>
          </c:trendline>
          <c:xVal>
            <c:numRef>
              <c:f>'[2]Amount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'[2]Amount of Events'!$B$2:$B$126</c:f>
              <c:numCache>
                <c:formatCode>General</c:formatCode>
                <c:ptCount val="125"/>
                <c:pt idx="0">
                  <c:v>29.43</c:v>
                </c:pt>
                <c:pt idx="1">
                  <c:v>50</c:v>
                </c:pt>
                <c:pt idx="2">
                  <c:v>53.17</c:v>
                </c:pt>
                <c:pt idx="3">
                  <c:v>48.98</c:v>
                </c:pt>
                <c:pt idx="4">
                  <c:v>40.619999999999997</c:v>
                </c:pt>
                <c:pt idx="5">
                  <c:v>52.45</c:v>
                </c:pt>
                <c:pt idx="6">
                  <c:v>54.76</c:v>
                </c:pt>
                <c:pt idx="7">
                  <c:v>52.05</c:v>
                </c:pt>
                <c:pt idx="8">
                  <c:v>54.12</c:v>
                </c:pt>
                <c:pt idx="9">
                  <c:v>39.369999999999997</c:v>
                </c:pt>
                <c:pt idx="10">
                  <c:v>41.87</c:v>
                </c:pt>
                <c:pt idx="11">
                  <c:v>48.02</c:v>
                </c:pt>
                <c:pt idx="12">
                  <c:v>38.869999999999997</c:v>
                </c:pt>
                <c:pt idx="13">
                  <c:v>48.65</c:v>
                </c:pt>
                <c:pt idx="14">
                  <c:v>44.05</c:v>
                </c:pt>
                <c:pt idx="15">
                  <c:v>58.19</c:v>
                </c:pt>
                <c:pt idx="16">
                  <c:v>48</c:v>
                </c:pt>
                <c:pt idx="17">
                  <c:v>42.15</c:v>
                </c:pt>
                <c:pt idx="18">
                  <c:v>36.590000000000003</c:v>
                </c:pt>
                <c:pt idx="19">
                  <c:v>47.34</c:v>
                </c:pt>
                <c:pt idx="20">
                  <c:v>39.32</c:v>
                </c:pt>
                <c:pt idx="21">
                  <c:v>39.14</c:v>
                </c:pt>
                <c:pt idx="22">
                  <c:v>36.56</c:v>
                </c:pt>
                <c:pt idx="23">
                  <c:v>50.82</c:v>
                </c:pt>
                <c:pt idx="24">
                  <c:v>54.45</c:v>
                </c:pt>
                <c:pt idx="25">
                  <c:v>42.14</c:v>
                </c:pt>
                <c:pt idx="26">
                  <c:v>42.52</c:v>
                </c:pt>
                <c:pt idx="27">
                  <c:v>35.18</c:v>
                </c:pt>
                <c:pt idx="28">
                  <c:v>45.65</c:v>
                </c:pt>
                <c:pt idx="29">
                  <c:v>36.49</c:v>
                </c:pt>
                <c:pt idx="30">
                  <c:v>45.78</c:v>
                </c:pt>
                <c:pt idx="31">
                  <c:v>50.91</c:v>
                </c:pt>
                <c:pt idx="32">
                  <c:v>45.52</c:v>
                </c:pt>
                <c:pt idx="33">
                  <c:v>45.08</c:v>
                </c:pt>
                <c:pt idx="34">
                  <c:v>32.9</c:v>
                </c:pt>
                <c:pt idx="35">
                  <c:v>35.770000000000003</c:v>
                </c:pt>
                <c:pt idx="36">
                  <c:v>43.16</c:v>
                </c:pt>
                <c:pt idx="37">
                  <c:v>46.95</c:v>
                </c:pt>
                <c:pt idx="38">
                  <c:v>42.4</c:v>
                </c:pt>
                <c:pt idx="39">
                  <c:v>41.37</c:v>
                </c:pt>
                <c:pt idx="40">
                  <c:v>45.97</c:v>
                </c:pt>
                <c:pt idx="41">
                  <c:v>42.75</c:v>
                </c:pt>
                <c:pt idx="42">
                  <c:v>48.62</c:v>
                </c:pt>
                <c:pt idx="43">
                  <c:v>37.450000000000003</c:v>
                </c:pt>
                <c:pt idx="44">
                  <c:v>45.9</c:v>
                </c:pt>
                <c:pt idx="45">
                  <c:v>36.14</c:v>
                </c:pt>
                <c:pt idx="46">
                  <c:v>50.28</c:v>
                </c:pt>
                <c:pt idx="47">
                  <c:v>36.71</c:v>
                </c:pt>
                <c:pt idx="48">
                  <c:v>50.54</c:v>
                </c:pt>
                <c:pt idx="49">
                  <c:v>51.96</c:v>
                </c:pt>
                <c:pt idx="50">
                  <c:v>38.380000000000003</c:v>
                </c:pt>
                <c:pt idx="51">
                  <c:v>44.78</c:v>
                </c:pt>
                <c:pt idx="52">
                  <c:v>49.58</c:v>
                </c:pt>
                <c:pt idx="53">
                  <c:v>39.08</c:v>
                </c:pt>
                <c:pt idx="54">
                  <c:v>39.880000000000003</c:v>
                </c:pt>
                <c:pt idx="55">
                  <c:v>47.26</c:v>
                </c:pt>
                <c:pt idx="56">
                  <c:v>49.73</c:v>
                </c:pt>
                <c:pt idx="57">
                  <c:v>45.77</c:v>
                </c:pt>
                <c:pt idx="58">
                  <c:v>42.4</c:v>
                </c:pt>
                <c:pt idx="59">
                  <c:v>41.04</c:v>
                </c:pt>
                <c:pt idx="60">
                  <c:v>43.58</c:v>
                </c:pt>
                <c:pt idx="61">
                  <c:v>35</c:v>
                </c:pt>
                <c:pt idx="62">
                  <c:v>49.81</c:v>
                </c:pt>
                <c:pt idx="63">
                  <c:v>41.32</c:v>
                </c:pt>
                <c:pt idx="64">
                  <c:v>49.41</c:v>
                </c:pt>
                <c:pt idx="65">
                  <c:v>45.53</c:v>
                </c:pt>
                <c:pt idx="66">
                  <c:v>40.01</c:v>
                </c:pt>
                <c:pt idx="67">
                  <c:v>32.950000000000003</c:v>
                </c:pt>
                <c:pt idx="68">
                  <c:v>37.479999999999997</c:v>
                </c:pt>
                <c:pt idx="69">
                  <c:v>27.51</c:v>
                </c:pt>
                <c:pt idx="70">
                  <c:v>45.17</c:v>
                </c:pt>
                <c:pt idx="71">
                  <c:v>49.06</c:v>
                </c:pt>
                <c:pt idx="72">
                  <c:v>46.15</c:v>
                </c:pt>
                <c:pt idx="73">
                  <c:v>45.18</c:v>
                </c:pt>
                <c:pt idx="74">
                  <c:v>40.92</c:v>
                </c:pt>
                <c:pt idx="75">
                  <c:v>51.96</c:v>
                </c:pt>
                <c:pt idx="76">
                  <c:v>57.25</c:v>
                </c:pt>
                <c:pt idx="77">
                  <c:v>56.53</c:v>
                </c:pt>
                <c:pt idx="78">
                  <c:v>43.09</c:v>
                </c:pt>
                <c:pt idx="79">
                  <c:v>65.849999999999994</c:v>
                </c:pt>
                <c:pt idx="80">
                  <c:v>36.159999999999997</c:v>
                </c:pt>
                <c:pt idx="81">
                  <c:v>51.38</c:v>
                </c:pt>
                <c:pt idx="82">
                  <c:v>46.12</c:v>
                </c:pt>
                <c:pt idx="83">
                  <c:v>59.11</c:v>
                </c:pt>
                <c:pt idx="84">
                  <c:v>38.97</c:v>
                </c:pt>
                <c:pt idx="85">
                  <c:v>40</c:v>
                </c:pt>
                <c:pt idx="86">
                  <c:v>40.98</c:v>
                </c:pt>
                <c:pt idx="87">
                  <c:v>61.82</c:v>
                </c:pt>
                <c:pt idx="88">
                  <c:v>52.93</c:v>
                </c:pt>
                <c:pt idx="89">
                  <c:v>43.42</c:v>
                </c:pt>
                <c:pt idx="90">
                  <c:v>41.51</c:v>
                </c:pt>
                <c:pt idx="91">
                  <c:v>49.53</c:v>
                </c:pt>
                <c:pt idx="92">
                  <c:v>48.66</c:v>
                </c:pt>
                <c:pt idx="93">
                  <c:v>60.47</c:v>
                </c:pt>
                <c:pt idx="94">
                  <c:v>52.32</c:v>
                </c:pt>
                <c:pt idx="95">
                  <c:v>44.72</c:v>
                </c:pt>
                <c:pt idx="96">
                  <c:v>42.04</c:v>
                </c:pt>
                <c:pt idx="97">
                  <c:v>48.02</c:v>
                </c:pt>
                <c:pt idx="98">
                  <c:v>46.54</c:v>
                </c:pt>
                <c:pt idx="99">
                  <c:v>38.119999999999997</c:v>
                </c:pt>
                <c:pt idx="100">
                  <c:v>61.45</c:v>
                </c:pt>
                <c:pt idx="101">
                  <c:v>48.62</c:v>
                </c:pt>
                <c:pt idx="102">
                  <c:v>44.11</c:v>
                </c:pt>
                <c:pt idx="103">
                  <c:v>47.14</c:v>
                </c:pt>
                <c:pt idx="104">
                  <c:v>43.12</c:v>
                </c:pt>
                <c:pt idx="105">
                  <c:v>39.53</c:v>
                </c:pt>
                <c:pt idx="106">
                  <c:v>48.82</c:v>
                </c:pt>
                <c:pt idx="107">
                  <c:v>60.85</c:v>
                </c:pt>
                <c:pt idx="108">
                  <c:v>49.2</c:v>
                </c:pt>
                <c:pt idx="109">
                  <c:v>52.47</c:v>
                </c:pt>
                <c:pt idx="110">
                  <c:v>51.77</c:v>
                </c:pt>
                <c:pt idx="111">
                  <c:v>55.27</c:v>
                </c:pt>
                <c:pt idx="112">
                  <c:v>54.45</c:v>
                </c:pt>
                <c:pt idx="113">
                  <c:v>51.89</c:v>
                </c:pt>
                <c:pt idx="114">
                  <c:v>46.04</c:v>
                </c:pt>
                <c:pt idx="115">
                  <c:v>66.11</c:v>
                </c:pt>
                <c:pt idx="116">
                  <c:v>40.67</c:v>
                </c:pt>
                <c:pt idx="117">
                  <c:v>45.48</c:v>
                </c:pt>
                <c:pt idx="118">
                  <c:v>50.9</c:v>
                </c:pt>
                <c:pt idx="119">
                  <c:v>39.51</c:v>
                </c:pt>
                <c:pt idx="120">
                  <c:v>38.770000000000003</c:v>
                </c:pt>
                <c:pt idx="121">
                  <c:v>51.34</c:v>
                </c:pt>
                <c:pt idx="123">
                  <c:v>0</c:v>
                </c:pt>
                <c:pt idx="12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9BA-4F76-8569-DDC3B37C2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620928"/>
        <c:axId val="118622848"/>
      </c:scatterChart>
      <c:valAx>
        <c:axId val="118620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622848"/>
        <c:crosses val="autoZero"/>
        <c:crossBetween val="midCat"/>
      </c:valAx>
      <c:valAx>
        <c:axId val="118622848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Rainfall (Inches)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620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bg2"/>
    </a:solidFill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New Brunswick: Total Precipitation Within</a:t>
            </a:r>
            <a:r>
              <a:rPr lang="en-US" baseline="0"/>
              <a:t> Bins (Small)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0.03 - 0.10</c:v>
          </c:tx>
          <c:marker>
            <c:symbol val="none"/>
          </c:marker>
          <c:trendline>
            <c:spPr>
              <a:ln w="38100">
                <a:solidFill>
                  <a:schemeClr val="tx2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7550679631825524E-2"/>
                  <c:y val="2.6483945378020812E-3"/>
                </c:manualLayout>
              </c:layout>
              <c:numFmt formatCode="General" sourceLinked="0"/>
            </c:trendlineLbl>
          </c:trendline>
          <c:xVal>
            <c:numRef>
              <c:f>'[2]Amount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'[2]Amount of Events'!$C$2:$C$123</c:f>
              <c:numCache>
                <c:formatCode>General</c:formatCode>
                <c:ptCount val="122"/>
                <c:pt idx="0">
                  <c:v>1.52</c:v>
                </c:pt>
                <c:pt idx="1">
                  <c:v>1.78</c:v>
                </c:pt>
                <c:pt idx="2">
                  <c:v>1.88</c:v>
                </c:pt>
                <c:pt idx="3">
                  <c:v>1.94</c:v>
                </c:pt>
                <c:pt idx="4">
                  <c:v>1.86</c:v>
                </c:pt>
                <c:pt idx="5">
                  <c:v>1.9</c:v>
                </c:pt>
                <c:pt idx="6">
                  <c:v>2.4900000000000002</c:v>
                </c:pt>
                <c:pt idx="7">
                  <c:v>1.47</c:v>
                </c:pt>
                <c:pt idx="8">
                  <c:v>2.1800000000000002</c:v>
                </c:pt>
                <c:pt idx="9">
                  <c:v>1.97</c:v>
                </c:pt>
                <c:pt idx="10">
                  <c:v>1.45</c:v>
                </c:pt>
                <c:pt idx="11">
                  <c:v>1.42</c:v>
                </c:pt>
                <c:pt idx="12">
                  <c:v>1.43</c:v>
                </c:pt>
                <c:pt idx="13">
                  <c:v>2.0699999999999998</c:v>
                </c:pt>
                <c:pt idx="14">
                  <c:v>2.37</c:v>
                </c:pt>
                <c:pt idx="15">
                  <c:v>1.74</c:v>
                </c:pt>
                <c:pt idx="16">
                  <c:v>1.32</c:v>
                </c:pt>
                <c:pt idx="17">
                  <c:v>1.44</c:v>
                </c:pt>
                <c:pt idx="18">
                  <c:v>1.39</c:v>
                </c:pt>
                <c:pt idx="19">
                  <c:v>1.58</c:v>
                </c:pt>
                <c:pt idx="20">
                  <c:v>2.2000000000000002</c:v>
                </c:pt>
                <c:pt idx="21">
                  <c:v>2.0099999999999998</c:v>
                </c:pt>
                <c:pt idx="22">
                  <c:v>1.34</c:v>
                </c:pt>
                <c:pt idx="23">
                  <c:v>2.5499999999999998</c:v>
                </c:pt>
                <c:pt idx="24">
                  <c:v>1.94</c:v>
                </c:pt>
                <c:pt idx="25">
                  <c:v>2.12</c:v>
                </c:pt>
                <c:pt idx="26">
                  <c:v>1.39</c:v>
                </c:pt>
                <c:pt idx="27">
                  <c:v>1.63</c:v>
                </c:pt>
                <c:pt idx="28">
                  <c:v>1.61</c:v>
                </c:pt>
                <c:pt idx="29">
                  <c:v>1.66</c:v>
                </c:pt>
                <c:pt idx="30">
                  <c:v>2.3199999999999998</c:v>
                </c:pt>
                <c:pt idx="31">
                  <c:v>1.93</c:v>
                </c:pt>
                <c:pt idx="32">
                  <c:v>2.0299999999999998</c:v>
                </c:pt>
                <c:pt idx="33">
                  <c:v>1.46</c:v>
                </c:pt>
                <c:pt idx="34">
                  <c:v>1.72</c:v>
                </c:pt>
                <c:pt idx="35">
                  <c:v>1.51</c:v>
                </c:pt>
                <c:pt idx="36">
                  <c:v>1.55</c:v>
                </c:pt>
                <c:pt idx="37">
                  <c:v>2.0099999999999998</c:v>
                </c:pt>
                <c:pt idx="38">
                  <c:v>2.08</c:v>
                </c:pt>
                <c:pt idx="39">
                  <c:v>1.73</c:v>
                </c:pt>
                <c:pt idx="40">
                  <c:v>2.09</c:v>
                </c:pt>
                <c:pt idx="41">
                  <c:v>2.0099999999999998</c:v>
                </c:pt>
                <c:pt idx="42">
                  <c:v>2.29</c:v>
                </c:pt>
                <c:pt idx="43">
                  <c:v>1.45</c:v>
                </c:pt>
                <c:pt idx="44">
                  <c:v>1.63</c:v>
                </c:pt>
                <c:pt idx="45">
                  <c:v>1.55</c:v>
                </c:pt>
                <c:pt idx="46">
                  <c:v>1.19</c:v>
                </c:pt>
                <c:pt idx="47">
                  <c:v>1.74</c:v>
                </c:pt>
                <c:pt idx="48">
                  <c:v>1.81</c:v>
                </c:pt>
                <c:pt idx="49">
                  <c:v>1.58</c:v>
                </c:pt>
                <c:pt idx="50">
                  <c:v>1.74</c:v>
                </c:pt>
                <c:pt idx="51">
                  <c:v>1.6</c:v>
                </c:pt>
                <c:pt idx="52">
                  <c:v>2.42</c:v>
                </c:pt>
                <c:pt idx="53">
                  <c:v>1.73</c:v>
                </c:pt>
                <c:pt idx="54">
                  <c:v>2.2200000000000002</c:v>
                </c:pt>
                <c:pt idx="55">
                  <c:v>2.15</c:v>
                </c:pt>
                <c:pt idx="56">
                  <c:v>2.14</c:v>
                </c:pt>
                <c:pt idx="57">
                  <c:v>1.33</c:v>
                </c:pt>
                <c:pt idx="58">
                  <c:v>1.42</c:v>
                </c:pt>
                <c:pt idx="59">
                  <c:v>1.76</c:v>
                </c:pt>
                <c:pt idx="60">
                  <c:v>1.98</c:v>
                </c:pt>
                <c:pt idx="61">
                  <c:v>2.57</c:v>
                </c:pt>
                <c:pt idx="62">
                  <c:v>1.56</c:v>
                </c:pt>
                <c:pt idx="63">
                  <c:v>1.74</c:v>
                </c:pt>
                <c:pt idx="64">
                  <c:v>1.32</c:v>
                </c:pt>
                <c:pt idx="65">
                  <c:v>1.36</c:v>
                </c:pt>
                <c:pt idx="66">
                  <c:v>2.1</c:v>
                </c:pt>
                <c:pt idx="67">
                  <c:v>1.6</c:v>
                </c:pt>
                <c:pt idx="68">
                  <c:v>1.78</c:v>
                </c:pt>
                <c:pt idx="69">
                  <c:v>1.89</c:v>
                </c:pt>
                <c:pt idx="70">
                  <c:v>1.49</c:v>
                </c:pt>
                <c:pt idx="71">
                  <c:v>1.37</c:v>
                </c:pt>
                <c:pt idx="72">
                  <c:v>1.7</c:v>
                </c:pt>
                <c:pt idx="73">
                  <c:v>1.78</c:v>
                </c:pt>
                <c:pt idx="74">
                  <c:v>1.46</c:v>
                </c:pt>
                <c:pt idx="75">
                  <c:v>1.74</c:v>
                </c:pt>
                <c:pt idx="76">
                  <c:v>2.2200000000000002</c:v>
                </c:pt>
                <c:pt idx="77">
                  <c:v>1.58</c:v>
                </c:pt>
                <c:pt idx="78">
                  <c:v>1.39</c:v>
                </c:pt>
                <c:pt idx="79">
                  <c:v>1.66</c:v>
                </c:pt>
                <c:pt idx="80">
                  <c:v>1.78</c:v>
                </c:pt>
                <c:pt idx="81">
                  <c:v>1.44</c:v>
                </c:pt>
                <c:pt idx="82">
                  <c:v>1.35</c:v>
                </c:pt>
                <c:pt idx="83">
                  <c:v>1.62</c:v>
                </c:pt>
                <c:pt idx="84">
                  <c:v>1.35</c:v>
                </c:pt>
                <c:pt idx="85">
                  <c:v>1.85</c:v>
                </c:pt>
                <c:pt idx="86">
                  <c:v>1.54</c:v>
                </c:pt>
                <c:pt idx="87">
                  <c:v>1</c:v>
                </c:pt>
                <c:pt idx="88">
                  <c:v>1.43</c:v>
                </c:pt>
                <c:pt idx="89">
                  <c:v>1.94</c:v>
                </c:pt>
                <c:pt idx="90">
                  <c:v>1.94</c:v>
                </c:pt>
                <c:pt idx="91">
                  <c:v>1.79</c:v>
                </c:pt>
                <c:pt idx="92">
                  <c:v>0.99</c:v>
                </c:pt>
                <c:pt idx="93">
                  <c:v>2.14</c:v>
                </c:pt>
                <c:pt idx="94">
                  <c:v>2.04</c:v>
                </c:pt>
                <c:pt idx="95">
                  <c:v>1.38</c:v>
                </c:pt>
                <c:pt idx="96">
                  <c:v>1.83</c:v>
                </c:pt>
                <c:pt idx="97">
                  <c:v>1.59</c:v>
                </c:pt>
                <c:pt idx="98">
                  <c:v>1.64</c:v>
                </c:pt>
                <c:pt idx="99">
                  <c:v>1.28</c:v>
                </c:pt>
                <c:pt idx="100">
                  <c:v>2.37</c:v>
                </c:pt>
                <c:pt idx="101">
                  <c:v>2.35</c:v>
                </c:pt>
                <c:pt idx="102">
                  <c:v>2.17</c:v>
                </c:pt>
                <c:pt idx="103">
                  <c:v>1.58</c:v>
                </c:pt>
                <c:pt idx="104">
                  <c:v>2.0099999999999998</c:v>
                </c:pt>
                <c:pt idx="105">
                  <c:v>1.85</c:v>
                </c:pt>
                <c:pt idx="106">
                  <c:v>1.43</c:v>
                </c:pt>
                <c:pt idx="107">
                  <c:v>1.84</c:v>
                </c:pt>
                <c:pt idx="108">
                  <c:v>1.65</c:v>
                </c:pt>
                <c:pt idx="109">
                  <c:v>1.89</c:v>
                </c:pt>
                <c:pt idx="110">
                  <c:v>1.1499999999999999</c:v>
                </c:pt>
                <c:pt idx="111">
                  <c:v>1.6</c:v>
                </c:pt>
                <c:pt idx="112">
                  <c:v>2.11</c:v>
                </c:pt>
                <c:pt idx="113">
                  <c:v>2.17</c:v>
                </c:pt>
                <c:pt idx="114">
                  <c:v>1.63</c:v>
                </c:pt>
                <c:pt idx="115">
                  <c:v>1.52</c:v>
                </c:pt>
                <c:pt idx="116">
                  <c:v>1.64</c:v>
                </c:pt>
                <c:pt idx="117">
                  <c:v>1.68</c:v>
                </c:pt>
                <c:pt idx="118">
                  <c:v>1.24</c:v>
                </c:pt>
                <c:pt idx="119">
                  <c:v>1.76</c:v>
                </c:pt>
                <c:pt idx="120">
                  <c:v>1.65</c:v>
                </c:pt>
                <c:pt idx="121">
                  <c:v>2.27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D2E-47C3-98D5-D83CFD17E9EF}"/>
            </c:ext>
          </c:extLst>
        </c:ser>
        <c:ser>
          <c:idx val="1"/>
          <c:order val="1"/>
          <c:tx>
            <c:v>0.11 - 0.25</c:v>
          </c:tx>
          <c:marker>
            <c:symbol val="none"/>
          </c:marker>
          <c:trendline>
            <c:spPr>
              <a:ln w="38100">
                <a:solidFill>
                  <a:schemeClr val="accent2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7550679631825524E-2"/>
                  <c:y val="3.9162689252602674E-3"/>
                </c:manualLayout>
              </c:layout>
              <c:numFmt formatCode="General" sourceLinked="0"/>
            </c:trendlineLbl>
          </c:trendline>
          <c:xVal>
            <c:numRef>
              <c:f>'[2]Amount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'[2]Amount of Events'!$D$2:$D$123</c:f>
              <c:numCache>
                <c:formatCode>General</c:formatCode>
                <c:ptCount val="122"/>
                <c:pt idx="0">
                  <c:v>3.64</c:v>
                </c:pt>
                <c:pt idx="1">
                  <c:v>4.22</c:v>
                </c:pt>
                <c:pt idx="2">
                  <c:v>5.39</c:v>
                </c:pt>
                <c:pt idx="3">
                  <c:v>3.5199999999999898</c:v>
                </c:pt>
                <c:pt idx="4">
                  <c:v>3.32</c:v>
                </c:pt>
                <c:pt idx="5">
                  <c:v>5.18</c:v>
                </c:pt>
                <c:pt idx="6">
                  <c:v>4.1399999999999997</c:v>
                </c:pt>
                <c:pt idx="7">
                  <c:v>5.2799999999999896</c:v>
                </c:pt>
                <c:pt idx="8">
                  <c:v>4.9400000000000004</c:v>
                </c:pt>
                <c:pt idx="9">
                  <c:v>3.75999999999999</c:v>
                </c:pt>
                <c:pt idx="10">
                  <c:v>5.3</c:v>
                </c:pt>
                <c:pt idx="11">
                  <c:v>5.88</c:v>
                </c:pt>
                <c:pt idx="12">
                  <c:v>4.78</c:v>
                </c:pt>
                <c:pt idx="13">
                  <c:v>5.47</c:v>
                </c:pt>
                <c:pt idx="14">
                  <c:v>3.46999999999999</c:v>
                </c:pt>
                <c:pt idx="15">
                  <c:v>4.2300000000000004</c:v>
                </c:pt>
                <c:pt idx="16">
                  <c:v>1.94999999999999</c:v>
                </c:pt>
                <c:pt idx="17">
                  <c:v>4.1900000000000004</c:v>
                </c:pt>
                <c:pt idx="18">
                  <c:v>2.84</c:v>
                </c:pt>
                <c:pt idx="19">
                  <c:v>4.1900000000000004</c:v>
                </c:pt>
                <c:pt idx="20">
                  <c:v>4</c:v>
                </c:pt>
                <c:pt idx="21">
                  <c:v>4.1100000000000003</c:v>
                </c:pt>
                <c:pt idx="22">
                  <c:v>2.78</c:v>
                </c:pt>
                <c:pt idx="23">
                  <c:v>4.25999999999999</c:v>
                </c:pt>
                <c:pt idx="24">
                  <c:v>4.0199999999999996</c:v>
                </c:pt>
                <c:pt idx="25">
                  <c:v>4.68</c:v>
                </c:pt>
                <c:pt idx="26">
                  <c:v>5.98</c:v>
                </c:pt>
                <c:pt idx="27">
                  <c:v>4.9800000000000004</c:v>
                </c:pt>
                <c:pt idx="28">
                  <c:v>4.4599999999999902</c:v>
                </c:pt>
                <c:pt idx="29">
                  <c:v>3.59</c:v>
                </c:pt>
                <c:pt idx="30">
                  <c:v>4.93</c:v>
                </c:pt>
                <c:pt idx="31">
                  <c:v>3.15</c:v>
                </c:pt>
                <c:pt idx="32">
                  <c:v>3.68</c:v>
                </c:pt>
                <c:pt idx="33">
                  <c:v>3.55</c:v>
                </c:pt>
                <c:pt idx="34">
                  <c:v>3.48</c:v>
                </c:pt>
                <c:pt idx="35">
                  <c:v>3.36</c:v>
                </c:pt>
                <c:pt idx="36">
                  <c:v>5.25</c:v>
                </c:pt>
                <c:pt idx="37">
                  <c:v>4.68</c:v>
                </c:pt>
                <c:pt idx="38">
                  <c:v>4.2799999999999896</c:v>
                </c:pt>
                <c:pt idx="39">
                  <c:v>5.13</c:v>
                </c:pt>
                <c:pt idx="40">
                  <c:v>3.83</c:v>
                </c:pt>
                <c:pt idx="41">
                  <c:v>2.61</c:v>
                </c:pt>
                <c:pt idx="42">
                  <c:v>6.11</c:v>
                </c:pt>
                <c:pt idx="43">
                  <c:v>5.74</c:v>
                </c:pt>
                <c:pt idx="44">
                  <c:v>3.5399999999999898</c:v>
                </c:pt>
                <c:pt idx="45">
                  <c:v>3.38</c:v>
                </c:pt>
                <c:pt idx="46">
                  <c:v>3.17</c:v>
                </c:pt>
                <c:pt idx="47">
                  <c:v>4.1199999999999903</c:v>
                </c:pt>
                <c:pt idx="48">
                  <c:v>3.36</c:v>
                </c:pt>
                <c:pt idx="49">
                  <c:v>5.43</c:v>
                </c:pt>
                <c:pt idx="50">
                  <c:v>4.5</c:v>
                </c:pt>
                <c:pt idx="51">
                  <c:v>5.14</c:v>
                </c:pt>
                <c:pt idx="52">
                  <c:v>4.45</c:v>
                </c:pt>
                <c:pt idx="53">
                  <c:v>3.22</c:v>
                </c:pt>
                <c:pt idx="54">
                  <c:v>5.53</c:v>
                </c:pt>
                <c:pt idx="55">
                  <c:v>3.34</c:v>
                </c:pt>
                <c:pt idx="56">
                  <c:v>3.17</c:v>
                </c:pt>
                <c:pt idx="57">
                  <c:v>4.55</c:v>
                </c:pt>
                <c:pt idx="58">
                  <c:v>3.71999999999999</c:v>
                </c:pt>
                <c:pt idx="59">
                  <c:v>3.85</c:v>
                </c:pt>
                <c:pt idx="60">
                  <c:v>6.17</c:v>
                </c:pt>
                <c:pt idx="61">
                  <c:v>3.49</c:v>
                </c:pt>
                <c:pt idx="62">
                  <c:v>4</c:v>
                </c:pt>
                <c:pt idx="63">
                  <c:v>3.18</c:v>
                </c:pt>
                <c:pt idx="64">
                  <c:v>3.64</c:v>
                </c:pt>
                <c:pt idx="65">
                  <c:v>5.2299999999999898</c:v>
                </c:pt>
                <c:pt idx="66">
                  <c:v>1.9199999999999899</c:v>
                </c:pt>
                <c:pt idx="67">
                  <c:v>3.3499999999999899</c:v>
                </c:pt>
                <c:pt idx="68">
                  <c:v>4.1399999999999997</c:v>
                </c:pt>
                <c:pt idx="69">
                  <c:v>4.62</c:v>
                </c:pt>
                <c:pt idx="70">
                  <c:v>2.8</c:v>
                </c:pt>
                <c:pt idx="71">
                  <c:v>4.3499999999999996</c:v>
                </c:pt>
                <c:pt idx="72">
                  <c:v>2.5499999999999998</c:v>
                </c:pt>
                <c:pt idx="73">
                  <c:v>3.64</c:v>
                </c:pt>
                <c:pt idx="74">
                  <c:v>3.43</c:v>
                </c:pt>
                <c:pt idx="75">
                  <c:v>3.97</c:v>
                </c:pt>
                <c:pt idx="76">
                  <c:v>4.0199999999999996</c:v>
                </c:pt>
                <c:pt idx="77">
                  <c:v>4.51</c:v>
                </c:pt>
                <c:pt idx="78">
                  <c:v>3.8799999999999901</c:v>
                </c:pt>
                <c:pt idx="79">
                  <c:v>5.24</c:v>
                </c:pt>
                <c:pt idx="80">
                  <c:v>5.13</c:v>
                </c:pt>
                <c:pt idx="81">
                  <c:v>4.4400000000000004</c:v>
                </c:pt>
                <c:pt idx="82">
                  <c:v>3.44</c:v>
                </c:pt>
                <c:pt idx="83">
                  <c:v>5.09</c:v>
                </c:pt>
                <c:pt idx="84">
                  <c:v>4.17</c:v>
                </c:pt>
                <c:pt idx="85">
                  <c:v>2.82</c:v>
                </c:pt>
                <c:pt idx="86">
                  <c:v>3.5399999999999898</c:v>
                </c:pt>
                <c:pt idx="87">
                  <c:v>3.57</c:v>
                </c:pt>
                <c:pt idx="88">
                  <c:v>2.8699999999999899</c:v>
                </c:pt>
                <c:pt idx="89">
                  <c:v>2.95</c:v>
                </c:pt>
                <c:pt idx="90">
                  <c:v>4.04</c:v>
                </c:pt>
                <c:pt idx="91">
                  <c:v>3.95</c:v>
                </c:pt>
                <c:pt idx="92">
                  <c:v>3.43</c:v>
                </c:pt>
                <c:pt idx="93">
                  <c:v>4.0599999999999996</c:v>
                </c:pt>
                <c:pt idx="94">
                  <c:v>4.13</c:v>
                </c:pt>
                <c:pt idx="95">
                  <c:v>3.31</c:v>
                </c:pt>
                <c:pt idx="96">
                  <c:v>4.6100000000000003</c:v>
                </c:pt>
                <c:pt idx="97">
                  <c:v>4.2399999999999904</c:v>
                </c:pt>
                <c:pt idx="98">
                  <c:v>3.37</c:v>
                </c:pt>
                <c:pt idx="99">
                  <c:v>4.4400000000000004</c:v>
                </c:pt>
                <c:pt idx="100">
                  <c:v>4.1100000000000003</c:v>
                </c:pt>
                <c:pt idx="101">
                  <c:v>3.58</c:v>
                </c:pt>
                <c:pt idx="102">
                  <c:v>2.96</c:v>
                </c:pt>
                <c:pt idx="103">
                  <c:v>4.05</c:v>
                </c:pt>
                <c:pt idx="104">
                  <c:v>3.92</c:v>
                </c:pt>
                <c:pt idx="105">
                  <c:v>2.64</c:v>
                </c:pt>
                <c:pt idx="106">
                  <c:v>2.92</c:v>
                </c:pt>
                <c:pt idx="107">
                  <c:v>5.67</c:v>
                </c:pt>
                <c:pt idx="108">
                  <c:v>4.04</c:v>
                </c:pt>
                <c:pt idx="109">
                  <c:v>3.69</c:v>
                </c:pt>
                <c:pt idx="110">
                  <c:v>4.55</c:v>
                </c:pt>
                <c:pt idx="111">
                  <c:v>4.07</c:v>
                </c:pt>
                <c:pt idx="112">
                  <c:v>3.76</c:v>
                </c:pt>
                <c:pt idx="113">
                  <c:v>2.97</c:v>
                </c:pt>
                <c:pt idx="114">
                  <c:v>2.8</c:v>
                </c:pt>
                <c:pt idx="115">
                  <c:v>3.67</c:v>
                </c:pt>
                <c:pt idx="116">
                  <c:v>4.78</c:v>
                </c:pt>
                <c:pt idx="117">
                  <c:v>4.78</c:v>
                </c:pt>
                <c:pt idx="118">
                  <c:v>4.46</c:v>
                </c:pt>
                <c:pt idx="119">
                  <c:v>3.3799999999999901</c:v>
                </c:pt>
                <c:pt idx="120">
                  <c:v>4.0999999999999996</c:v>
                </c:pt>
                <c:pt idx="121">
                  <c:v>3.48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D2E-47C3-98D5-D83CFD17E9EF}"/>
            </c:ext>
          </c:extLst>
        </c:ser>
        <c:ser>
          <c:idx val="2"/>
          <c:order val="2"/>
          <c:tx>
            <c:v>0.26 - 0.50</c:v>
          </c:tx>
          <c:marker>
            <c:symbol val="none"/>
          </c:marker>
          <c:trendline>
            <c:spPr>
              <a:ln w="38100">
                <a:solidFill>
                  <a:schemeClr val="accent3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8397930601217459E-2"/>
                  <c:y val="-1.4856887053035672E-4"/>
                </c:manualLayout>
              </c:layout>
              <c:numFmt formatCode="General" sourceLinked="0"/>
            </c:trendlineLbl>
          </c:trendline>
          <c:xVal>
            <c:numRef>
              <c:f>'[2]Amount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'[2]Amount of Events'!$E$2:$E$123</c:f>
              <c:numCache>
                <c:formatCode>General</c:formatCode>
                <c:ptCount val="122"/>
                <c:pt idx="0">
                  <c:v>3.44999999999999</c:v>
                </c:pt>
                <c:pt idx="1">
                  <c:v>6.45</c:v>
                </c:pt>
                <c:pt idx="2">
                  <c:v>10.039999999999999</c:v>
                </c:pt>
                <c:pt idx="3">
                  <c:v>11.1</c:v>
                </c:pt>
                <c:pt idx="4">
                  <c:v>5.41</c:v>
                </c:pt>
                <c:pt idx="5">
                  <c:v>6.4599999999999902</c:v>
                </c:pt>
                <c:pt idx="6">
                  <c:v>6.8</c:v>
                </c:pt>
                <c:pt idx="7">
                  <c:v>8.17</c:v>
                </c:pt>
                <c:pt idx="8">
                  <c:v>4.62</c:v>
                </c:pt>
                <c:pt idx="9">
                  <c:v>8.51</c:v>
                </c:pt>
                <c:pt idx="10">
                  <c:v>7.0799999999999903</c:v>
                </c:pt>
                <c:pt idx="11">
                  <c:v>9.01</c:v>
                </c:pt>
                <c:pt idx="12">
                  <c:v>6.4299999999999899</c:v>
                </c:pt>
                <c:pt idx="13">
                  <c:v>8.2699999999999907</c:v>
                </c:pt>
                <c:pt idx="14">
                  <c:v>6.64</c:v>
                </c:pt>
                <c:pt idx="15">
                  <c:v>9.6</c:v>
                </c:pt>
                <c:pt idx="16">
                  <c:v>9.18</c:v>
                </c:pt>
                <c:pt idx="17">
                  <c:v>8.39</c:v>
                </c:pt>
                <c:pt idx="18">
                  <c:v>11.239999999999901</c:v>
                </c:pt>
                <c:pt idx="19">
                  <c:v>7.23</c:v>
                </c:pt>
                <c:pt idx="20">
                  <c:v>8.52</c:v>
                </c:pt>
                <c:pt idx="21">
                  <c:v>6.6099999999999897</c:v>
                </c:pt>
                <c:pt idx="22">
                  <c:v>6.9399999999999897</c:v>
                </c:pt>
                <c:pt idx="23">
                  <c:v>6.0399999999999903</c:v>
                </c:pt>
                <c:pt idx="24">
                  <c:v>6.52</c:v>
                </c:pt>
                <c:pt idx="25">
                  <c:v>5.78</c:v>
                </c:pt>
                <c:pt idx="26">
                  <c:v>7.4799999999999898</c:v>
                </c:pt>
                <c:pt idx="27">
                  <c:v>9.07</c:v>
                </c:pt>
                <c:pt idx="28">
                  <c:v>6.63</c:v>
                </c:pt>
                <c:pt idx="29">
                  <c:v>9.94</c:v>
                </c:pt>
                <c:pt idx="30">
                  <c:v>9.9899999999999896</c:v>
                </c:pt>
                <c:pt idx="31">
                  <c:v>7.41</c:v>
                </c:pt>
                <c:pt idx="32">
                  <c:v>5.65</c:v>
                </c:pt>
                <c:pt idx="33">
                  <c:v>12.7</c:v>
                </c:pt>
                <c:pt idx="34">
                  <c:v>6.09</c:v>
                </c:pt>
                <c:pt idx="35">
                  <c:v>7.6099999999999897</c:v>
                </c:pt>
                <c:pt idx="36">
                  <c:v>6.83</c:v>
                </c:pt>
                <c:pt idx="37">
                  <c:v>4.59</c:v>
                </c:pt>
                <c:pt idx="38">
                  <c:v>8.27</c:v>
                </c:pt>
                <c:pt idx="39">
                  <c:v>10.65</c:v>
                </c:pt>
                <c:pt idx="40">
                  <c:v>7.8699999999999903</c:v>
                </c:pt>
                <c:pt idx="41">
                  <c:v>8.3699999999999992</c:v>
                </c:pt>
                <c:pt idx="42">
                  <c:v>10.36</c:v>
                </c:pt>
                <c:pt idx="43">
                  <c:v>6.2299999999999898</c:v>
                </c:pt>
                <c:pt idx="44">
                  <c:v>5.7</c:v>
                </c:pt>
                <c:pt idx="45">
                  <c:v>5.6899999999999897</c:v>
                </c:pt>
                <c:pt idx="46">
                  <c:v>6.89</c:v>
                </c:pt>
                <c:pt idx="47">
                  <c:v>3.11</c:v>
                </c:pt>
                <c:pt idx="48">
                  <c:v>5.43</c:v>
                </c:pt>
                <c:pt idx="49">
                  <c:v>11.67</c:v>
                </c:pt>
                <c:pt idx="50">
                  <c:v>4.3299999999999903</c:v>
                </c:pt>
                <c:pt idx="51">
                  <c:v>4.3</c:v>
                </c:pt>
                <c:pt idx="52">
                  <c:v>11.909999999999901</c:v>
                </c:pt>
                <c:pt idx="53">
                  <c:v>7.6199999999999903</c:v>
                </c:pt>
                <c:pt idx="54">
                  <c:v>5.96</c:v>
                </c:pt>
                <c:pt idx="55">
                  <c:v>8.1199999999999992</c:v>
                </c:pt>
                <c:pt idx="56">
                  <c:v>6.23</c:v>
                </c:pt>
                <c:pt idx="57">
                  <c:v>8.6399999999999899</c:v>
                </c:pt>
                <c:pt idx="58">
                  <c:v>5.5299999999999896</c:v>
                </c:pt>
                <c:pt idx="59">
                  <c:v>4.0999999999999996</c:v>
                </c:pt>
                <c:pt idx="60">
                  <c:v>10.18</c:v>
                </c:pt>
                <c:pt idx="61">
                  <c:v>9.1899999999999906</c:v>
                </c:pt>
                <c:pt idx="62">
                  <c:v>8.34</c:v>
                </c:pt>
                <c:pt idx="63">
                  <c:v>7.34</c:v>
                </c:pt>
                <c:pt idx="64">
                  <c:v>6.63</c:v>
                </c:pt>
                <c:pt idx="65">
                  <c:v>8.75</c:v>
                </c:pt>
                <c:pt idx="66">
                  <c:v>5.77</c:v>
                </c:pt>
                <c:pt idx="67">
                  <c:v>8.93</c:v>
                </c:pt>
                <c:pt idx="68">
                  <c:v>7.8199999999999896</c:v>
                </c:pt>
                <c:pt idx="69">
                  <c:v>6.14</c:v>
                </c:pt>
                <c:pt idx="70">
                  <c:v>7.00999999999999</c:v>
                </c:pt>
                <c:pt idx="71">
                  <c:v>10.979999999999899</c:v>
                </c:pt>
                <c:pt idx="72">
                  <c:v>5.0999999999999996</c:v>
                </c:pt>
                <c:pt idx="73">
                  <c:v>9.1499999999999897</c:v>
                </c:pt>
                <c:pt idx="74">
                  <c:v>7.59</c:v>
                </c:pt>
                <c:pt idx="75">
                  <c:v>7.49</c:v>
                </c:pt>
                <c:pt idx="76">
                  <c:v>8.0299999999999994</c:v>
                </c:pt>
                <c:pt idx="77">
                  <c:v>5.8599999999999897</c:v>
                </c:pt>
                <c:pt idx="78">
                  <c:v>8.7499999999999893</c:v>
                </c:pt>
                <c:pt idx="79">
                  <c:v>8.21999999999999</c:v>
                </c:pt>
                <c:pt idx="80">
                  <c:v>6.74</c:v>
                </c:pt>
                <c:pt idx="81">
                  <c:v>7.5999999999999899</c:v>
                </c:pt>
                <c:pt idx="82">
                  <c:v>7.97</c:v>
                </c:pt>
                <c:pt idx="83">
                  <c:v>9.0299999999999994</c:v>
                </c:pt>
                <c:pt idx="84">
                  <c:v>5.69</c:v>
                </c:pt>
                <c:pt idx="85">
                  <c:v>6.7099999999999902</c:v>
                </c:pt>
                <c:pt idx="86">
                  <c:v>6.1199999999999903</c:v>
                </c:pt>
                <c:pt idx="87">
                  <c:v>5.92</c:v>
                </c:pt>
                <c:pt idx="88">
                  <c:v>8.18</c:v>
                </c:pt>
                <c:pt idx="89">
                  <c:v>4.38</c:v>
                </c:pt>
                <c:pt idx="90">
                  <c:v>7.49</c:v>
                </c:pt>
                <c:pt idx="91">
                  <c:v>6.82</c:v>
                </c:pt>
                <c:pt idx="92">
                  <c:v>8.2999999999999901</c:v>
                </c:pt>
                <c:pt idx="93">
                  <c:v>8.5299999999999994</c:v>
                </c:pt>
                <c:pt idx="94">
                  <c:v>8.1</c:v>
                </c:pt>
                <c:pt idx="95">
                  <c:v>8.11</c:v>
                </c:pt>
                <c:pt idx="96">
                  <c:v>6.9</c:v>
                </c:pt>
                <c:pt idx="97">
                  <c:v>6.97</c:v>
                </c:pt>
                <c:pt idx="98">
                  <c:v>5.9299999999999899</c:v>
                </c:pt>
                <c:pt idx="99">
                  <c:v>6.74</c:v>
                </c:pt>
                <c:pt idx="100">
                  <c:v>8.32</c:v>
                </c:pt>
                <c:pt idx="101">
                  <c:v>8.1199999999999992</c:v>
                </c:pt>
                <c:pt idx="102">
                  <c:v>5.66</c:v>
                </c:pt>
                <c:pt idx="103">
                  <c:v>7.4999999999999902</c:v>
                </c:pt>
                <c:pt idx="104">
                  <c:v>6.08</c:v>
                </c:pt>
                <c:pt idx="105">
                  <c:v>6.1999999999999904</c:v>
                </c:pt>
                <c:pt idx="106">
                  <c:v>5.81</c:v>
                </c:pt>
                <c:pt idx="107">
                  <c:v>7.14</c:v>
                </c:pt>
                <c:pt idx="108">
                  <c:v>10.66</c:v>
                </c:pt>
                <c:pt idx="109">
                  <c:v>7.3</c:v>
                </c:pt>
                <c:pt idx="110">
                  <c:v>9.5</c:v>
                </c:pt>
                <c:pt idx="111">
                  <c:v>9.1399999999999899</c:v>
                </c:pt>
                <c:pt idx="112">
                  <c:v>7.19</c:v>
                </c:pt>
                <c:pt idx="113">
                  <c:v>9.98</c:v>
                </c:pt>
                <c:pt idx="114">
                  <c:v>6.5</c:v>
                </c:pt>
                <c:pt idx="115">
                  <c:v>9.35</c:v>
                </c:pt>
                <c:pt idx="116">
                  <c:v>7.96</c:v>
                </c:pt>
                <c:pt idx="117">
                  <c:v>6.92</c:v>
                </c:pt>
                <c:pt idx="118">
                  <c:v>11.61</c:v>
                </c:pt>
                <c:pt idx="119">
                  <c:v>6.9599999999999902</c:v>
                </c:pt>
                <c:pt idx="120">
                  <c:v>9.6999999999999993</c:v>
                </c:pt>
                <c:pt idx="121">
                  <c:v>9.5399999999999991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D2E-47C3-98D5-D83CFD17E9EF}"/>
            </c:ext>
          </c:extLst>
        </c:ser>
        <c:ser>
          <c:idx val="3"/>
          <c:order val="3"/>
          <c:tx>
            <c:v>0.51 - 1.00</c:v>
          </c:tx>
          <c:marker>
            <c:symbol val="none"/>
          </c:marker>
          <c:trendline>
            <c:spPr>
              <a:ln w="38100">
                <a:solidFill>
                  <a:schemeClr val="accent4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0.1025186443034399"/>
                  <c:y val="1.5057146187054711E-2"/>
                </c:manualLayout>
              </c:layout>
              <c:numFmt formatCode="General" sourceLinked="0"/>
            </c:trendlineLbl>
          </c:trendline>
          <c:xVal>
            <c:numRef>
              <c:f>'[2]Amount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'[2]Amount of Events'!$F$2:$F$123</c:f>
              <c:numCache>
                <c:formatCode>General</c:formatCode>
                <c:ptCount val="122"/>
                <c:pt idx="0">
                  <c:v>9.52</c:v>
                </c:pt>
                <c:pt idx="1">
                  <c:v>13.059999999999899</c:v>
                </c:pt>
                <c:pt idx="2">
                  <c:v>13.61</c:v>
                </c:pt>
                <c:pt idx="3">
                  <c:v>14.389999999999899</c:v>
                </c:pt>
                <c:pt idx="4">
                  <c:v>12.63</c:v>
                </c:pt>
                <c:pt idx="5">
                  <c:v>10.969999999999899</c:v>
                </c:pt>
                <c:pt idx="6">
                  <c:v>19.89</c:v>
                </c:pt>
                <c:pt idx="7">
                  <c:v>15.43</c:v>
                </c:pt>
                <c:pt idx="8">
                  <c:v>13.749999999999901</c:v>
                </c:pt>
                <c:pt idx="9">
                  <c:v>9.76</c:v>
                </c:pt>
                <c:pt idx="10">
                  <c:v>13.29</c:v>
                </c:pt>
                <c:pt idx="11">
                  <c:v>11.03</c:v>
                </c:pt>
                <c:pt idx="12">
                  <c:v>10.09</c:v>
                </c:pt>
                <c:pt idx="13">
                  <c:v>11.2</c:v>
                </c:pt>
                <c:pt idx="14">
                  <c:v>9.58</c:v>
                </c:pt>
                <c:pt idx="15">
                  <c:v>17.989999999999998</c:v>
                </c:pt>
                <c:pt idx="16">
                  <c:v>12.86</c:v>
                </c:pt>
                <c:pt idx="17">
                  <c:v>12</c:v>
                </c:pt>
                <c:pt idx="18">
                  <c:v>10.62</c:v>
                </c:pt>
                <c:pt idx="19">
                  <c:v>11.069999999999901</c:v>
                </c:pt>
                <c:pt idx="20">
                  <c:v>11.85</c:v>
                </c:pt>
                <c:pt idx="21">
                  <c:v>9.15</c:v>
                </c:pt>
                <c:pt idx="22">
                  <c:v>12.59</c:v>
                </c:pt>
                <c:pt idx="23">
                  <c:v>21.74</c:v>
                </c:pt>
                <c:pt idx="24">
                  <c:v>19.2699999999999</c:v>
                </c:pt>
                <c:pt idx="25">
                  <c:v>10.09</c:v>
                </c:pt>
                <c:pt idx="26">
                  <c:v>14.309999999999899</c:v>
                </c:pt>
                <c:pt idx="27">
                  <c:v>11.33</c:v>
                </c:pt>
                <c:pt idx="28">
                  <c:v>8.7799999999999994</c:v>
                </c:pt>
                <c:pt idx="29">
                  <c:v>7.55</c:v>
                </c:pt>
                <c:pt idx="30">
                  <c:v>11</c:v>
                </c:pt>
                <c:pt idx="31">
                  <c:v>11.82</c:v>
                </c:pt>
                <c:pt idx="32">
                  <c:v>15.93</c:v>
                </c:pt>
                <c:pt idx="33">
                  <c:v>12.22</c:v>
                </c:pt>
                <c:pt idx="34">
                  <c:v>9.5500000000000007</c:v>
                </c:pt>
                <c:pt idx="35">
                  <c:v>13.4</c:v>
                </c:pt>
                <c:pt idx="36">
                  <c:v>8.44</c:v>
                </c:pt>
                <c:pt idx="37">
                  <c:v>21.5</c:v>
                </c:pt>
                <c:pt idx="38">
                  <c:v>10.82</c:v>
                </c:pt>
                <c:pt idx="39">
                  <c:v>10.3799999999999</c:v>
                </c:pt>
                <c:pt idx="40">
                  <c:v>12.639999999999899</c:v>
                </c:pt>
                <c:pt idx="41">
                  <c:v>12.82</c:v>
                </c:pt>
                <c:pt idx="42">
                  <c:v>9.4499999999999993</c:v>
                </c:pt>
                <c:pt idx="43">
                  <c:v>10.239999999999901</c:v>
                </c:pt>
                <c:pt idx="44">
                  <c:v>20.149999999999899</c:v>
                </c:pt>
                <c:pt idx="45">
                  <c:v>13.569999999999901</c:v>
                </c:pt>
                <c:pt idx="46">
                  <c:v>21.309999999999899</c:v>
                </c:pt>
                <c:pt idx="47">
                  <c:v>12.57</c:v>
                </c:pt>
                <c:pt idx="48">
                  <c:v>10.83</c:v>
                </c:pt>
                <c:pt idx="49">
                  <c:v>17.27</c:v>
                </c:pt>
                <c:pt idx="50">
                  <c:v>10.99</c:v>
                </c:pt>
                <c:pt idx="51">
                  <c:v>17.849999999999898</c:v>
                </c:pt>
                <c:pt idx="52">
                  <c:v>12.34</c:v>
                </c:pt>
                <c:pt idx="53">
                  <c:v>17.279999999999902</c:v>
                </c:pt>
                <c:pt idx="54">
                  <c:v>12.69</c:v>
                </c:pt>
                <c:pt idx="55">
                  <c:v>13.35</c:v>
                </c:pt>
                <c:pt idx="56">
                  <c:v>15.44</c:v>
                </c:pt>
                <c:pt idx="57">
                  <c:v>13.6899999999999</c:v>
                </c:pt>
                <c:pt idx="58">
                  <c:v>17.18</c:v>
                </c:pt>
                <c:pt idx="59">
                  <c:v>12.739999999999901</c:v>
                </c:pt>
                <c:pt idx="60">
                  <c:v>11.059999999999899</c:v>
                </c:pt>
                <c:pt idx="61">
                  <c:v>13.62</c:v>
                </c:pt>
                <c:pt idx="62">
                  <c:v>14.72</c:v>
                </c:pt>
                <c:pt idx="63">
                  <c:v>11.9</c:v>
                </c:pt>
                <c:pt idx="64">
                  <c:v>13.79</c:v>
                </c:pt>
                <c:pt idx="65">
                  <c:v>13.92</c:v>
                </c:pt>
                <c:pt idx="66">
                  <c:v>13.7799999999999</c:v>
                </c:pt>
                <c:pt idx="67">
                  <c:v>7.87</c:v>
                </c:pt>
                <c:pt idx="68">
                  <c:v>10.96</c:v>
                </c:pt>
                <c:pt idx="69">
                  <c:v>9.5299999999999994</c:v>
                </c:pt>
                <c:pt idx="70">
                  <c:v>12.06</c:v>
                </c:pt>
                <c:pt idx="71">
                  <c:v>14.99</c:v>
                </c:pt>
                <c:pt idx="72">
                  <c:v>17.71</c:v>
                </c:pt>
                <c:pt idx="73">
                  <c:v>13.68</c:v>
                </c:pt>
                <c:pt idx="74">
                  <c:v>17.36</c:v>
                </c:pt>
                <c:pt idx="75">
                  <c:v>11.55</c:v>
                </c:pt>
                <c:pt idx="76">
                  <c:v>18.579999999999998</c:v>
                </c:pt>
                <c:pt idx="77">
                  <c:v>14.87</c:v>
                </c:pt>
                <c:pt idx="78">
                  <c:v>12.99</c:v>
                </c:pt>
                <c:pt idx="79">
                  <c:v>16.84</c:v>
                </c:pt>
                <c:pt idx="80">
                  <c:v>8.43</c:v>
                </c:pt>
                <c:pt idx="81">
                  <c:v>16.87</c:v>
                </c:pt>
                <c:pt idx="82">
                  <c:v>12.7699999999999</c:v>
                </c:pt>
                <c:pt idx="83">
                  <c:v>12.76</c:v>
                </c:pt>
                <c:pt idx="84">
                  <c:v>11.72</c:v>
                </c:pt>
                <c:pt idx="85">
                  <c:v>11.01</c:v>
                </c:pt>
                <c:pt idx="86">
                  <c:v>10.48</c:v>
                </c:pt>
                <c:pt idx="87">
                  <c:v>13.93</c:v>
                </c:pt>
                <c:pt idx="88">
                  <c:v>19.170000000000002</c:v>
                </c:pt>
                <c:pt idx="89">
                  <c:v>13.14</c:v>
                </c:pt>
                <c:pt idx="90">
                  <c:v>11.969999999999899</c:v>
                </c:pt>
                <c:pt idx="91">
                  <c:v>15.79</c:v>
                </c:pt>
                <c:pt idx="92">
                  <c:v>11.37</c:v>
                </c:pt>
                <c:pt idx="93">
                  <c:v>15.74</c:v>
                </c:pt>
                <c:pt idx="94">
                  <c:v>14.84</c:v>
                </c:pt>
                <c:pt idx="95">
                  <c:v>15.12</c:v>
                </c:pt>
                <c:pt idx="96">
                  <c:v>10.69</c:v>
                </c:pt>
                <c:pt idx="97">
                  <c:v>11.66</c:v>
                </c:pt>
                <c:pt idx="98">
                  <c:v>17.999999999999901</c:v>
                </c:pt>
                <c:pt idx="99">
                  <c:v>11.2799999999999</c:v>
                </c:pt>
                <c:pt idx="100">
                  <c:v>12.5299999999999</c:v>
                </c:pt>
                <c:pt idx="101">
                  <c:v>15.37</c:v>
                </c:pt>
                <c:pt idx="102">
                  <c:v>14.16</c:v>
                </c:pt>
                <c:pt idx="103">
                  <c:v>14.71</c:v>
                </c:pt>
                <c:pt idx="104">
                  <c:v>15.11</c:v>
                </c:pt>
                <c:pt idx="105">
                  <c:v>11.0199999999999</c:v>
                </c:pt>
                <c:pt idx="106">
                  <c:v>18.079999999999998</c:v>
                </c:pt>
                <c:pt idx="107">
                  <c:v>20.71</c:v>
                </c:pt>
                <c:pt idx="108">
                  <c:v>12.33</c:v>
                </c:pt>
                <c:pt idx="109">
                  <c:v>14.83</c:v>
                </c:pt>
                <c:pt idx="110">
                  <c:v>13.28</c:v>
                </c:pt>
                <c:pt idx="111">
                  <c:v>13.08</c:v>
                </c:pt>
                <c:pt idx="112">
                  <c:v>18.25</c:v>
                </c:pt>
                <c:pt idx="113">
                  <c:v>21.12</c:v>
                </c:pt>
                <c:pt idx="114">
                  <c:v>13.28</c:v>
                </c:pt>
                <c:pt idx="115">
                  <c:v>13.11</c:v>
                </c:pt>
                <c:pt idx="116">
                  <c:v>15.0099999999999</c:v>
                </c:pt>
                <c:pt idx="117">
                  <c:v>14.3</c:v>
                </c:pt>
                <c:pt idx="118">
                  <c:v>11.59</c:v>
                </c:pt>
                <c:pt idx="119">
                  <c:v>12.81</c:v>
                </c:pt>
                <c:pt idx="120">
                  <c:v>10.719999999999899</c:v>
                </c:pt>
                <c:pt idx="121">
                  <c:v>13.29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CD2E-47C3-98D5-D83CFD17E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679808"/>
        <c:axId val="118755712"/>
      </c:scatterChart>
      <c:valAx>
        <c:axId val="118679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755712"/>
        <c:crosses val="autoZero"/>
        <c:crossBetween val="midCat"/>
      </c:valAx>
      <c:valAx>
        <c:axId val="118755712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Precipitation (Inches)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679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40000"/>
        <a:lumOff val="60000"/>
      </a:schemeClr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New Brunswick: </a:t>
            </a:r>
            <a:r>
              <a:rPr lang="en-US"/>
              <a:t>Binned Precipitation as a Percentage of Annual </a:t>
            </a:r>
            <a:r>
              <a:rPr lang="en-US" sz="1800" b="1" i="0" u="none" strike="noStrike" baseline="0">
                <a:effectLst/>
              </a:rPr>
              <a:t>Rainfall </a:t>
            </a:r>
            <a:r>
              <a:rPr lang="en-US"/>
              <a:t>(Small</a:t>
            </a:r>
            <a:r>
              <a:rPr lang="en-US" baseline="0"/>
              <a:t>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0.03 - 0.10</c:v>
          </c:tx>
          <c:marker>
            <c:symbol val="none"/>
          </c:marker>
          <c:trendline>
            <c:spPr>
              <a:ln w="38100">
                <a:solidFill>
                  <a:schemeClr val="tx2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6710812091884743E-2"/>
                  <c:y val="1.0649385102230307E-2"/>
                </c:manualLayout>
              </c:layout>
              <c:numFmt formatCode="General" sourceLinked="0"/>
            </c:trendlineLbl>
          </c:trendline>
          <c:xVal>
            <c:numRef>
              <c:f>'[2]Amount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'[2]Amount of Events'!$X$2:$X$123</c:f>
              <c:numCache>
                <c:formatCode>General</c:formatCode>
                <c:ptCount val="122"/>
                <c:pt idx="0">
                  <c:v>5.1647978253482843E-2</c:v>
                </c:pt>
                <c:pt idx="1">
                  <c:v>3.56E-2</c:v>
                </c:pt>
                <c:pt idx="2">
                  <c:v>3.5358284747037803E-2</c:v>
                </c:pt>
                <c:pt idx="3">
                  <c:v>3.9608003266639449E-2</c:v>
                </c:pt>
                <c:pt idx="4">
                  <c:v>4.579025110782866E-2</c:v>
                </c:pt>
                <c:pt idx="5">
                  <c:v>3.6224976167778832E-2</c:v>
                </c:pt>
                <c:pt idx="6">
                  <c:v>4.5471146822498178E-2</c:v>
                </c:pt>
                <c:pt idx="7">
                  <c:v>2.8242074927953893E-2</c:v>
                </c:pt>
                <c:pt idx="8">
                  <c:v>4.0280857354028088E-2</c:v>
                </c:pt>
                <c:pt idx="9">
                  <c:v>5.0038100076200152E-2</c:v>
                </c:pt>
                <c:pt idx="10">
                  <c:v>3.4631000716503463E-2</c:v>
                </c:pt>
                <c:pt idx="11">
                  <c:v>2.9571012078300703E-2</c:v>
                </c:pt>
                <c:pt idx="12">
                  <c:v>3.678929765886288E-2</c:v>
                </c:pt>
                <c:pt idx="13">
                  <c:v>4.2548818088386432E-2</c:v>
                </c:pt>
                <c:pt idx="14">
                  <c:v>5.3802497162315555E-2</c:v>
                </c:pt>
                <c:pt idx="15">
                  <c:v>2.9902045024918372E-2</c:v>
                </c:pt>
                <c:pt idx="16">
                  <c:v>2.75E-2</c:v>
                </c:pt>
                <c:pt idx="17">
                  <c:v>3.4163701067615661E-2</c:v>
                </c:pt>
                <c:pt idx="18">
                  <c:v>3.798852145394916E-2</c:v>
                </c:pt>
                <c:pt idx="19">
                  <c:v>3.3375580904098014E-2</c:v>
                </c:pt>
                <c:pt idx="20">
                  <c:v>5.5951169888097667E-2</c:v>
                </c:pt>
                <c:pt idx="21">
                  <c:v>5.1354113438937143E-2</c:v>
                </c:pt>
                <c:pt idx="22">
                  <c:v>3.665207877461707E-2</c:v>
                </c:pt>
                <c:pt idx="23">
                  <c:v>5.0177095631641085E-2</c:v>
                </c:pt>
                <c:pt idx="24">
                  <c:v>3.5629017447199263E-2</c:v>
                </c:pt>
                <c:pt idx="25">
                  <c:v>5.0308495491219747E-2</c:v>
                </c:pt>
                <c:pt idx="26">
                  <c:v>3.2690498588899337E-2</c:v>
                </c:pt>
                <c:pt idx="27">
                  <c:v>4.6333143831722566E-2</c:v>
                </c:pt>
                <c:pt idx="28">
                  <c:v>3.5268346111719612E-2</c:v>
                </c:pt>
                <c:pt idx="29">
                  <c:v>4.5491915593313233E-2</c:v>
                </c:pt>
                <c:pt idx="30">
                  <c:v>5.0677151594582782E-2</c:v>
                </c:pt>
                <c:pt idx="31">
                  <c:v>3.7910037320762133E-2</c:v>
                </c:pt>
                <c:pt idx="32">
                  <c:v>4.4595782073813699E-2</c:v>
                </c:pt>
                <c:pt idx="33">
                  <c:v>3.2386867790594499E-2</c:v>
                </c:pt>
                <c:pt idx="34">
                  <c:v>5.2279635258358666E-2</c:v>
                </c:pt>
                <c:pt idx="35">
                  <c:v>4.2214145932345536E-2</c:v>
                </c:pt>
                <c:pt idx="36">
                  <c:v>3.5912882298424473E-2</c:v>
                </c:pt>
                <c:pt idx="37">
                  <c:v>4.2811501597444082E-2</c:v>
                </c:pt>
                <c:pt idx="38">
                  <c:v>4.9056603773584909E-2</c:v>
                </c:pt>
                <c:pt idx="39">
                  <c:v>4.1817742325356538E-2</c:v>
                </c:pt>
                <c:pt idx="40">
                  <c:v>4.5464433326082222E-2</c:v>
                </c:pt>
                <c:pt idx="41">
                  <c:v>4.7017543859649118E-2</c:v>
                </c:pt>
                <c:pt idx="42">
                  <c:v>4.7099958864664747E-2</c:v>
                </c:pt>
                <c:pt idx="43">
                  <c:v>3.8718291054739652E-2</c:v>
                </c:pt>
                <c:pt idx="44">
                  <c:v>3.5511982570806101E-2</c:v>
                </c:pt>
                <c:pt idx="45">
                  <c:v>4.2888765910348646E-2</c:v>
                </c:pt>
                <c:pt idx="46">
                  <c:v>2.3667462211614955E-2</c:v>
                </c:pt>
                <c:pt idx="47">
                  <c:v>4.7398529011168616E-2</c:v>
                </c:pt>
                <c:pt idx="48">
                  <c:v>3.5813217253660469E-2</c:v>
                </c:pt>
                <c:pt idx="49">
                  <c:v>3.0408006158583526E-2</c:v>
                </c:pt>
                <c:pt idx="50">
                  <c:v>4.5336112558624284E-2</c:v>
                </c:pt>
                <c:pt idx="51">
                  <c:v>3.5730236712818227E-2</c:v>
                </c:pt>
                <c:pt idx="52">
                  <c:v>4.8810004033884628E-2</c:v>
                </c:pt>
                <c:pt idx="53">
                  <c:v>4.4268167860798367E-2</c:v>
                </c:pt>
                <c:pt idx="54">
                  <c:v>5.5667001003009031E-2</c:v>
                </c:pt>
                <c:pt idx="55">
                  <c:v>4.549301735082522E-2</c:v>
                </c:pt>
                <c:pt idx="56">
                  <c:v>4.3032374824049875E-2</c:v>
                </c:pt>
                <c:pt idx="57">
                  <c:v>2.9058335154031025E-2</c:v>
                </c:pt>
                <c:pt idx="58">
                  <c:v>3.3490566037735849E-2</c:v>
                </c:pt>
                <c:pt idx="59">
                  <c:v>4.2884990253411311E-2</c:v>
                </c:pt>
                <c:pt idx="60">
                  <c:v>4.5433685176686556E-2</c:v>
                </c:pt>
                <c:pt idx="61">
                  <c:v>7.3428571428571426E-2</c:v>
                </c:pt>
                <c:pt idx="62">
                  <c:v>3.131901224653684E-2</c:v>
                </c:pt>
                <c:pt idx="63">
                  <c:v>4.211035818005808E-2</c:v>
                </c:pt>
                <c:pt idx="64">
                  <c:v>2.6715239829993933E-2</c:v>
                </c:pt>
                <c:pt idx="65">
                  <c:v>2.9870415110915882E-2</c:v>
                </c:pt>
                <c:pt idx="66">
                  <c:v>5.2486878280429895E-2</c:v>
                </c:pt>
                <c:pt idx="67">
                  <c:v>4.8558421851289835E-2</c:v>
                </c:pt>
                <c:pt idx="68">
                  <c:v>4.7491995731056572E-2</c:v>
                </c:pt>
                <c:pt idx="69">
                  <c:v>6.8702290076335867E-2</c:v>
                </c:pt>
                <c:pt idx="70">
                  <c:v>3.2986495461589549E-2</c:v>
                </c:pt>
                <c:pt idx="71">
                  <c:v>2.7924989808397881E-2</c:v>
                </c:pt>
                <c:pt idx="72">
                  <c:v>3.6836403033586131E-2</c:v>
                </c:pt>
                <c:pt idx="73">
                  <c:v>3.9397963700752547E-2</c:v>
                </c:pt>
                <c:pt idx="74">
                  <c:v>3.5679374389051804E-2</c:v>
                </c:pt>
                <c:pt idx="75">
                  <c:v>3.348729792147806E-2</c:v>
                </c:pt>
                <c:pt idx="76">
                  <c:v>3.8777292576419216E-2</c:v>
                </c:pt>
                <c:pt idx="77">
                  <c:v>2.7949761188749336E-2</c:v>
                </c:pt>
                <c:pt idx="78">
                  <c:v>3.2258064516129024E-2</c:v>
                </c:pt>
                <c:pt idx="79">
                  <c:v>2.5208807896735005E-2</c:v>
                </c:pt>
                <c:pt idx="80">
                  <c:v>4.9225663716814166E-2</c:v>
                </c:pt>
                <c:pt idx="81">
                  <c:v>2.8026469443363174E-2</c:v>
                </c:pt>
                <c:pt idx="82">
                  <c:v>2.9271465741543802E-2</c:v>
                </c:pt>
                <c:pt idx="83">
                  <c:v>2.7406530197936055E-2</c:v>
                </c:pt>
                <c:pt idx="84">
                  <c:v>3.4642032332563515E-2</c:v>
                </c:pt>
                <c:pt idx="85">
                  <c:v>4.6249999999999999E-2</c:v>
                </c:pt>
                <c:pt idx="86">
                  <c:v>3.7579306979014154E-2</c:v>
                </c:pt>
                <c:pt idx="87">
                  <c:v>1.6175994823681657E-2</c:v>
                </c:pt>
                <c:pt idx="88">
                  <c:v>2.701681466087285E-2</c:v>
                </c:pt>
                <c:pt idx="89">
                  <c:v>4.4679871027176417E-2</c:v>
                </c:pt>
                <c:pt idx="90">
                  <c:v>4.6735726331004576E-2</c:v>
                </c:pt>
                <c:pt idx="91">
                  <c:v>3.6139713305067635E-2</c:v>
                </c:pt>
                <c:pt idx="92">
                  <c:v>2.0345252774352653E-2</c:v>
                </c:pt>
                <c:pt idx="93">
                  <c:v>3.5389449313709277E-2</c:v>
                </c:pt>
                <c:pt idx="94">
                  <c:v>3.8990825688073397E-2</c:v>
                </c:pt>
                <c:pt idx="95">
                  <c:v>3.0858676207513414E-2</c:v>
                </c:pt>
                <c:pt idx="96">
                  <c:v>4.3529971455756426E-2</c:v>
                </c:pt>
                <c:pt idx="97">
                  <c:v>3.3111203665139526E-2</c:v>
                </c:pt>
                <c:pt idx="98">
                  <c:v>3.5238504512247526E-2</c:v>
                </c:pt>
                <c:pt idx="99">
                  <c:v>3.3578174186778595E-2</c:v>
                </c:pt>
                <c:pt idx="100">
                  <c:v>3.8567941415785192E-2</c:v>
                </c:pt>
                <c:pt idx="101">
                  <c:v>4.8334018922254224E-2</c:v>
                </c:pt>
                <c:pt idx="102">
                  <c:v>4.9195193833597821E-2</c:v>
                </c:pt>
                <c:pt idx="103">
                  <c:v>3.351718285956725E-2</c:v>
                </c:pt>
                <c:pt idx="104">
                  <c:v>4.6614100185528758E-2</c:v>
                </c:pt>
                <c:pt idx="105">
                  <c:v>4.6799898811029597E-2</c:v>
                </c:pt>
                <c:pt idx="106">
                  <c:v>2.9291274068004913E-2</c:v>
                </c:pt>
                <c:pt idx="107">
                  <c:v>3.0238290879211177E-2</c:v>
                </c:pt>
                <c:pt idx="108">
                  <c:v>3.3536585365853654E-2</c:v>
                </c:pt>
                <c:pt idx="109">
                  <c:v>3.6020583190394508E-2</c:v>
                </c:pt>
                <c:pt idx="110">
                  <c:v>2.2213637241645736E-2</c:v>
                </c:pt>
                <c:pt idx="111">
                  <c:v>2.8948796815632349E-2</c:v>
                </c:pt>
                <c:pt idx="112">
                  <c:v>3.8751147842056931E-2</c:v>
                </c:pt>
                <c:pt idx="113">
                  <c:v>4.1819232992869527E-2</c:v>
                </c:pt>
                <c:pt idx="114">
                  <c:v>3.5403996524761075E-2</c:v>
                </c:pt>
                <c:pt idx="115">
                  <c:v>2.2991983058538799E-2</c:v>
                </c:pt>
                <c:pt idx="116">
                  <c:v>4.0324563560363902E-2</c:v>
                </c:pt>
                <c:pt idx="117">
                  <c:v>3.6939313984168866E-2</c:v>
                </c:pt>
                <c:pt idx="118">
                  <c:v>2.4361493123772102E-2</c:v>
                </c:pt>
                <c:pt idx="119">
                  <c:v>4.4545684636800816E-2</c:v>
                </c:pt>
                <c:pt idx="120">
                  <c:v>4.2558679391281912E-2</c:v>
                </c:pt>
                <c:pt idx="121">
                  <c:v>4.4215037008180753E-2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24F-41D3-BCCD-455D99B77C10}"/>
            </c:ext>
          </c:extLst>
        </c:ser>
        <c:ser>
          <c:idx val="1"/>
          <c:order val="1"/>
          <c:tx>
            <c:v>0.11 - 0.25</c:v>
          </c:tx>
          <c:marker>
            <c:symbol val="none"/>
          </c:marker>
          <c:trendline>
            <c:spPr>
              <a:ln w="38100">
                <a:solidFill>
                  <a:schemeClr val="accent2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0.10544396573069875"/>
                  <c:y val="3.0874049974726459E-3"/>
                </c:manualLayout>
              </c:layout>
              <c:numFmt formatCode="General" sourceLinked="0"/>
            </c:trendlineLbl>
          </c:trendline>
          <c:xVal>
            <c:numRef>
              <c:f>'[2]Amount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'[2]Amount of Events'!$Y$2:$Y$123</c:f>
              <c:numCache>
                <c:formatCode>General</c:formatCode>
                <c:ptCount val="122"/>
                <c:pt idx="0">
                  <c:v>0.12368331634386681</c:v>
                </c:pt>
                <c:pt idx="1">
                  <c:v>8.4399999999999989E-2</c:v>
                </c:pt>
                <c:pt idx="2">
                  <c:v>0.10137295467368816</c:v>
                </c:pt>
                <c:pt idx="3">
                  <c:v>7.1866067782768273E-2</c:v>
                </c:pt>
                <c:pt idx="4">
                  <c:v>8.1733136386016744E-2</c:v>
                </c:pt>
                <c:pt idx="5">
                  <c:v>9.8760724499523347E-2</c:v>
                </c:pt>
                <c:pt idx="6">
                  <c:v>7.5602629656683712E-2</c:v>
                </c:pt>
                <c:pt idx="7">
                  <c:v>0.10144092219020154</c:v>
                </c:pt>
                <c:pt idx="8">
                  <c:v>9.1278640059127877E-2</c:v>
                </c:pt>
                <c:pt idx="9">
                  <c:v>9.550419100838177E-2</c:v>
                </c:pt>
                <c:pt idx="10">
                  <c:v>0.12658227848101267</c:v>
                </c:pt>
                <c:pt idx="11">
                  <c:v>0.12244897959183672</c:v>
                </c:pt>
                <c:pt idx="12">
                  <c:v>0.12297401595060459</c:v>
                </c:pt>
                <c:pt idx="13">
                  <c:v>0.11243576567317574</c:v>
                </c:pt>
                <c:pt idx="14">
                  <c:v>7.877412031782044E-2</c:v>
                </c:pt>
                <c:pt idx="15">
                  <c:v>7.2692902560577435E-2</c:v>
                </c:pt>
                <c:pt idx="16">
                  <c:v>4.0624999999999793E-2</c:v>
                </c:pt>
                <c:pt idx="17">
                  <c:v>9.9406880189798347E-2</c:v>
                </c:pt>
                <c:pt idx="18">
                  <c:v>7.7616835200874548E-2</c:v>
                </c:pt>
                <c:pt idx="19">
                  <c:v>8.8508660752006765E-2</c:v>
                </c:pt>
                <c:pt idx="20">
                  <c:v>0.10172939979654121</c:v>
                </c:pt>
                <c:pt idx="21">
                  <c:v>0.1050076647930506</c:v>
                </c:pt>
                <c:pt idx="22">
                  <c:v>7.6039387308533907E-2</c:v>
                </c:pt>
                <c:pt idx="23">
                  <c:v>8.3825265643447264E-2</c:v>
                </c:pt>
                <c:pt idx="24">
                  <c:v>7.3829201101928366E-2</c:v>
                </c:pt>
                <c:pt idx="25">
                  <c:v>0.11105837683910773</c:v>
                </c:pt>
                <c:pt idx="26">
                  <c:v>0.14063969896519285</c:v>
                </c:pt>
                <c:pt idx="27">
                  <c:v>0.14155770324047756</c:v>
                </c:pt>
                <c:pt idx="28">
                  <c:v>9.769989047097459E-2</c:v>
                </c:pt>
                <c:pt idx="29">
                  <c:v>9.838311866264729E-2</c:v>
                </c:pt>
                <c:pt idx="30">
                  <c:v>0.10768894713848841</c:v>
                </c:pt>
                <c:pt idx="31">
                  <c:v>6.1873895109015913E-2</c:v>
                </c:pt>
                <c:pt idx="32">
                  <c:v>8.0843585237258347E-2</c:v>
                </c:pt>
                <c:pt idx="33">
                  <c:v>7.8748890860692103E-2</c:v>
                </c:pt>
                <c:pt idx="34">
                  <c:v>0.10577507598784194</c:v>
                </c:pt>
                <c:pt idx="35">
                  <c:v>9.393346379647749E-2</c:v>
                </c:pt>
                <c:pt idx="36">
                  <c:v>0.12164040778498611</c:v>
                </c:pt>
                <c:pt idx="37">
                  <c:v>9.9680511182108619E-2</c:v>
                </c:pt>
                <c:pt idx="38">
                  <c:v>0.10094339622641485</c:v>
                </c:pt>
                <c:pt idx="39">
                  <c:v>0.12400290065264685</c:v>
                </c:pt>
                <c:pt idx="40">
                  <c:v>8.3315205568849249E-2</c:v>
                </c:pt>
                <c:pt idx="41">
                  <c:v>6.1052631578947365E-2</c:v>
                </c:pt>
                <c:pt idx="42">
                  <c:v>0.12566844919786097</c:v>
                </c:pt>
                <c:pt idx="43">
                  <c:v>0.15327102803738318</c:v>
                </c:pt>
                <c:pt idx="44">
                  <c:v>7.7124183006535729E-2</c:v>
                </c:pt>
                <c:pt idx="45">
                  <c:v>9.3525179856115109E-2</c:v>
                </c:pt>
                <c:pt idx="46">
                  <c:v>6.3046937151949076E-2</c:v>
                </c:pt>
                <c:pt idx="47">
                  <c:v>0.1122309997275944</c:v>
                </c:pt>
                <c:pt idx="48">
                  <c:v>6.6481994459833799E-2</c:v>
                </c:pt>
                <c:pt idx="49">
                  <c:v>0.10450346420323325</c:v>
                </c:pt>
                <c:pt idx="50">
                  <c:v>0.11724856696195934</c:v>
                </c:pt>
                <c:pt idx="51">
                  <c:v>0.11478338543992853</c:v>
                </c:pt>
                <c:pt idx="52">
                  <c:v>8.9753933037515138E-2</c:v>
                </c:pt>
                <c:pt idx="53">
                  <c:v>8.2395087001023548E-2</c:v>
                </c:pt>
                <c:pt idx="54">
                  <c:v>0.13866599799398194</c:v>
                </c:pt>
                <c:pt idx="55">
                  <c:v>7.0672873465933136E-2</c:v>
                </c:pt>
                <c:pt idx="56">
                  <c:v>6.374421878141967E-2</c:v>
                </c:pt>
                <c:pt idx="57">
                  <c:v>9.9410093948000863E-2</c:v>
                </c:pt>
                <c:pt idx="58">
                  <c:v>8.7735849056603546E-2</c:v>
                </c:pt>
                <c:pt idx="59">
                  <c:v>9.3810916179337234E-2</c:v>
                </c:pt>
                <c:pt idx="60">
                  <c:v>0.14157870582836163</c:v>
                </c:pt>
                <c:pt idx="61">
                  <c:v>9.9714285714285714E-2</c:v>
                </c:pt>
                <c:pt idx="62">
                  <c:v>8.0305159606504709E-2</c:v>
                </c:pt>
                <c:pt idx="63">
                  <c:v>7.6960309777347538E-2</c:v>
                </c:pt>
                <c:pt idx="64">
                  <c:v>7.3669297713013573E-2</c:v>
                </c:pt>
                <c:pt idx="65">
                  <c:v>0.11486931693388952</c:v>
                </c:pt>
                <c:pt idx="66">
                  <c:v>4.7988002999249942E-2</c:v>
                </c:pt>
                <c:pt idx="67">
                  <c:v>0.10166919575113777</c:v>
                </c:pt>
                <c:pt idx="68">
                  <c:v>0.1104589114194237</c:v>
                </c:pt>
                <c:pt idx="69">
                  <c:v>0.16793893129770993</c:v>
                </c:pt>
                <c:pt idx="70">
                  <c:v>6.1988045162718615E-2</c:v>
                </c:pt>
                <c:pt idx="71">
                  <c:v>8.8666938442723178E-2</c:v>
                </c:pt>
                <c:pt idx="72">
                  <c:v>5.5254604550379199E-2</c:v>
                </c:pt>
                <c:pt idx="73">
                  <c:v>8.0566622399291729E-2</c:v>
                </c:pt>
                <c:pt idx="74">
                  <c:v>8.3822091886608011E-2</c:v>
                </c:pt>
                <c:pt idx="75">
                  <c:v>7.6404926866820627E-2</c:v>
                </c:pt>
                <c:pt idx="76">
                  <c:v>7.0218340611353708E-2</c:v>
                </c:pt>
                <c:pt idx="77">
                  <c:v>7.9780647443835132E-2</c:v>
                </c:pt>
                <c:pt idx="78">
                  <c:v>9.0044093757252031E-2</c:v>
                </c:pt>
                <c:pt idx="79">
                  <c:v>7.957479119210327E-2</c:v>
                </c:pt>
                <c:pt idx="80">
                  <c:v>0.14186946902654868</c:v>
                </c:pt>
                <c:pt idx="81">
                  <c:v>8.6414947450369803E-2</c:v>
                </c:pt>
                <c:pt idx="82">
                  <c:v>7.4588031222896797E-2</c:v>
                </c:pt>
                <c:pt idx="83">
                  <c:v>8.6110641177465738E-2</c:v>
                </c:pt>
                <c:pt idx="84">
                  <c:v>0.10700538876058506</c:v>
                </c:pt>
                <c:pt idx="85">
                  <c:v>7.0499999999999993E-2</c:v>
                </c:pt>
                <c:pt idx="86">
                  <c:v>8.6383601756954365E-2</c:v>
                </c:pt>
                <c:pt idx="87">
                  <c:v>5.7748301520543513E-2</c:v>
                </c:pt>
                <c:pt idx="88">
                  <c:v>5.422255809559777E-2</c:v>
                </c:pt>
                <c:pt idx="89">
                  <c:v>6.7941040994933213E-2</c:v>
                </c:pt>
                <c:pt idx="90">
                  <c:v>9.7325945555287882E-2</c:v>
                </c:pt>
                <c:pt idx="91">
                  <c:v>7.9749646678780539E-2</c:v>
                </c:pt>
                <c:pt idx="92">
                  <c:v>7.0489108096999598E-2</c:v>
                </c:pt>
                <c:pt idx="93">
                  <c:v>6.7140730940962456E-2</c:v>
                </c:pt>
                <c:pt idx="94">
                  <c:v>7.8937308868501532E-2</c:v>
                </c:pt>
                <c:pt idx="95">
                  <c:v>7.4016100178890876E-2</c:v>
                </c:pt>
                <c:pt idx="96">
                  <c:v>0.10965746907706947</c:v>
                </c:pt>
                <c:pt idx="97">
                  <c:v>8.8296543107038536E-2</c:v>
                </c:pt>
                <c:pt idx="98">
                  <c:v>7.241082939406962E-2</c:v>
                </c:pt>
                <c:pt idx="99">
                  <c:v>0.11647429171038827</c:v>
                </c:pt>
                <c:pt idx="100">
                  <c:v>6.6883645240032555E-2</c:v>
                </c:pt>
                <c:pt idx="101">
                  <c:v>7.3632250102838345E-2</c:v>
                </c:pt>
                <c:pt idx="102">
                  <c:v>6.7104964860575836E-2</c:v>
                </c:pt>
                <c:pt idx="103">
                  <c:v>8.59142978362325E-2</c:v>
                </c:pt>
                <c:pt idx="104">
                  <c:v>9.0909090909090912E-2</c:v>
                </c:pt>
                <c:pt idx="105">
                  <c:v>6.6784720465469266E-2</c:v>
                </c:pt>
                <c:pt idx="106">
                  <c:v>5.981155264235969E-2</c:v>
                </c:pt>
                <c:pt idx="107">
                  <c:v>9.3179950698438777E-2</c:v>
                </c:pt>
                <c:pt idx="108">
                  <c:v>8.2113821138211376E-2</c:v>
                </c:pt>
                <c:pt idx="109">
                  <c:v>7.0325900514579764E-2</c:v>
                </c:pt>
                <c:pt idx="110">
                  <c:v>8.788873865172879E-2</c:v>
                </c:pt>
                <c:pt idx="111">
                  <c:v>7.3638501899764786E-2</c:v>
                </c:pt>
                <c:pt idx="112">
                  <c:v>6.9054178145087228E-2</c:v>
                </c:pt>
                <c:pt idx="113">
                  <c:v>5.7236461746001159E-2</c:v>
                </c:pt>
                <c:pt idx="114">
                  <c:v>6.0816681146828845E-2</c:v>
                </c:pt>
                <c:pt idx="115">
                  <c:v>5.5513538042656178E-2</c:v>
                </c:pt>
                <c:pt idx="116">
                  <c:v>0.11753134988935333</c:v>
                </c:pt>
                <c:pt idx="117">
                  <c:v>0.10510114335971857</c:v>
                </c:pt>
                <c:pt idx="118">
                  <c:v>8.7622789783889987E-2</c:v>
                </c:pt>
                <c:pt idx="119">
                  <c:v>8.5547962541128578E-2</c:v>
                </c:pt>
                <c:pt idx="120">
                  <c:v>0.1057518700025793</c:v>
                </c:pt>
                <c:pt idx="121">
                  <c:v>6.778340475262952E-2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24F-41D3-BCCD-455D99B77C10}"/>
            </c:ext>
          </c:extLst>
        </c:ser>
        <c:ser>
          <c:idx val="2"/>
          <c:order val="2"/>
          <c:tx>
            <c:v>0.26 - 0.50</c:v>
          </c:tx>
          <c:marker>
            <c:symbol val="none"/>
          </c:marker>
          <c:trendline>
            <c:spPr>
              <a:ln w="38100">
                <a:solidFill>
                  <a:schemeClr val="accent3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0.10389859286457118"/>
                  <c:y val="-3.620894587866335E-3"/>
                </c:manualLayout>
              </c:layout>
              <c:numFmt formatCode="General" sourceLinked="0"/>
            </c:trendlineLbl>
          </c:trendline>
          <c:xVal>
            <c:numRef>
              <c:f>'[2]Amount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'[2]Amount of Events'!$Z$2:$Z$123</c:f>
              <c:numCache>
                <c:formatCode>General</c:formatCode>
                <c:ptCount val="122"/>
                <c:pt idx="0">
                  <c:v>0.1172273190621811</c:v>
                </c:pt>
                <c:pt idx="1">
                  <c:v>0.129</c:v>
                </c:pt>
                <c:pt idx="2">
                  <c:v>0.1888282866277976</c:v>
                </c:pt>
                <c:pt idx="3">
                  <c:v>0.22662311147407105</c:v>
                </c:pt>
                <c:pt idx="4">
                  <c:v>0.13318562284588872</c:v>
                </c:pt>
                <c:pt idx="5">
                  <c:v>0.12316491897044785</c:v>
                </c:pt>
                <c:pt idx="6">
                  <c:v>0.1241782322863404</c:v>
                </c:pt>
                <c:pt idx="7">
                  <c:v>0.15696445725264169</c:v>
                </c:pt>
                <c:pt idx="8">
                  <c:v>8.5365853658536592E-2</c:v>
                </c:pt>
                <c:pt idx="9">
                  <c:v>0.21615443230886464</c:v>
                </c:pt>
                <c:pt idx="10">
                  <c:v>0.16909481729161668</c:v>
                </c:pt>
                <c:pt idx="11">
                  <c:v>0.18763015410245729</c:v>
                </c:pt>
                <c:pt idx="12">
                  <c:v>0.16542320555698459</c:v>
                </c:pt>
                <c:pt idx="13">
                  <c:v>0.16998972250770794</c:v>
                </c:pt>
                <c:pt idx="14">
                  <c:v>0.1507377979568672</c:v>
                </c:pt>
                <c:pt idx="15">
                  <c:v>0.16497680013748067</c:v>
                </c:pt>
                <c:pt idx="16">
                  <c:v>0.19125</c:v>
                </c:pt>
                <c:pt idx="17">
                  <c:v>0.19905100830367736</c:v>
                </c:pt>
                <c:pt idx="18">
                  <c:v>0.30718775621754302</c:v>
                </c:pt>
                <c:pt idx="19">
                  <c:v>0.15272496831432192</c:v>
                </c:pt>
                <c:pt idx="20">
                  <c:v>0.21668362156663273</c:v>
                </c:pt>
                <c:pt idx="21">
                  <c:v>0.16888094021461394</c:v>
                </c:pt>
                <c:pt idx="22">
                  <c:v>0.18982494529540453</c:v>
                </c:pt>
                <c:pt idx="23">
                  <c:v>0.1188508461235732</c:v>
                </c:pt>
                <c:pt idx="24">
                  <c:v>0.119742883379247</c:v>
                </c:pt>
                <c:pt idx="25">
                  <c:v>0.13716184148077837</c:v>
                </c:pt>
                <c:pt idx="26">
                  <c:v>0.17591721542803362</c:v>
                </c:pt>
                <c:pt idx="27">
                  <c:v>0.2578169414440023</c:v>
                </c:pt>
                <c:pt idx="28">
                  <c:v>0.14523548740416212</c:v>
                </c:pt>
                <c:pt idx="29">
                  <c:v>0.27240339819128523</c:v>
                </c:pt>
                <c:pt idx="30">
                  <c:v>0.21821756225425926</c:v>
                </c:pt>
                <c:pt idx="31">
                  <c:v>0.14555097230406602</c:v>
                </c:pt>
                <c:pt idx="32">
                  <c:v>0.12412126537785588</c:v>
                </c:pt>
                <c:pt idx="33">
                  <c:v>0.28172138420585624</c:v>
                </c:pt>
                <c:pt idx="34">
                  <c:v>0.18510638297872342</c:v>
                </c:pt>
                <c:pt idx="35">
                  <c:v>0.21274811294380735</c:v>
                </c:pt>
                <c:pt idx="36">
                  <c:v>0.15824837812789622</c:v>
                </c:pt>
                <c:pt idx="37">
                  <c:v>9.7763578274760371E-2</c:v>
                </c:pt>
                <c:pt idx="38">
                  <c:v>0.19504716981132075</c:v>
                </c:pt>
                <c:pt idx="39">
                  <c:v>0.25743292240754173</c:v>
                </c:pt>
                <c:pt idx="40">
                  <c:v>0.17119860778768742</c:v>
                </c:pt>
                <c:pt idx="41">
                  <c:v>0.19578947368421051</c:v>
                </c:pt>
                <c:pt idx="42">
                  <c:v>0.21308103661044839</c:v>
                </c:pt>
                <c:pt idx="43">
                  <c:v>0.16635514018691561</c:v>
                </c:pt>
                <c:pt idx="44">
                  <c:v>0.12418300653594772</c:v>
                </c:pt>
                <c:pt idx="45">
                  <c:v>0.15744327614831183</c:v>
                </c:pt>
                <c:pt idx="46">
                  <c:v>0.13703261734287986</c:v>
                </c:pt>
                <c:pt idx="47">
                  <c:v>8.4718060473985279E-2</c:v>
                </c:pt>
                <c:pt idx="48">
                  <c:v>0.1074396517609814</c:v>
                </c:pt>
                <c:pt idx="49">
                  <c:v>0.22459584295612009</c:v>
                </c:pt>
                <c:pt idx="50">
                  <c:v>0.1128191766545073</c:v>
                </c:pt>
                <c:pt idx="51">
                  <c:v>9.6025011165698962E-2</c:v>
                </c:pt>
                <c:pt idx="52">
                  <c:v>0.24021782977006659</c:v>
                </c:pt>
                <c:pt idx="53">
                  <c:v>0.19498464687819833</c:v>
                </c:pt>
                <c:pt idx="54">
                  <c:v>0.14944834503510532</c:v>
                </c:pt>
                <c:pt idx="55">
                  <c:v>0.17181548878544223</c:v>
                </c:pt>
                <c:pt idx="56">
                  <c:v>0.12527649306253771</c:v>
                </c:pt>
                <c:pt idx="57">
                  <c:v>0.18876993663972011</c:v>
                </c:pt>
                <c:pt idx="58">
                  <c:v>0.13042452830188656</c:v>
                </c:pt>
                <c:pt idx="59">
                  <c:v>9.9902534113060423E-2</c:v>
                </c:pt>
                <c:pt idx="60">
                  <c:v>0.23359339146397431</c:v>
                </c:pt>
                <c:pt idx="61">
                  <c:v>0.26257142857142829</c:v>
                </c:pt>
                <c:pt idx="62">
                  <c:v>0.16743625777956234</c:v>
                </c:pt>
                <c:pt idx="63">
                  <c:v>0.1776379477250726</c:v>
                </c:pt>
                <c:pt idx="64">
                  <c:v>0.13418336369156042</c:v>
                </c:pt>
                <c:pt idx="65">
                  <c:v>0.19218097957390731</c:v>
                </c:pt>
                <c:pt idx="66">
                  <c:v>0.14421394651337166</c:v>
                </c:pt>
                <c:pt idx="67">
                  <c:v>0.27101669195751132</c:v>
                </c:pt>
                <c:pt idx="68">
                  <c:v>0.20864461045891117</c:v>
                </c:pt>
                <c:pt idx="69">
                  <c:v>0.22319156670301707</c:v>
                </c:pt>
                <c:pt idx="70">
                  <c:v>0.15519149878237745</c:v>
                </c:pt>
                <c:pt idx="71">
                  <c:v>0.22380758255197511</c:v>
                </c:pt>
                <c:pt idx="72">
                  <c:v>0.1105092091007584</c:v>
                </c:pt>
                <c:pt idx="73">
                  <c:v>0.20252324037184571</c:v>
                </c:pt>
                <c:pt idx="74">
                  <c:v>0.18548387096774194</c:v>
                </c:pt>
                <c:pt idx="75">
                  <c:v>0.14414934565050039</c:v>
                </c:pt>
                <c:pt idx="76">
                  <c:v>0.14026200873362443</c:v>
                </c:pt>
                <c:pt idx="77">
                  <c:v>0.1036617725101714</c:v>
                </c:pt>
                <c:pt idx="78">
                  <c:v>0.20306335576699905</c:v>
                </c:pt>
                <c:pt idx="79">
                  <c:v>0.1248291571753985</c:v>
                </c:pt>
                <c:pt idx="80">
                  <c:v>0.18639380530973454</c:v>
                </c:pt>
                <c:pt idx="81">
                  <c:v>0.1479174776177499</c:v>
                </c:pt>
                <c:pt idx="82">
                  <c:v>0.17281006071118821</c:v>
                </c:pt>
                <c:pt idx="83">
                  <c:v>0.15276602943664352</c:v>
                </c:pt>
                <c:pt idx="84">
                  <c:v>0.14600975109058251</c:v>
                </c:pt>
                <c:pt idx="85">
                  <c:v>0.16774999999999976</c:v>
                </c:pt>
                <c:pt idx="86">
                  <c:v>0.14934114202049759</c:v>
                </c:pt>
                <c:pt idx="87">
                  <c:v>9.5761889356195409E-2</c:v>
                </c:pt>
                <c:pt idx="88">
                  <c:v>0.15454373701114679</c:v>
                </c:pt>
                <c:pt idx="89">
                  <c:v>0.10087517273146016</c:v>
                </c:pt>
                <c:pt idx="90">
                  <c:v>0.18043844856661048</c:v>
                </c:pt>
                <c:pt idx="91">
                  <c:v>0.13769432667070464</c:v>
                </c:pt>
                <c:pt idx="92">
                  <c:v>0.17057131113851193</c:v>
                </c:pt>
                <c:pt idx="93">
                  <c:v>0.14106168347941128</c:v>
                </c:pt>
                <c:pt idx="94">
                  <c:v>0.15481651376146788</c:v>
                </c:pt>
                <c:pt idx="95">
                  <c:v>0.18135062611806796</c:v>
                </c:pt>
                <c:pt idx="96">
                  <c:v>0.16412940057088488</c:v>
                </c:pt>
                <c:pt idx="97">
                  <c:v>0.14514785506039149</c:v>
                </c:pt>
                <c:pt idx="98">
                  <c:v>0.12741727546196799</c:v>
                </c:pt>
                <c:pt idx="99">
                  <c:v>0.17681007345225605</c:v>
                </c:pt>
                <c:pt idx="100">
                  <c:v>0.13539462978030919</c:v>
                </c:pt>
                <c:pt idx="101">
                  <c:v>0.16700946112710818</c:v>
                </c:pt>
                <c:pt idx="102">
                  <c:v>0.1283155746996146</c:v>
                </c:pt>
                <c:pt idx="103">
                  <c:v>0.15910055154857849</c:v>
                </c:pt>
                <c:pt idx="104">
                  <c:v>0.14100185528756959</c:v>
                </c:pt>
                <c:pt idx="105">
                  <c:v>0.15684290412345028</c:v>
                </c:pt>
                <c:pt idx="106">
                  <c:v>0.11900860303154444</c:v>
                </c:pt>
                <c:pt idx="107">
                  <c:v>0.11733771569433031</c:v>
                </c:pt>
                <c:pt idx="108">
                  <c:v>0.21666666666666665</c:v>
                </c:pt>
                <c:pt idx="109">
                  <c:v>0.13912712025919574</c:v>
                </c:pt>
                <c:pt idx="110">
                  <c:v>0.1835039598222909</c:v>
                </c:pt>
                <c:pt idx="111">
                  <c:v>0.16537000180929962</c:v>
                </c:pt>
                <c:pt idx="112">
                  <c:v>0.13204775022956841</c:v>
                </c:pt>
                <c:pt idx="113">
                  <c:v>0.19232992869531701</c:v>
                </c:pt>
                <c:pt idx="114">
                  <c:v>0.14118158123370983</c:v>
                </c:pt>
                <c:pt idx="115">
                  <c:v>0.14143094841930115</c:v>
                </c:pt>
                <c:pt idx="116">
                  <c:v>0.19572166215883943</c:v>
                </c:pt>
                <c:pt idx="117">
                  <c:v>0.15215479331574319</c:v>
                </c:pt>
                <c:pt idx="118">
                  <c:v>0.22809430255402749</c:v>
                </c:pt>
                <c:pt idx="119">
                  <c:v>0.17615793470007568</c:v>
                </c:pt>
                <c:pt idx="120">
                  <c:v>0.2501934485426876</c:v>
                </c:pt>
                <c:pt idx="121">
                  <c:v>0.18582002337358783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24F-41D3-BCCD-455D99B77C10}"/>
            </c:ext>
          </c:extLst>
        </c:ser>
        <c:ser>
          <c:idx val="3"/>
          <c:order val="3"/>
          <c:tx>
            <c:v>0.51 - 1.00</c:v>
          </c:tx>
          <c:marker>
            <c:symbol val="none"/>
          </c:marker>
          <c:trendline>
            <c:spPr>
              <a:ln w="38100">
                <a:solidFill>
                  <a:schemeClr val="accent4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0.1002507941224328"/>
                  <c:y val="9.1878762790024234E-4"/>
                </c:manualLayout>
              </c:layout>
              <c:numFmt formatCode="General" sourceLinked="0"/>
            </c:trendlineLbl>
          </c:trendline>
          <c:xVal>
            <c:numRef>
              <c:f>'[2]Amount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'[2]Amount of Events'!$AA$2:$AA$123</c:f>
              <c:numCache>
                <c:formatCode>General</c:formatCode>
                <c:ptCount val="122"/>
                <c:pt idx="0">
                  <c:v>0.32347944274549778</c:v>
                </c:pt>
                <c:pt idx="1">
                  <c:v>0.26119999999999799</c:v>
                </c:pt>
                <c:pt idx="2">
                  <c:v>0.25597141245063004</c:v>
                </c:pt>
                <c:pt idx="3">
                  <c:v>0.29379338505512248</c:v>
                </c:pt>
                <c:pt idx="4">
                  <c:v>0.31093057607090108</c:v>
                </c:pt>
                <c:pt idx="5">
                  <c:v>0.20915157292659484</c:v>
                </c:pt>
                <c:pt idx="6">
                  <c:v>0.3632213294375457</c:v>
                </c:pt>
                <c:pt idx="7">
                  <c:v>0.29644572526416907</c:v>
                </c:pt>
                <c:pt idx="8">
                  <c:v>0.25406504065040469</c:v>
                </c:pt>
                <c:pt idx="9">
                  <c:v>0.24790449580899163</c:v>
                </c:pt>
                <c:pt idx="10">
                  <c:v>0.31741103415333172</c:v>
                </c:pt>
                <c:pt idx="11">
                  <c:v>0.22969596001665971</c:v>
                </c:pt>
                <c:pt idx="12">
                  <c:v>0.25958322613841012</c:v>
                </c:pt>
                <c:pt idx="13">
                  <c:v>0.23021582733812948</c:v>
                </c:pt>
                <c:pt idx="14">
                  <c:v>0.21748013620885359</c:v>
                </c:pt>
                <c:pt idx="15">
                  <c:v>0.30915964942429969</c:v>
                </c:pt>
                <c:pt idx="16">
                  <c:v>0.26791666666666664</c:v>
                </c:pt>
                <c:pt idx="17">
                  <c:v>0.28469750889679718</c:v>
                </c:pt>
                <c:pt idx="18">
                  <c:v>0.2902432358567914</c:v>
                </c:pt>
                <c:pt idx="19">
                  <c:v>0.2338403041825074</c:v>
                </c:pt>
                <c:pt idx="20">
                  <c:v>0.30137334689725331</c:v>
                </c:pt>
                <c:pt idx="21">
                  <c:v>0.23377618804292286</c:v>
                </c:pt>
                <c:pt idx="22">
                  <c:v>0.34436542669584241</c:v>
                </c:pt>
                <c:pt idx="23">
                  <c:v>0.42778433687524592</c:v>
                </c:pt>
                <c:pt idx="24">
                  <c:v>0.35390266299357021</c:v>
                </c:pt>
                <c:pt idx="25">
                  <c:v>0.23943996203132414</c:v>
                </c:pt>
                <c:pt idx="26">
                  <c:v>0.33654750705550091</c:v>
                </c:pt>
                <c:pt idx="27">
                  <c:v>0.32205798749289372</c:v>
                </c:pt>
                <c:pt idx="28">
                  <c:v>0.19233296823658269</c:v>
                </c:pt>
                <c:pt idx="29">
                  <c:v>0.2069060016442861</c:v>
                </c:pt>
                <c:pt idx="30">
                  <c:v>0.2402795980777632</c:v>
                </c:pt>
                <c:pt idx="31">
                  <c:v>0.23217442545668829</c:v>
                </c:pt>
                <c:pt idx="32">
                  <c:v>0.34995606326889278</c:v>
                </c:pt>
                <c:pt idx="33">
                  <c:v>0.27107364685004437</c:v>
                </c:pt>
                <c:pt idx="34">
                  <c:v>0.29027355623100309</c:v>
                </c:pt>
                <c:pt idx="35">
                  <c:v>0.37461559966452335</c:v>
                </c:pt>
                <c:pt idx="36">
                  <c:v>0.19555143651529194</c:v>
                </c:pt>
                <c:pt idx="37">
                  <c:v>0.45793397231096911</c:v>
                </c:pt>
                <c:pt idx="38">
                  <c:v>0.25518867924528305</c:v>
                </c:pt>
                <c:pt idx="39">
                  <c:v>0.25090645395213684</c:v>
                </c:pt>
                <c:pt idx="40">
                  <c:v>0.27496193169458122</c:v>
                </c:pt>
                <c:pt idx="41">
                  <c:v>0.29988304093567253</c:v>
                </c:pt>
                <c:pt idx="42">
                  <c:v>0.19436445907034142</c:v>
                </c:pt>
                <c:pt idx="43">
                  <c:v>0.27343124165553806</c:v>
                </c:pt>
                <c:pt idx="44">
                  <c:v>0.43899782135076032</c:v>
                </c:pt>
                <c:pt idx="45">
                  <c:v>0.37548422800221087</c:v>
                </c:pt>
                <c:pt idx="46">
                  <c:v>0.42382657120127087</c:v>
                </c:pt>
                <c:pt idx="47">
                  <c:v>0.34241351130482156</c:v>
                </c:pt>
                <c:pt idx="48">
                  <c:v>0.2142857142857143</c:v>
                </c:pt>
                <c:pt idx="49">
                  <c:v>0.33237105465742878</c:v>
                </c:pt>
                <c:pt idx="50">
                  <c:v>0.2863470557582074</c:v>
                </c:pt>
                <c:pt idx="51">
                  <c:v>0.39861545332737602</c:v>
                </c:pt>
                <c:pt idx="52">
                  <c:v>0.24889068172650264</c:v>
                </c:pt>
                <c:pt idx="53">
                  <c:v>0.4421699078812667</c:v>
                </c:pt>
                <c:pt idx="54">
                  <c:v>0.31820461384152454</c:v>
                </c:pt>
                <c:pt idx="55">
                  <c:v>0.2824798984341938</c:v>
                </c:pt>
                <c:pt idx="56">
                  <c:v>0.31047657349688318</c:v>
                </c:pt>
                <c:pt idx="57">
                  <c:v>0.29910421673585097</c:v>
                </c:pt>
                <c:pt idx="58">
                  <c:v>0.40518867924528301</c:v>
                </c:pt>
                <c:pt idx="59">
                  <c:v>0.31042884990253172</c:v>
                </c:pt>
                <c:pt idx="60">
                  <c:v>0.25378614043138825</c:v>
                </c:pt>
                <c:pt idx="61">
                  <c:v>0.38914285714285712</c:v>
                </c:pt>
                <c:pt idx="62">
                  <c:v>0.29552298735193738</c:v>
                </c:pt>
                <c:pt idx="63">
                  <c:v>0.28799612778315586</c:v>
                </c:pt>
                <c:pt idx="64">
                  <c:v>0.27909330095122448</c:v>
                </c:pt>
                <c:pt idx="65">
                  <c:v>0.30573248407643311</c:v>
                </c:pt>
                <c:pt idx="66">
                  <c:v>0.34441389652586607</c:v>
                </c:pt>
                <c:pt idx="67">
                  <c:v>0.23884673748103186</c:v>
                </c:pt>
                <c:pt idx="68">
                  <c:v>0.29242262540021352</c:v>
                </c:pt>
                <c:pt idx="69">
                  <c:v>0.34641948382406396</c:v>
                </c:pt>
                <c:pt idx="70">
                  <c:v>0.26699136595085232</c:v>
                </c:pt>
                <c:pt idx="71">
                  <c:v>0.30554423155320015</c:v>
                </c:pt>
                <c:pt idx="72">
                  <c:v>0.38374864572047673</c:v>
                </c:pt>
                <c:pt idx="73">
                  <c:v>0.30278884462151395</c:v>
                </c:pt>
                <c:pt idx="74">
                  <c:v>0.4242424242424242</c:v>
                </c:pt>
                <c:pt idx="75">
                  <c:v>0.22228637413394919</c:v>
                </c:pt>
                <c:pt idx="76">
                  <c:v>0.32454148471615718</c:v>
                </c:pt>
                <c:pt idx="77">
                  <c:v>0.26304617017512821</c:v>
                </c:pt>
                <c:pt idx="78">
                  <c:v>0.30146205616152238</c:v>
                </c:pt>
                <c:pt idx="79">
                  <c:v>0.25573272589217921</c:v>
                </c:pt>
                <c:pt idx="80">
                  <c:v>0.23313053097345135</c:v>
                </c:pt>
                <c:pt idx="81">
                  <c:v>0.32833787465940056</c:v>
                </c:pt>
                <c:pt idx="82">
                  <c:v>0.2768863833477862</c:v>
                </c:pt>
                <c:pt idx="83">
                  <c:v>0.21586871933682963</c:v>
                </c:pt>
                <c:pt idx="84">
                  <c:v>0.30074416217603289</c:v>
                </c:pt>
                <c:pt idx="85">
                  <c:v>0.27524999999999999</c:v>
                </c:pt>
                <c:pt idx="86">
                  <c:v>0.25573450463640801</c:v>
                </c:pt>
                <c:pt idx="87">
                  <c:v>0.22533160789388545</c:v>
                </c:pt>
                <c:pt idx="88">
                  <c:v>0.36217645947477806</c:v>
                </c:pt>
                <c:pt idx="89">
                  <c:v>0.30262551819438049</c:v>
                </c:pt>
                <c:pt idx="90">
                  <c:v>0.28836424957841245</c:v>
                </c:pt>
                <c:pt idx="91">
                  <c:v>0.318796688875429</c:v>
                </c:pt>
                <c:pt idx="92">
                  <c:v>0.23366214549938347</c:v>
                </c:pt>
                <c:pt idx="93">
                  <c:v>0.260294360840086</c:v>
                </c:pt>
                <c:pt idx="94">
                  <c:v>0.28363914373088683</c:v>
                </c:pt>
                <c:pt idx="95">
                  <c:v>0.33810375670840787</c:v>
                </c:pt>
                <c:pt idx="96">
                  <c:v>0.25428163653663177</c:v>
                </c:pt>
                <c:pt idx="97">
                  <c:v>0.2428154935443565</c:v>
                </c:pt>
                <c:pt idx="98">
                  <c:v>0.3867640739149098</c:v>
                </c:pt>
                <c:pt idx="99">
                  <c:v>0.29590766002098373</c:v>
                </c:pt>
                <c:pt idx="100">
                  <c:v>0.20390561432058421</c:v>
                </c:pt>
                <c:pt idx="101">
                  <c:v>0.31612505141916908</c:v>
                </c:pt>
                <c:pt idx="102">
                  <c:v>0.32101564271140332</c:v>
                </c:pt>
                <c:pt idx="103">
                  <c:v>0.31204921510394573</c:v>
                </c:pt>
                <c:pt idx="104">
                  <c:v>0.35041743970315398</c:v>
                </c:pt>
                <c:pt idx="105">
                  <c:v>0.27877561345813051</c:v>
                </c:pt>
                <c:pt idx="106">
                  <c:v>0.37034002458009008</c:v>
                </c:pt>
                <c:pt idx="107">
                  <c:v>0.34034511092851272</c:v>
                </c:pt>
                <c:pt idx="108">
                  <c:v>0.25060975609756098</c:v>
                </c:pt>
                <c:pt idx="109">
                  <c:v>0.28263769773203734</c:v>
                </c:pt>
                <c:pt idx="110">
                  <c:v>0.25651921962526558</c:v>
                </c:pt>
                <c:pt idx="111">
                  <c:v>0.23665641396779444</c:v>
                </c:pt>
                <c:pt idx="112">
                  <c:v>0.33516988062442604</c:v>
                </c:pt>
                <c:pt idx="113">
                  <c:v>0.40701483908267488</c:v>
                </c:pt>
                <c:pt idx="114">
                  <c:v>0.28844483058210252</c:v>
                </c:pt>
                <c:pt idx="115">
                  <c:v>0.19830585387989713</c:v>
                </c:pt>
                <c:pt idx="116">
                  <c:v>0.36906810917137695</c:v>
                </c:pt>
                <c:pt idx="117">
                  <c:v>0.31442392260334218</c:v>
                </c:pt>
                <c:pt idx="118">
                  <c:v>0.22770137524557957</c:v>
                </c:pt>
                <c:pt idx="119">
                  <c:v>0.32422171602126049</c:v>
                </c:pt>
                <c:pt idx="120">
                  <c:v>0.27650245034820475</c:v>
                </c:pt>
                <c:pt idx="121">
                  <c:v>0.25886248539150758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224F-41D3-BCCD-455D99B77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29056"/>
        <c:axId val="118830976"/>
      </c:scatterChart>
      <c:valAx>
        <c:axId val="118829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830976"/>
        <c:crosses val="autoZero"/>
        <c:crossBetween val="midCat"/>
      </c:valAx>
      <c:valAx>
        <c:axId val="11883097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188290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40000"/>
        <a:lumOff val="60000"/>
      </a:schemeClr>
    </a:solidFill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New Brunswick:</a:t>
            </a:r>
            <a:r>
              <a:rPr lang="en-US" baseline="0"/>
              <a:t> </a:t>
            </a:r>
            <a:r>
              <a:rPr lang="en-US"/>
              <a:t>Binned</a:t>
            </a:r>
            <a:r>
              <a:rPr lang="en-US" baseline="0"/>
              <a:t> </a:t>
            </a:r>
            <a:r>
              <a:rPr lang="en-US"/>
              <a:t>Precipitation as a Percentage of Annual </a:t>
            </a:r>
            <a:r>
              <a:rPr lang="en-US" sz="1800" b="1" i="0" u="none" strike="noStrike" baseline="0">
                <a:effectLst/>
              </a:rPr>
              <a:t>Rainfall </a:t>
            </a:r>
            <a:r>
              <a:rPr lang="en-US"/>
              <a:t>(Large)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1.01 - 2.00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5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7303804005631378E-2"/>
                  <c:y val="-4.7789103499409909E-2"/>
                </c:manualLayout>
              </c:layout>
              <c:numFmt formatCode="General" sourceLinked="0"/>
            </c:trendlineLbl>
          </c:trendline>
          <c:xVal>
            <c:numRef>
              <c:f>'[2]Amount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'[2]Amount of Events'!$AK$2:$AK$123</c:f>
              <c:numCache>
                <c:formatCode>General</c:formatCode>
                <c:ptCount val="122"/>
                <c:pt idx="0">
                  <c:v>0.37580699966021069</c:v>
                </c:pt>
                <c:pt idx="1">
                  <c:v>0.41959999999999997</c:v>
                </c:pt>
                <c:pt idx="2">
                  <c:v>0.26123753996614424</c:v>
                </c:pt>
                <c:pt idx="3">
                  <c:v>0.30890159248672933</c:v>
                </c:pt>
                <c:pt idx="4">
                  <c:v>0.30920728705071343</c:v>
                </c:pt>
                <c:pt idx="5">
                  <c:v>0.27283126787416589</c:v>
                </c:pt>
                <c:pt idx="6">
                  <c:v>0.3058802045288514</c:v>
                </c:pt>
                <c:pt idx="7">
                  <c:v>0.22459173871277621</c:v>
                </c:pt>
                <c:pt idx="8">
                  <c:v>0.22653362897265333</c:v>
                </c:pt>
                <c:pt idx="9">
                  <c:v>0.37465074930149866</c:v>
                </c:pt>
                <c:pt idx="10">
                  <c:v>0.35204203486983499</c:v>
                </c:pt>
                <c:pt idx="11">
                  <c:v>0.29925031236984379</c:v>
                </c:pt>
                <c:pt idx="12">
                  <c:v>0.21404682274247494</c:v>
                </c:pt>
                <c:pt idx="13">
                  <c:v>0.15786228160328858</c:v>
                </c:pt>
                <c:pt idx="14">
                  <c:v>0.23745743473325745</c:v>
                </c:pt>
                <c:pt idx="15">
                  <c:v>0.21893796184911499</c:v>
                </c:pt>
                <c:pt idx="16">
                  <c:v>0.37604166666666661</c:v>
                </c:pt>
                <c:pt idx="17">
                  <c:v>0.33143534994068802</c:v>
                </c:pt>
                <c:pt idx="18">
                  <c:v>0.28505056026236675</c:v>
                </c:pt>
                <c:pt idx="19">
                  <c:v>0.33882551753273954</c:v>
                </c:pt>
                <c:pt idx="20">
                  <c:v>0.31993896236012209</c:v>
                </c:pt>
                <c:pt idx="21">
                  <c:v>0.3748083801737353</c:v>
                </c:pt>
                <c:pt idx="22">
                  <c:v>0.19611597374179429</c:v>
                </c:pt>
                <c:pt idx="23">
                  <c:v>0.23455332546241636</c:v>
                </c:pt>
                <c:pt idx="24">
                  <c:v>0.33223140495867753</c:v>
                </c:pt>
                <c:pt idx="25">
                  <c:v>0.23160892263882299</c:v>
                </c:pt>
                <c:pt idx="26">
                  <c:v>0.1954374412041392</c:v>
                </c:pt>
                <c:pt idx="27">
                  <c:v>0.11114269471290507</c:v>
                </c:pt>
                <c:pt idx="28">
                  <c:v>0.33888280394304271</c:v>
                </c:pt>
                <c:pt idx="29">
                  <c:v>0.37188270759111808</c:v>
                </c:pt>
                <c:pt idx="30">
                  <c:v>0.24442988204456093</c:v>
                </c:pt>
                <c:pt idx="31">
                  <c:v>0.32940483205657045</c:v>
                </c:pt>
                <c:pt idx="32">
                  <c:v>0.3495166959578207</c:v>
                </c:pt>
                <c:pt idx="33">
                  <c:v>0.32985803016858917</c:v>
                </c:pt>
                <c:pt idx="34">
                  <c:v>0.21854103343465017</c:v>
                </c:pt>
                <c:pt idx="35">
                  <c:v>0.27005870841487278</c:v>
                </c:pt>
                <c:pt idx="36">
                  <c:v>0.31580166821130662</c:v>
                </c:pt>
                <c:pt idx="37">
                  <c:v>0.24664536741214055</c:v>
                </c:pt>
                <c:pt idx="38">
                  <c:v>0.26580188679245281</c:v>
                </c:pt>
                <c:pt idx="39">
                  <c:v>0.19506889050036236</c:v>
                </c:pt>
                <c:pt idx="40">
                  <c:v>0.36349793343484638</c:v>
                </c:pt>
                <c:pt idx="41">
                  <c:v>0.34175438596491226</c:v>
                </c:pt>
                <c:pt idx="42">
                  <c:v>0.27272727272727276</c:v>
                </c:pt>
                <c:pt idx="43">
                  <c:v>0.36475300400534039</c:v>
                </c:pt>
                <c:pt idx="44">
                  <c:v>0.22004357298474944</c:v>
                </c:pt>
                <c:pt idx="45">
                  <c:v>0.32540121748754847</c:v>
                </c:pt>
                <c:pt idx="46">
                  <c:v>0.28858392999204452</c:v>
                </c:pt>
                <c:pt idx="47">
                  <c:v>0.40561154998637977</c:v>
                </c:pt>
                <c:pt idx="48">
                  <c:v>0.26335575781559162</c:v>
                </c:pt>
                <c:pt idx="49">
                  <c:v>0.19457274826789839</c:v>
                </c:pt>
                <c:pt idx="50">
                  <c:v>0.23684210526315785</c:v>
                </c:pt>
                <c:pt idx="51">
                  <c:v>0.20500223313979432</c:v>
                </c:pt>
                <c:pt idx="52">
                  <c:v>0.30556676079064138</c:v>
                </c:pt>
                <c:pt idx="53">
                  <c:v>0.17988741044012282</c:v>
                </c:pt>
                <c:pt idx="54">
                  <c:v>0.17678034102306922</c:v>
                </c:pt>
                <c:pt idx="55">
                  <c:v>0.37896741430385106</c:v>
                </c:pt>
                <c:pt idx="56">
                  <c:v>0.348883973456666</c:v>
                </c:pt>
                <c:pt idx="57">
                  <c:v>0.3266331658291457</c:v>
                </c:pt>
                <c:pt idx="58">
                  <c:v>6.981132075471698E-2</c:v>
                </c:pt>
                <c:pt idx="59">
                  <c:v>0.17714424951267033</c:v>
                </c:pt>
                <c:pt idx="60">
                  <c:v>0.32055988985773065</c:v>
                </c:pt>
                <c:pt idx="61">
                  <c:v>0.17085714285714287</c:v>
                </c:pt>
                <c:pt idx="62">
                  <c:v>0.4214013250351335</c:v>
                </c:pt>
                <c:pt idx="63">
                  <c:v>0.29525653436592425</c:v>
                </c:pt>
                <c:pt idx="64">
                  <c:v>0.21837684679214733</c:v>
                </c:pt>
                <c:pt idx="65">
                  <c:v>0.30880737974961342</c:v>
                </c:pt>
                <c:pt idx="66">
                  <c:v>0.40464883779055238</c:v>
                </c:pt>
                <c:pt idx="67">
                  <c:v>7.2837632776934738E-2</c:v>
                </c:pt>
                <c:pt idx="68">
                  <c:v>0.26440768409818571</c:v>
                </c:pt>
                <c:pt idx="69">
                  <c:v>0.18938567793529623</c:v>
                </c:pt>
                <c:pt idx="70">
                  <c:v>0.10183750276732344</c:v>
                </c:pt>
                <c:pt idx="71">
                  <c:v>0.26029351814105173</c:v>
                </c:pt>
                <c:pt idx="72">
                  <c:v>0.18873239436619721</c:v>
                </c:pt>
                <c:pt idx="73">
                  <c:v>0.27202301903497123</c:v>
                </c:pt>
                <c:pt idx="74">
                  <c:v>0.26392961876832843</c:v>
                </c:pt>
                <c:pt idx="75">
                  <c:v>0.27424942263279445</c:v>
                </c:pt>
                <c:pt idx="76">
                  <c:v>0.26951965065502009</c:v>
                </c:pt>
                <c:pt idx="77">
                  <c:v>0.332743675924288</c:v>
                </c:pt>
                <c:pt idx="78">
                  <c:v>0.26479461592016706</c:v>
                </c:pt>
                <c:pt idx="79">
                  <c:v>0.37372817008352321</c:v>
                </c:pt>
                <c:pt idx="80">
                  <c:v>0.19966814159292035</c:v>
                </c:pt>
                <c:pt idx="81">
                  <c:v>0.24270144024912416</c:v>
                </c:pt>
                <c:pt idx="82">
                  <c:v>0.39310494362532311</c:v>
                </c:pt>
                <c:pt idx="83">
                  <c:v>0.27694129588902044</c:v>
                </c:pt>
                <c:pt idx="84">
                  <c:v>0.32743135745445162</c:v>
                </c:pt>
                <c:pt idx="85">
                  <c:v>0.31974999999999998</c:v>
                </c:pt>
                <c:pt idx="86">
                  <c:v>0.40727183992191318</c:v>
                </c:pt>
                <c:pt idx="87">
                  <c:v>0.49142672274344545</c:v>
                </c:pt>
                <c:pt idx="88">
                  <c:v>0.343850368411109</c:v>
                </c:pt>
                <c:pt idx="89">
                  <c:v>0.36319668355596502</c:v>
                </c:pt>
                <c:pt idx="90">
                  <c:v>0.31775475788966495</c:v>
                </c:pt>
                <c:pt idx="91">
                  <c:v>0.37936604078336339</c:v>
                </c:pt>
                <c:pt idx="92">
                  <c:v>0.35491163173037404</c:v>
                </c:pt>
                <c:pt idx="93">
                  <c:v>0.23069290557301142</c:v>
                </c:pt>
                <c:pt idx="94">
                  <c:v>0.3404051987767584</c:v>
                </c:pt>
                <c:pt idx="95">
                  <c:v>0.2737030411449014</c:v>
                </c:pt>
                <c:pt idx="96">
                  <c:v>0.20647002854424357</c:v>
                </c:pt>
                <c:pt idx="97">
                  <c:v>0.39150354019158679</c:v>
                </c:pt>
                <c:pt idx="98">
                  <c:v>0.27675118177911473</c:v>
                </c:pt>
                <c:pt idx="99">
                  <c:v>0.36358866736621198</c:v>
                </c:pt>
                <c:pt idx="100">
                  <c:v>0.37705451586655803</c:v>
                </c:pt>
                <c:pt idx="101">
                  <c:v>0.26141505553270261</c:v>
                </c:pt>
                <c:pt idx="102">
                  <c:v>0.28134209929721155</c:v>
                </c:pt>
                <c:pt idx="103">
                  <c:v>0.23377174374204499</c:v>
                </c:pt>
                <c:pt idx="104">
                  <c:v>0.24350649350649353</c:v>
                </c:pt>
                <c:pt idx="105">
                  <c:v>0.38704781178851477</c:v>
                </c:pt>
                <c:pt idx="106">
                  <c:v>0.36378533387955753</c:v>
                </c:pt>
                <c:pt idx="107">
                  <c:v>0.33952341824157761</c:v>
                </c:pt>
                <c:pt idx="108">
                  <c:v>0.24430894308943085</c:v>
                </c:pt>
                <c:pt idx="109">
                  <c:v>0.30207737754907565</c:v>
                </c:pt>
                <c:pt idx="110">
                  <c:v>0.31099092138303841</c:v>
                </c:pt>
                <c:pt idx="111">
                  <c:v>0.32621675411615703</c:v>
                </c:pt>
                <c:pt idx="112">
                  <c:v>0.23562901744719925</c:v>
                </c:pt>
                <c:pt idx="113">
                  <c:v>0.29369820774715549</c:v>
                </c:pt>
                <c:pt idx="114">
                  <c:v>0.38922675933970463</c:v>
                </c:pt>
                <c:pt idx="115">
                  <c:v>0.17319618817122978</c:v>
                </c:pt>
                <c:pt idx="116">
                  <c:v>0.2117039586919105</c:v>
                </c:pt>
                <c:pt idx="117">
                  <c:v>0.26759014951627091</c:v>
                </c:pt>
                <c:pt idx="118">
                  <c:v>0.19312377210216111</c:v>
                </c:pt>
                <c:pt idx="119">
                  <c:v>0.36269298911667935</c:v>
                </c:pt>
                <c:pt idx="120">
                  <c:v>0.22930100593242198</c:v>
                </c:pt>
                <c:pt idx="121">
                  <c:v>0.32333463186598943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40-4824-9B40-BC15002BEB72}"/>
            </c:ext>
          </c:extLst>
        </c:ser>
        <c:ser>
          <c:idx val="2"/>
          <c:order val="1"/>
          <c:tx>
            <c:v>2.01+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6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7375681813358234E-2"/>
                  <c:y val="-6.9398994985942852E-4"/>
                </c:manualLayout>
              </c:layout>
              <c:numFmt formatCode="General" sourceLinked="0"/>
            </c:trendlineLbl>
          </c:trendline>
          <c:xVal>
            <c:numRef>
              <c:f>'[2]Amount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'[2]Amount of Events'!$AN$2:$AN$123</c:f>
              <c:numCache>
                <c:formatCode>General</c:formatCode>
                <c:ptCount val="122"/>
                <c:pt idx="0">
                  <c:v>0</c:v>
                </c:pt>
                <c:pt idx="1">
                  <c:v>6.4399999999999999E-2</c:v>
                </c:pt>
                <c:pt idx="2">
                  <c:v>0.13785969531690803</c:v>
                </c:pt>
                <c:pt idx="3">
                  <c:v>9.5549203756635365E-2</c:v>
                </c:pt>
                <c:pt idx="4">
                  <c:v>0.13367799113737078</c:v>
                </c:pt>
                <c:pt idx="5">
                  <c:v>0.25605338417540513</c:v>
                </c:pt>
                <c:pt idx="6">
                  <c:v>8.3637691745799853E-2</c:v>
                </c:pt>
                <c:pt idx="7">
                  <c:v>0.18866474543707976</c:v>
                </c:pt>
                <c:pt idx="8">
                  <c:v>0.29896526237989651</c:v>
                </c:pt>
                <c:pt idx="9">
                  <c:v>0</c:v>
                </c:pt>
                <c:pt idx="10">
                  <c:v>0</c:v>
                </c:pt>
                <c:pt idx="11">
                  <c:v>0.13140358184089962</c:v>
                </c:pt>
                <c:pt idx="12">
                  <c:v>0.25546694108566992</c:v>
                </c:pt>
                <c:pt idx="13">
                  <c:v>0.28119218910585797</c:v>
                </c:pt>
                <c:pt idx="14">
                  <c:v>0.1888762769580023</c:v>
                </c:pt>
                <c:pt idx="15">
                  <c:v>0.18920776765767314</c:v>
                </c:pt>
                <c:pt idx="16">
                  <c:v>9.3958333333333324E-2</c:v>
                </c:pt>
                <c:pt idx="17">
                  <c:v>4.792408066429419E-2</c:v>
                </c:pt>
                <c:pt idx="18">
                  <c:v>0</c:v>
                </c:pt>
                <c:pt idx="19">
                  <c:v>0.14892268694550062</c:v>
                </c:pt>
                <c:pt idx="20">
                  <c:v>0</c:v>
                </c:pt>
                <c:pt idx="21">
                  <c:v>6.1318344404701068E-2</c:v>
                </c:pt>
                <c:pt idx="22">
                  <c:v>0.14907002188183807</c:v>
                </c:pt>
                <c:pt idx="23">
                  <c:v>8.1660763478945297E-2</c:v>
                </c:pt>
                <c:pt idx="24">
                  <c:v>8.1175390266299358E-2</c:v>
                </c:pt>
                <c:pt idx="25">
                  <c:v>0.22662553393450402</c:v>
                </c:pt>
                <c:pt idx="26">
                  <c:v>0.11547507055503292</c:v>
                </c:pt>
                <c:pt idx="27">
                  <c:v>0.11625923820352473</c:v>
                </c:pt>
                <c:pt idx="28">
                  <c:v>0.18663745892661557</c:v>
                </c:pt>
                <c:pt idx="29">
                  <c:v>0</c:v>
                </c:pt>
                <c:pt idx="30">
                  <c:v>0.13390126692878987</c:v>
                </c:pt>
                <c:pt idx="31">
                  <c:v>0.18915733647613436</c:v>
                </c:pt>
                <c:pt idx="32">
                  <c:v>4.6792618629173985E-2</c:v>
                </c:pt>
                <c:pt idx="33">
                  <c:v>0</c:v>
                </c:pt>
                <c:pt idx="34">
                  <c:v>0.14316109422492401</c:v>
                </c:pt>
                <c:pt idx="35">
                  <c:v>0</c:v>
                </c:pt>
                <c:pt idx="36">
                  <c:v>0.17006487488415201</c:v>
                </c:pt>
                <c:pt idx="37">
                  <c:v>5.0692225772097969E-2</c:v>
                </c:pt>
                <c:pt idx="38">
                  <c:v>0.12853773584905639</c:v>
                </c:pt>
                <c:pt idx="39">
                  <c:v>0.12424462170655065</c:v>
                </c:pt>
                <c:pt idx="40">
                  <c:v>5.7428757885577553E-2</c:v>
                </c:pt>
                <c:pt idx="41">
                  <c:v>4.9590643274853803E-2</c:v>
                </c:pt>
                <c:pt idx="42">
                  <c:v>0.14376799670917317</c:v>
                </c:pt>
                <c:pt idx="43">
                  <c:v>0</c:v>
                </c:pt>
                <c:pt idx="44">
                  <c:v>0.10065359477124183</c:v>
                </c:pt>
                <c:pt idx="45">
                  <c:v>0</c:v>
                </c:pt>
                <c:pt idx="46">
                  <c:v>5.8671439936356408E-2</c:v>
                </c:pt>
                <c:pt idx="47">
                  <c:v>0</c:v>
                </c:pt>
                <c:pt idx="48">
                  <c:v>0.30925999208547683</c:v>
                </c:pt>
                <c:pt idx="49">
                  <c:v>0.10931485758275597</c:v>
                </c:pt>
                <c:pt idx="50">
                  <c:v>0.19541427826993224</c:v>
                </c:pt>
                <c:pt idx="51">
                  <c:v>0.14448414470745868</c:v>
                </c:pt>
                <c:pt idx="52">
                  <c:v>6.2525211778943129E-2</c:v>
                </c:pt>
                <c:pt idx="53">
                  <c:v>5.194472876151484E-2</c:v>
                </c:pt>
                <c:pt idx="54">
                  <c:v>0.15421263791374121</c:v>
                </c:pt>
                <c:pt idx="55">
                  <c:v>4.8666948793906047E-2</c:v>
                </c:pt>
                <c:pt idx="56">
                  <c:v>0.10496682083249548</c:v>
                </c:pt>
                <c:pt idx="57">
                  <c:v>5.4620930740659816E-2</c:v>
                </c:pt>
                <c:pt idx="58">
                  <c:v>0.2702830188679245</c:v>
                </c:pt>
                <c:pt idx="59">
                  <c:v>0.27168615984405459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0.11423039690222651</c:v>
                </c:pt>
                <c:pt idx="64">
                  <c:v>0.26431896377251574</c:v>
                </c:pt>
                <c:pt idx="65">
                  <c:v>4.6123435097737753E-2</c:v>
                </c:pt>
                <c:pt idx="66">
                  <c:v>0</c:v>
                </c:pt>
                <c:pt idx="67">
                  <c:v>0.26009104704097114</c:v>
                </c:pt>
                <c:pt idx="68">
                  <c:v>7.2305229455709719E-2</c:v>
                </c:pt>
                <c:pt idx="69">
                  <c:v>0</c:v>
                </c:pt>
                <c:pt idx="70">
                  <c:v>0.37657737436351557</c:v>
                </c:pt>
                <c:pt idx="71">
                  <c:v>9.2335915205870367E-2</c:v>
                </c:pt>
                <c:pt idx="72">
                  <c:v>0.22015167930660889</c:v>
                </c:pt>
                <c:pt idx="73">
                  <c:v>9.8494909251881368E-2</c:v>
                </c:pt>
                <c:pt idx="74">
                  <c:v>0</c:v>
                </c:pt>
                <c:pt idx="75">
                  <c:v>0.24384141647421093</c:v>
                </c:pt>
                <c:pt idx="76">
                  <c:v>0.15196506550218342</c:v>
                </c:pt>
                <c:pt idx="77">
                  <c:v>0.18998761719441004</c:v>
                </c:pt>
                <c:pt idx="78">
                  <c:v>0.10164771408679507</c:v>
                </c:pt>
                <c:pt idx="79">
                  <c:v>0.13621867881548977</c:v>
                </c:pt>
                <c:pt idx="80">
                  <c:v>0.18390486725663718</c:v>
                </c:pt>
                <c:pt idx="81">
                  <c:v>0.16076294277929154</c:v>
                </c:pt>
                <c:pt idx="82">
                  <c:v>4.7267996530789252E-2</c:v>
                </c:pt>
                <c:pt idx="83">
                  <c:v>0.23701573337844678</c:v>
                </c:pt>
                <c:pt idx="84">
                  <c:v>7.7238901719271225E-2</c:v>
                </c:pt>
                <c:pt idx="85">
                  <c:v>0.11200000000000002</c:v>
                </c:pt>
                <c:pt idx="86">
                  <c:v>5.6612981942410934E-2</c:v>
                </c:pt>
                <c:pt idx="87">
                  <c:v>0.11096732449045617</c:v>
                </c:pt>
                <c:pt idx="88">
                  <c:v>5.3655771774041183E-2</c:v>
                </c:pt>
                <c:pt idx="89">
                  <c:v>0.11169967756794104</c:v>
                </c:pt>
                <c:pt idx="90">
                  <c:v>6.2394603709949412E-2</c:v>
                </c:pt>
                <c:pt idx="91">
                  <c:v>4.2196648495861092E-2</c:v>
                </c:pt>
                <c:pt idx="92">
                  <c:v>0.14529387587340734</c:v>
                </c:pt>
                <c:pt idx="93">
                  <c:v>0.26012898958161074</c:v>
                </c:pt>
                <c:pt idx="94">
                  <c:v>9.6903669724770658E-2</c:v>
                </c:pt>
                <c:pt idx="95">
                  <c:v>9.66010733452594E-2</c:v>
                </c:pt>
                <c:pt idx="96">
                  <c:v>0.21622264509990463</c:v>
                </c:pt>
                <c:pt idx="97">
                  <c:v>9.3502707205331104E-2</c:v>
                </c:pt>
                <c:pt idx="98">
                  <c:v>9.583154275891706E-2</c:v>
                </c:pt>
                <c:pt idx="99">
                  <c:v>0</c:v>
                </c:pt>
                <c:pt idx="100">
                  <c:v>0.17217249796582584</c:v>
                </c:pt>
                <c:pt idx="101">
                  <c:v>0.12834224598930483</c:v>
                </c:pt>
                <c:pt idx="102">
                  <c:v>0.14667875765132624</c:v>
                </c:pt>
                <c:pt idx="103">
                  <c:v>0.17331353415358508</c:v>
                </c:pt>
                <c:pt idx="104">
                  <c:v>0.1215213358070501</c:v>
                </c:pt>
                <c:pt idx="105">
                  <c:v>5.8689602833291166E-2</c:v>
                </c:pt>
                <c:pt idx="106">
                  <c:v>5.4281032363785335E-2</c:v>
                </c:pt>
                <c:pt idx="107">
                  <c:v>7.5102711585866871E-2</c:v>
                </c:pt>
                <c:pt idx="108">
                  <c:v>0.16686991869918699</c:v>
                </c:pt>
                <c:pt idx="109">
                  <c:v>0.1661902039260528</c:v>
                </c:pt>
                <c:pt idx="110">
                  <c:v>0.13733822677226193</c:v>
                </c:pt>
                <c:pt idx="111">
                  <c:v>0.16573186176949517</c:v>
                </c:pt>
                <c:pt idx="112">
                  <c:v>0.18530762167125803</c:v>
                </c:pt>
                <c:pt idx="113">
                  <c:v>0</c:v>
                </c:pt>
                <c:pt idx="114">
                  <c:v>8.0582102519548227E-2</c:v>
                </c:pt>
                <c:pt idx="115">
                  <c:v>0.40508243836030861</c:v>
                </c:pt>
                <c:pt idx="116">
                  <c:v>5.8028030489304147E-2</c:v>
                </c:pt>
                <c:pt idx="117">
                  <c:v>0.11807387862796834</c:v>
                </c:pt>
                <c:pt idx="118">
                  <c:v>0.23300589390962673</c:v>
                </c:pt>
                <c:pt idx="119">
                  <c:v>0</c:v>
                </c:pt>
                <c:pt idx="120">
                  <c:v>9.0533917977817888E-2</c:v>
                </c:pt>
                <c:pt idx="121">
                  <c:v>0.11375146084924034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40-4824-9B40-BC15002BE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63360"/>
        <c:axId val="118865280"/>
      </c:scatterChart>
      <c:valAx>
        <c:axId val="118863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865280"/>
        <c:crosses val="autoZero"/>
        <c:crossBetween val="midCat"/>
      </c:valAx>
      <c:valAx>
        <c:axId val="118865280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188633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40000"/>
        <a:lumOff val="60000"/>
      </a:schemeClr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New Brunswick:</a:t>
            </a:r>
            <a:r>
              <a:rPr lang="en-US"/>
              <a:t> Total Precipitation Within</a:t>
            </a:r>
            <a:r>
              <a:rPr lang="en-US" baseline="0"/>
              <a:t> Bins (Large)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1.01 - 2.00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5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1259390518681108E-2"/>
                  <c:y val="1.6484155064938739E-2"/>
                </c:manualLayout>
              </c:layout>
              <c:numFmt formatCode="General" sourceLinked="0"/>
            </c:trendlineLbl>
          </c:trendline>
          <c:xVal>
            <c:numRef>
              <c:f>'[2]Amount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'[2]Amount of Events'!$P$2:$P$123</c:f>
              <c:numCache>
                <c:formatCode>General</c:formatCode>
                <c:ptCount val="122"/>
                <c:pt idx="0">
                  <c:v>11.06</c:v>
                </c:pt>
                <c:pt idx="1">
                  <c:v>20.979999999999997</c:v>
                </c:pt>
                <c:pt idx="2">
                  <c:v>13.88999999999989</c:v>
                </c:pt>
                <c:pt idx="3">
                  <c:v>15.129999999999999</c:v>
                </c:pt>
                <c:pt idx="4">
                  <c:v>12.559999999999981</c:v>
                </c:pt>
                <c:pt idx="5">
                  <c:v>14.31</c:v>
                </c:pt>
                <c:pt idx="6">
                  <c:v>16.749999999999901</c:v>
                </c:pt>
                <c:pt idx="7">
                  <c:v>11.690000000000001</c:v>
                </c:pt>
                <c:pt idx="8">
                  <c:v>12.26</c:v>
                </c:pt>
                <c:pt idx="9">
                  <c:v>14.75</c:v>
                </c:pt>
                <c:pt idx="10">
                  <c:v>14.73999999999999</c:v>
                </c:pt>
                <c:pt idx="11">
                  <c:v>14.3699999999999</c:v>
                </c:pt>
                <c:pt idx="12">
                  <c:v>8.32</c:v>
                </c:pt>
                <c:pt idx="13">
                  <c:v>7.6799999999999899</c:v>
                </c:pt>
                <c:pt idx="14">
                  <c:v>10.45999999999999</c:v>
                </c:pt>
                <c:pt idx="15">
                  <c:v>12.74</c:v>
                </c:pt>
                <c:pt idx="16">
                  <c:v>18.049999999999997</c:v>
                </c:pt>
                <c:pt idx="17">
                  <c:v>13.969999999999999</c:v>
                </c:pt>
                <c:pt idx="18">
                  <c:v>10.43</c:v>
                </c:pt>
                <c:pt idx="19">
                  <c:v>16.039999999999889</c:v>
                </c:pt>
                <c:pt idx="20">
                  <c:v>12.58</c:v>
                </c:pt>
                <c:pt idx="21">
                  <c:v>14.67</c:v>
                </c:pt>
                <c:pt idx="22">
                  <c:v>7.17</c:v>
                </c:pt>
                <c:pt idx="23">
                  <c:v>11.92</c:v>
                </c:pt>
                <c:pt idx="24">
                  <c:v>18.089999999999989</c:v>
                </c:pt>
                <c:pt idx="25">
                  <c:v>9.76</c:v>
                </c:pt>
                <c:pt idx="26">
                  <c:v>8.31</c:v>
                </c:pt>
                <c:pt idx="27">
                  <c:v>3.91</c:v>
                </c:pt>
                <c:pt idx="28">
                  <c:v>15.469999999999899</c:v>
                </c:pt>
                <c:pt idx="29">
                  <c:v>13.569999999999899</c:v>
                </c:pt>
                <c:pt idx="30">
                  <c:v>11.19</c:v>
                </c:pt>
                <c:pt idx="31">
                  <c:v>16.77</c:v>
                </c:pt>
                <c:pt idx="32">
                  <c:v>15.91</c:v>
                </c:pt>
                <c:pt idx="33">
                  <c:v>14.87</c:v>
                </c:pt>
                <c:pt idx="34">
                  <c:v>7.1899999999999906</c:v>
                </c:pt>
                <c:pt idx="35">
                  <c:v>9.66</c:v>
                </c:pt>
                <c:pt idx="36">
                  <c:v>13.629999999999992</c:v>
                </c:pt>
                <c:pt idx="37">
                  <c:v>11.58</c:v>
                </c:pt>
                <c:pt idx="38">
                  <c:v>11.27</c:v>
                </c:pt>
                <c:pt idx="39">
                  <c:v>8.0699999999999896</c:v>
                </c:pt>
                <c:pt idx="40">
                  <c:v>16.709999999999887</c:v>
                </c:pt>
                <c:pt idx="41">
                  <c:v>14.61</c:v>
                </c:pt>
                <c:pt idx="42">
                  <c:v>13.260000000000002</c:v>
                </c:pt>
                <c:pt idx="43">
                  <c:v>13.66</c:v>
                </c:pt>
                <c:pt idx="44">
                  <c:v>10.1</c:v>
                </c:pt>
                <c:pt idx="45">
                  <c:v>11.760000000000002</c:v>
                </c:pt>
                <c:pt idx="46">
                  <c:v>14.51</c:v>
                </c:pt>
                <c:pt idx="47">
                  <c:v>14.89</c:v>
                </c:pt>
                <c:pt idx="48">
                  <c:v>13.309999999999999</c:v>
                </c:pt>
                <c:pt idx="49">
                  <c:v>10.110000000000001</c:v>
                </c:pt>
                <c:pt idx="50">
                  <c:v>9.09</c:v>
                </c:pt>
                <c:pt idx="51">
                  <c:v>9.1799999999999908</c:v>
                </c:pt>
                <c:pt idx="52">
                  <c:v>15.15</c:v>
                </c:pt>
                <c:pt idx="53">
                  <c:v>7.0299999999999994</c:v>
                </c:pt>
                <c:pt idx="54">
                  <c:v>7.0500000000000007</c:v>
                </c:pt>
                <c:pt idx="55">
                  <c:v>17.91</c:v>
                </c:pt>
                <c:pt idx="56">
                  <c:v>17.350000000000001</c:v>
                </c:pt>
                <c:pt idx="57">
                  <c:v>14.95</c:v>
                </c:pt>
                <c:pt idx="58">
                  <c:v>2.96</c:v>
                </c:pt>
                <c:pt idx="59">
                  <c:v>7.2699999999999898</c:v>
                </c:pt>
                <c:pt idx="60">
                  <c:v>13.969999999999899</c:v>
                </c:pt>
                <c:pt idx="61">
                  <c:v>5.98</c:v>
                </c:pt>
                <c:pt idx="62">
                  <c:v>20.990000000000002</c:v>
                </c:pt>
                <c:pt idx="63">
                  <c:v>12.19999999999999</c:v>
                </c:pt>
                <c:pt idx="64">
                  <c:v>10.79</c:v>
                </c:pt>
                <c:pt idx="65">
                  <c:v>14.059999999999899</c:v>
                </c:pt>
                <c:pt idx="66">
                  <c:v>16.190000000000001</c:v>
                </c:pt>
                <c:pt idx="67">
                  <c:v>2.4</c:v>
                </c:pt>
                <c:pt idx="68">
                  <c:v>9.91</c:v>
                </c:pt>
                <c:pt idx="69">
                  <c:v>5.21</c:v>
                </c:pt>
                <c:pt idx="70">
                  <c:v>4.5999999999999996</c:v>
                </c:pt>
                <c:pt idx="71">
                  <c:v>12.77</c:v>
                </c:pt>
                <c:pt idx="72">
                  <c:v>8.7100000000000009</c:v>
                </c:pt>
                <c:pt idx="73">
                  <c:v>12.29</c:v>
                </c:pt>
                <c:pt idx="74">
                  <c:v>10.8</c:v>
                </c:pt>
                <c:pt idx="75">
                  <c:v>14.25</c:v>
                </c:pt>
                <c:pt idx="76">
                  <c:v>15.4299999999999</c:v>
                </c:pt>
                <c:pt idx="77">
                  <c:v>18.810000000000002</c:v>
                </c:pt>
                <c:pt idx="78">
                  <c:v>11.41</c:v>
                </c:pt>
                <c:pt idx="79">
                  <c:v>24.61</c:v>
                </c:pt>
                <c:pt idx="80">
                  <c:v>7.22</c:v>
                </c:pt>
                <c:pt idx="81">
                  <c:v>12.469999999999999</c:v>
                </c:pt>
                <c:pt idx="82">
                  <c:v>18.1299999999999</c:v>
                </c:pt>
                <c:pt idx="83">
                  <c:v>16.37</c:v>
                </c:pt>
                <c:pt idx="84">
                  <c:v>12.75999999999998</c:v>
                </c:pt>
                <c:pt idx="85">
                  <c:v>12.79</c:v>
                </c:pt>
                <c:pt idx="86">
                  <c:v>16.689999999999998</c:v>
                </c:pt>
                <c:pt idx="87">
                  <c:v>30.379999999999797</c:v>
                </c:pt>
                <c:pt idx="88">
                  <c:v>18.2</c:v>
                </c:pt>
                <c:pt idx="89">
                  <c:v>15.77</c:v>
                </c:pt>
                <c:pt idx="90">
                  <c:v>13.189999999999991</c:v>
                </c:pt>
                <c:pt idx="91">
                  <c:v>18.789999999999988</c:v>
                </c:pt>
                <c:pt idx="92">
                  <c:v>17.27</c:v>
                </c:pt>
                <c:pt idx="93">
                  <c:v>13.95</c:v>
                </c:pt>
                <c:pt idx="94">
                  <c:v>17.810000000000002</c:v>
                </c:pt>
                <c:pt idx="95">
                  <c:v>12.239999999999991</c:v>
                </c:pt>
                <c:pt idx="96">
                  <c:v>8.68</c:v>
                </c:pt>
                <c:pt idx="97">
                  <c:v>18.8</c:v>
                </c:pt>
                <c:pt idx="98">
                  <c:v>12.879999999999999</c:v>
                </c:pt>
                <c:pt idx="99">
                  <c:v>13.86</c:v>
                </c:pt>
                <c:pt idx="100">
                  <c:v>23.169999999999991</c:v>
                </c:pt>
                <c:pt idx="101">
                  <c:v>12.71</c:v>
                </c:pt>
                <c:pt idx="102">
                  <c:v>12.41</c:v>
                </c:pt>
                <c:pt idx="103">
                  <c:v>11.02</c:v>
                </c:pt>
                <c:pt idx="104">
                  <c:v>10.5</c:v>
                </c:pt>
                <c:pt idx="105">
                  <c:v>15.29999999999999</c:v>
                </c:pt>
                <c:pt idx="106">
                  <c:v>17.759999999999998</c:v>
                </c:pt>
                <c:pt idx="107">
                  <c:v>20.66</c:v>
                </c:pt>
                <c:pt idx="108">
                  <c:v>12.02</c:v>
                </c:pt>
                <c:pt idx="109">
                  <c:v>15.85</c:v>
                </c:pt>
                <c:pt idx="110">
                  <c:v>16.099999999999902</c:v>
                </c:pt>
                <c:pt idx="111">
                  <c:v>18.03</c:v>
                </c:pt>
                <c:pt idx="112">
                  <c:v>12.83</c:v>
                </c:pt>
                <c:pt idx="113">
                  <c:v>15.239999999999899</c:v>
                </c:pt>
                <c:pt idx="114">
                  <c:v>17.920000000000002</c:v>
                </c:pt>
                <c:pt idx="115">
                  <c:v>11.45</c:v>
                </c:pt>
                <c:pt idx="116">
                  <c:v>8.61</c:v>
                </c:pt>
                <c:pt idx="117">
                  <c:v>12.17</c:v>
                </c:pt>
                <c:pt idx="118">
                  <c:v>9.83</c:v>
                </c:pt>
                <c:pt idx="119">
                  <c:v>14.33</c:v>
                </c:pt>
                <c:pt idx="120">
                  <c:v>8.89</c:v>
                </c:pt>
                <c:pt idx="121">
                  <c:v>16.599999999999898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50D-4303-8330-394B0BD1100F}"/>
            </c:ext>
          </c:extLst>
        </c:ser>
        <c:ser>
          <c:idx val="1"/>
          <c:order val="1"/>
          <c:tx>
            <c:v>2.01+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6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9371367885199693E-2"/>
                  <c:y val="1.8465452617339744E-4"/>
                </c:manualLayout>
              </c:layout>
              <c:numFmt formatCode="General" sourceLinked="0"/>
            </c:trendlineLbl>
          </c:trendline>
          <c:xVal>
            <c:numRef>
              <c:f>'[2]Amount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'[2]Amount of Events'!$S$2:$S$123</c:f>
              <c:numCache>
                <c:formatCode>General</c:formatCode>
                <c:ptCount val="122"/>
                <c:pt idx="0">
                  <c:v>0</c:v>
                </c:pt>
                <c:pt idx="1">
                  <c:v>3.22</c:v>
                </c:pt>
                <c:pt idx="2">
                  <c:v>7.33</c:v>
                </c:pt>
                <c:pt idx="3">
                  <c:v>4.68</c:v>
                </c:pt>
                <c:pt idx="4">
                  <c:v>5.43</c:v>
                </c:pt>
                <c:pt idx="5">
                  <c:v>13.43</c:v>
                </c:pt>
                <c:pt idx="6">
                  <c:v>4.58</c:v>
                </c:pt>
                <c:pt idx="7">
                  <c:v>9.82</c:v>
                </c:pt>
                <c:pt idx="8">
                  <c:v>16.18</c:v>
                </c:pt>
                <c:pt idx="9">
                  <c:v>0</c:v>
                </c:pt>
                <c:pt idx="10">
                  <c:v>0</c:v>
                </c:pt>
                <c:pt idx="11">
                  <c:v>6.31</c:v>
                </c:pt>
                <c:pt idx="12">
                  <c:v>9.9299999999999891</c:v>
                </c:pt>
                <c:pt idx="13">
                  <c:v>13.679999999999989</c:v>
                </c:pt>
                <c:pt idx="14">
                  <c:v>8.32</c:v>
                </c:pt>
                <c:pt idx="15">
                  <c:v>11.01</c:v>
                </c:pt>
                <c:pt idx="16">
                  <c:v>4.51</c:v>
                </c:pt>
                <c:pt idx="17">
                  <c:v>2.02</c:v>
                </c:pt>
                <c:pt idx="18">
                  <c:v>0</c:v>
                </c:pt>
                <c:pt idx="19">
                  <c:v>7.05</c:v>
                </c:pt>
                <c:pt idx="20">
                  <c:v>0</c:v>
                </c:pt>
                <c:pt idx="21">
                  <c:v>2.4</c:v>
                </c:pt>
                <c:pt idx="22">
                  <c:v>5.45</c:v>
                </c:pt>
                <c:pt idx="23">
                  <c:v>4.1500000000000004</c:v>
                </c:pt>
                <c:pt idx="24">
                  <c:v>4.42</c:v>
                </c:pt>
                <c:pt idx="25">
                  <c:v>9.5500000000000007</c:v>
                </c:pt>
                <c:pt idx="26">
                  <c:v>4.91</c:v>
                </c:pt>
                <c:pt idx="27">
                  <c:v>4.09</c:v>
                </c:pt>
                <c:pt idx="28">
                  <c:v>8.52</c:v>
                </c:pt>
                <c:pt idx="29">
                  <c:v>0</c:v>
                </c:pt>
                <c:pt idx="30">
                  <c:v>6.13</c:v>
                </c:pt>
                <c:pt idx="31">
                  <c:v>9.6300000000000008</c:v>
                </c:pt>
                <c:pt idx="32">
                  <c:v>2.13</c:v>
                </c:pt>
                <c:pt idx="33">
                  <c:v>0</c:v>
                </c:pt>
                <c:pt idx="34">
                  <c:v>4.71</c:v>
                </c:pt>
                <c:pt idx="35">
                  <c:v>0</c:v>
                </c:pt>
                <c:pt idx="36">
                  <c:v>7.34</c:v>
                </c:pt>
                <c:pt idx="37">
                  <c:v>2.38</c:v>
                </c:pt>
                <c:pt idx="38">
                  <c:v>5.4499999999999904</c:v>
                </c:pt>
                <c:pt idx="39">
                  <c:v>5.1400000000000006</c:v>
                </c:pt>
                <c:pt idx="40">
                  <c:v>2.64</c:v>
                </c:pt>
                <c:pt idx="41">
                  <c:v>2.12</c:v>
                </c:pt>
                <c:pt idx="42">
                  <c:v>6.99</c:v>
                </c:pt>
                <c:pt idx="43">
                  <c:v>0</c:v>
                </c:pt>
                <c:pt idx="44">
                  <c:v>4.62</c:v>
                </c:pt>
                <c:pt idx="45">
                  <c:v>0</c:v>
                </c:pt>
                <c:pt idx="46">
                  <c:v>2.95</c:v>
                </c:pt>
                <c:pt idx="47">
                  <c:v>0</c:v>
                </c:pt>
                <c:pt idx="48">
                  <c:v>15.629999999999999</c:v>
                </c:pt>
                <c:pt idx="49">
                  <c:v>5.68</c:v>
                </c:pt>
                <c:pt idx="50">
                  <c:v>7.5</c:v>
                </c:pt>
                <c:pt idx="51">
                  <c:v>6.47</c:v>
                </c:pt>
                <c:pt idx="52">
                  <c:v>3.1</c:v>
                </c:pt>
                <c:pt idx="53">
                  <c:v>2.0299999999999998</c:v>
                </c:pt>
                <c:pt idx="54">
                  <c:v>6.15</c:v>
                </c:pt>
                <c:pt idx="55">
                  <c:v>2.2999999999999998</c:v>
                </c:pt>
                <c:pt idx="56">
                  <c:v>5.22</c:v>
                </c:pt>
                <c:pt idx="57">
                  <c:v>2.5</c:v>
                </c:pt>
                <c:pt idx="58">
                  <c:v>11.46</c:v>
                </c:pt>
                <c:pt idx="59">
                  <c:v>11.15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4.72</c:v>
                </c:pt>
                <c:pt idx="64">
                  <c:v>13.059999999999999</c:v>
                </c:pt>
                <c:pt idx="65">
                  <c:v>2.1</c:v>
                </c:pt>
                <c:pt idx="66">
                  <c:v>0</c:v>
                </c:pt>
                <c:pt idx="67">
                  <c:v>8.57</c:v>
                </c:pt>
                <c:pt idx="68">
                  <c:v>2.71</c:v>
                </c:pt>
                <c:pt idx="69">
                  <c:v>0</c:v>
                </c:pt>
                <c:pt idx="70">
                  <c:v>17.010000000000002</c:v>
                </c:pt>
                <c:pt idx="71">
                  <c:v>4.53</c:v>
                </c:pt>
                <c:pt idx="72">
                  <c:v>10.16</c:v>
                </c:pt>
                <c:pt idx="73">
                  <c:v>4.45</c:v>
                </c:pt>
                <c:pt idx="74">
                  <c:v>0</c:v>
                </c:pt>
                <c:pt idx="75">
                  <c:v>12.67</c:v>
                </c:pt>
                <c:pt idx="76">
                  <c:v>8.6999999999999993</c:v>
                </c:pt>
                <c:pt idx="77">
                  <c:v>10.74</c:v>
                </c:pt>
                <c:pt idx="78">
                  <c:v>4.38</c:v>
                </c:pt>
                <c:pt idx="79">
                  <c:v>8.9699999999999989</c:v>
                </c:pt>
                <c:pt idx="80">
                  <c:v>6.65</c:v>
                </c:pt>
                <c:pt idx="81">
                  <c:v>8.26</c:v>
                </c:pt>
                <c:pt idx="82">
                  <c:v>2.1800000000000002</c:v>
                </c:pt>
                <c:pt idx="83">
                  <c:v>14.009999999999991</c:v>
                </c:pt>
                <c:pt idx="84">
                  <c:v>3.01</c:v>
                </c:pt>
                <c:pt idx="85">
                  <c:v>4.4800000000000004</c:v>
                </c:pt>
                <c:pt idx="86">
                  <c:v>2.3199999999999998</c:v>
                </c:pt>
                <c:pt idx="87">
                  <c:v>6.86</c:v>
                </c:pt>
                <c:pt idx="88">
                  <c:v>2.84</c:v>
                </c:pt>
                <c:pt idx="89">
                  <c:v>4.8499999999999996</c:v>
                </c:pt>
                <c:pt idx="90">
                  <c:v>2.59</c:v>
                </c:pt>
                <c:pt idx="91">
                  <c:v>2.09</c:v>
                </c:pt>
                <c:pt idx="92">
                  <c:v>7.07</c:v>
                </c:pt>
                <c:pt idx="93">
                  <c:v>15.729999999999999</c:v>
                </c:pt>
                <c:pt idx="94">
                  <c:v>5.07</c:v>
                </c:pt>
                <c:pt idx="95">
                  <c:v>4.32</c:v>
                </c:pt>
                <c:pt idx="96">
                  <c:v>9.0899999999999892</c:v>
                </c:pt>
                <c:pt idx="97">
                  <c:v>4.49</c:v>
                </c:pt>
                <c:pt idx="98">
                  <c:v>4.46</c:v>
                </c:pt>
                <c:pt idx="99">
                  <c:v>0</c:v>
                </c:pt>
                <c:pt idx="100">
                  <c:v>10.58</c:v>
                </c:pt>
                <c:pt idx="101">
                  <c:v>6.24</c:v>
                </c:pt>
                <c:pt idx="102">
                  <c:v>6.47</c:v>
                </c:pt>
                <c:pt idx="103">
                  <c:v>8.17</c:v>
                </c:pt>
                <c:pt idx="104">
                  <c:v>5.24</c:v>
                </c:pt>
                <c:pt idx="105">
                  <c:v>2.3199999999999998</c:v>
                </c:pt>
                <c:pt idx="106">
                  <c:v>2.65</c:v>
                </c:pt>
                <c:pt idx="107">
                  <c:v>4.57</c:v>
                </c:pt>
                <c:pt idx="108">
                  <c:v>8.2100000000000009</c:v>
                </c:pt>
                <c:pt idx="109">
                  <c:v>8.71999999999999</c:v>
                </c:pt>
                <c:pt idx="110">
                  <c:v>7.1099999999999994</c:v>
                </c:pt>
                <c:pt idx="111">
                  <c:v>9.16</c:v>
                </c:pt>
                <c:pt idx="112">
                  <c:v>10.09</c:v>
                </c:pt>
                <c:pt idx="113">
                  <c:v>0</c:v>
                </c:pt>
                <c:pt idx="114">
                  <c:v>3.71</c:v>
                </c:pt>
                <c:pt idx="115">
                  <c:v>26.78</c:v>
                </c:pt>
                <c:pt idx="116">
                  <c:v>2.36</c:v>
                </c:pt>
                <c:pt idx="117">
                  <c:v>5.37</c:v>
                </c:pt>
                <c:pt idx="118">
                  <c:v>11.86</c:v>
                </c:pt>
                <c:pt idx="119">
                  <c:v>0</c:v>
                </c:pt>
                <c:pt idx="120">
                  <c:v>3.51</c:v>
                </c:pt>
                <c:pt idx="121">
                  <c:v>5.84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50D-4303-8330-394B0BD11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87776"/>
        <c:axId val="118989952"/>
      </c:scatterChart>
      <c:valAx>
        <c:axId val="118987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989952"/>
        <c:crosses val="autoZero"/>
        <c:crossBetween val="midCat"/>
      </c:valAx>
      <c:valAx>
        <c:axId val="118989952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Precipitation (Inches)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987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40000"/>
        <a:lumOff val="60000"/>
      </a:schemeClr>
    </a:solidFill>
    <a:ln>
      <a:solidFill>
        <a:schemeClr val="accent3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New Brunswick: Number of Binned Events (Large)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0.51 - 1.00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4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0.10099902251620922"/>
                  <c:y val="-2.6200634804370383E-2"/>
                </c:manualLayout>
              </c:layout>
              <c:numFmt formatCode="General" sourceLinked="0"/>
            </c:trendlineLbl>
          </c:trendline>
          <c:xVal>
            <c:numRef>
              <c:f>'[2]Number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'[2]Number of Events'!$F$2:$F$123</c:f>
              <c:numCache>
                <c:formatCode>General</c:formatCode>
                <c:ptCount val="122"/>
                <c:pt idx="0">
                  <c:v>13</c:v>
                </c:pt>
                <c:pt idx="1">
                  <c:v>19</c:v>
                </c:pt>
                <c:pt idx="2">
                  <c:v>21</c:v>
                </c:pt>
                <c:pt idx="3">
                  <c:v>20</c:v>
                </c:pt>
                <c:pt idx="4">
                  <c:v>18</c:v>
                </c:pt>
                <c:pt idx="5">
                  <c:v>16</c:v>
                </c:pt>
                <c:pt idx="6">
                  <c:v>27</c:v>
                </c:pt>
                <c:pt idx="7">
                  <c:v>21</c:v>
                </c:pt>
                <c:pt idx="8">
                  <c:v>21</c:v>
                </c:pt>
                <c:pt idx="9">
                  <c:v>14</c:v>
                </c:pt>
                <c:pt idx="10">
                  <c:v>19</c:v>
                </c:pt>
                <c:pt idx="11">
                  <c:v>15</c:v>
                </c:pt>
                <c:pt idx="12">
                  <c:v>14</c:v>
                </c:pt>
                <c:pt idx="13">
                  <c:v>15</c:v>
                </c:pt>
                <c:pt idx="14">
                  <c:v>13</c:v>
                </c:pt>
                <c:pt idx="15">
                  <c:v>25</c:v>
                </c:pt>
                <c:pt idx="16">
                  <c:v>19</c:v>
                </c:pt>
                <c:pt idx="17">
                  <c:v>18</c:v>
                </c:pt>
                <c:pt idx="18">
                  <c:v>15</c:v>
                </c:pt>
                <c:pt idx="19">
                  <c:v>16</c:v>
                </c:pt>
                <c:pt idx="20">
                  <c:v>18</c:v>
                </c:pt>
                <c:pt idx="21">
                  <c:v>13</c:v>
                </c:pt>
                <c:pt idx="22">
                  <c:v>18</c:v>
                </c:pt>
                <c:pt idx="23">
                  <c:v>29</c:v>
                </c:pt>
                <c:pt idx="24">
                  <c:v>26</c:v>
                </c:pt>
                <c:pt idx="25">
                  <c:v>15</c:v>
                </c:pt>
                <c:pt idx="26">
                  <c:v>20</c:v>
                </c:pt>
                <c:pt idx="27">
                  <c:v>17</c:v>
                </c:pt>
                <c:pt idx="28">
                  <c:v>12</c:v>
                </c:pt>
                <c:pt idx="29">
                  <c:v>11</c:v>
                </c:pt>
                <c:pt idx="30">
                  <c:v>14</c:v>
                </c:pt>
                <c:pt idx="31">
                  <c:v>17</c:v>
                </c:pt>
                <c:pt idx="32">
                  <c:v>22</c:v>
                </c:pt>
                <c:pt idx="33">
                  <c:v>17</c:v>
                </c:pt>
                <c:pt idx="34">
                  <c:v>14</c:v>
                </c:pt>
                <c:pt idx="35">
                  <c:v>19</c:v>
                </c:pt>
                <c:pt idx="36">
                  <c:v>13</c:v>
                </c:pt>
                <c:pt idx="37">
                  <c:v>29</c:v>
                </c:pt>
                <c:pt idx="38">
                  <c:v>15</c:v>
                </c:pt>
                <c:pt idx="39">
                  <c:v>14</c:v>
                </c:pt>
                <c:pt idx="40">
                  <c:v>17</c:v>
                </c:pt>
                <c:pt idx="41">
                  <c:v>19</c:v>
                </c:pt>
                <c:pt idx="42">
                  <c:v>14</c:v>
                </c:pt>
                <c:pt idx="43">
                  <c:v>15</c:v>
                </c:pt>
                <c:pt idx="44">
                  <c:v>27</c:v>
                </c:pt>
                <c:pt idx="45">
                  <c:v>19</c:v>
                </c:pt>
                <c:pt idx="46">
                  <c:v>30</c:v>
                </c:pt>
                <c:pt idx="47">
                  <c:v>17</c:v>
                </c:pt>
                <c:pt idx="48">
                  <c:v>16</c:v>
                </c:pt>
                <c:pt idx="49">
                  <c:v>23</c:v>
                </c:pt>
                <c:pt idx="50">
                  <c:v>15</c:v>
                </c:pt>
                <c:pt idx="51">
                  <c:v>25</c:v>
                </c:pt>
                <c:pt idx="52">
                  <c:v>18</c:v>
                </c:pt>
                <c:pt idx="53">
                  <c:v>24</c:v>
                </c:pt>
                <c:pt idx="54">
                  <c:v>19</c:v>
                </c:pt>
                <c:pt idx="55">
                  <c:v>19</c:v>
                </c:pt>
                <c:pt idx="56">
                  <c:v>21</c:v>
                </c:pt>
                <c:pt idx="57">
                  <c:v>19</c:v>
                </c:pt>
                <c:pt idx="58">
                  <c:v>24</c:v>
                </c:pt>
                <c:pt idx="59">
                  <c:v>17</c:v>
                </c:pt>
                <c:pt idx="60">
                  <c:v>16</c:v>
                </c:pt>
                <c:pt idx="61">
                  <c:v>19</c:v>
                </c:pt>
                <c:pt idx="62">
                  <c:v>20</c:v>
                </c:pt>
                <c:pt idx="63">
                  <c:v>16</c:v>
                </c:pt>
                <c:pt idx="64">
                  <c:v>18</c:v>
                </c:pt>
                <c:pt idx="65">
                  <c:v>19</c:v>
                </c:pt>
                <c:pt idx="66">
                  <c:v>19</c:v>
                </c:pt>
                <c:pt idx="67">
                  <c:v>11</c:v>
                </c:pt>
                <c:pt idx="68">
                  <c:v>15</c:v>
                </c:pt>
                <c:pt idx="69">
                  <c:v>14</c:v>
                </c:pt>
                <c:pt idx="70">
                  <c:v>17</c:v>
                </c:pt>
                <c:pt idx="71">
                  <c:v>21</c:v>
                </c:pt>
                <c:pt idx="72">
                  <c:v>24</c:v>
                </c:pt>
                <c:pt idx="73">
                  <c:v>20</c:v>
                </c:pt>
                <c:pt idx="74">
                  <c:v>24</c:v>
                </c:pt>
                <c:pt idx="75">
                  <c:v>16</c:v>
                </c:pt>
                <c:pt idx="76">
                  <c:v>26</c:v>
                </c:pt>
                <c:pt idx="77">
                  <c:v>21</c:v>
                </c:pt>
                <c:pt idx="78">
                  <c:v>18</c:v>
                </c:pt>
                <c:pt idx="79">
                  <c:v>24</c:v>
                </c:pt>
                <c:pt idx="80">
                  <c:v>12</c:v>
                </c:pt>
                <c:pt idx="81">
                  <c:v>24</c:v>
                </c:pt>
                <c:pt idx="82">
                  <c:v>17</c:v>
                </c:pt>
                <c:pt idx="83">
                  <c:v>18</c:v>
                </c:pt>
                <c:pt idx="84">
                  <c:v>16</c:v>
                </c:pt>
                <c:pt idx="85">
                  <c:v>16</c:v>
                </c:pt>
                <c:pt idx="86">
                  <c:v>15</c:v>
                </c:pt>
                <c:pt idx="87">
                  <c:v>20</c:v>
                </c:pt>
                <c:pt idx="88">
                  <c:v>27</c:v>
                </c:pt>
                <c:pt idx="89">
                  <c:v>19</c:v>
                </c:pt>
                <c:pt idx="90">
                  <c:v>18</c:v>
                </c:pt>
                <c:pt idx="91">
                  <c:v>23</c:v>
                </c:pt>
                <c:pt idx="92">
                  <c:v>17</c:v>
                </c:pt>
                <c:pt idx="93">
                  <c:v>22</c:v>
                </c:pt>
                <c:pt idx="94">
                  <c:v>19</c:v>
                </c:pt>
                <c:pt idx="95">
                  <c:v>21</c:v>
                </c:pt>
                <c:pt idx="96">
                  <c:v>16</c:v>
                </c:pt>
                <c:pt idx="97">
                  <c:v>16</c:v>
                </c:pt>
                <c:pt idx="98">
                  <c:v>26</c:v>
                </c:pt>
                <c:pt idx="99">
                  <c:v>15</c:v>
                </c:pt>
                <c:pt idx="100">
                  <c:v>19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16</c:v>
                </c:pt>
                <c:pt idx="106">
                  <c:v>26</c:v>
                </c:pt>
                <c:pt idx="107">
                  <c:v>28</c:v>
                </c:pt>
                <c:pt idx="108">
                  <c:v>18</c:v>
                </c:pt>
                <c:pt idx="109">
                  <c:v>20</c:v>
                </c:pt>
                <c:pt idx="110">
                  <c:v>19</c:v>
                </c:pt>
                <c:pt idx="111">
                  <c:v>17</c:v>
                </c:pt>
                <c:pt idx="112">
                  <c:v>26</c:v>
                </c:pt>
                <c:pt idx="113">
                  <c:v>28</c:v>
                </c:pt>
                <c:pt idx="114">
                  <c:v>19</c:v>
                </c:pt>
                <c:pt idx="115">
                  <c:v>20</c:v>
                </c:pt>
                <c:pt idx="116">
                  <c:v>22</c:v>
                </c:pt>
                <c:pt idx="117">
                  <c:v>17</c:v>
                </c:pt>
                <c:pt idx="118">
                  <c:v>16</c:v>
                </c:pt>
                <c:pt idx="119">
                  <c:v>18</c:v>
                </c:pt>
                <c:pt idx="120">
                  <c:v>15</c:v>
                </c:pt>
                <c:pt idx="121">
                  <c:v>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B6-4BE9-9313-D2B0EF7D8BC3}"/>
            </c:ext>
          </c:extLst>
        </c:ser>
        <c:ser>
          <c:idx val="4"/>
          <c:order val="1"/>
          <c:tx>
            <c:v>1.01 - 2.00</c:v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none"/>
          </c:marker>
          <c:trendline>
            <c:spPr>
              <a:ln w="28575">
                <a:solidFill>
                  <a:schemeClr val="accent5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0.10412939317836606"/>
                  <c:y val="-4.321913692532201E-3"/>
                </c:manualLayout>
              </c:layout>
              <c:numFmt formatCode="General" sourceLinked="0"/>
            </c:trendlineLbl>
          </c:trendline>
          <c:xVal>
            <c:numRef>
              <c:f>'[2]Number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'[2]Number of Events'!$P$2:$P$123</c:f>
              <c:numCache>
                <c:formatCode>General</c:formatCode>
                <c:ptCount val="122"/>
                <c:pt idx="0">
                  <c:v>8</c:v>
                </c:pt>
                <c:pt idx="1">
                  <c:v>14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11</c:v>
                </c:pt>
                <c:pt idx="6">
                  <c:v>12</c:v>
                </c:pt>
                <c:pt idx="7">
                  <c:v>8</c:v>
                </c:pt>
                <c:pt idx="8">
                  <c:v>9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7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11</c:v>
                </c:pt>
                <c:pt idx="17">
                  <c:v>10</c:v>
                </c:pt>
                <c:pt idx="18">
                  <c:v>8</c:v>
                </c:pt>
                <c:pt idx="19">
                  <c:v>12</c:v>
                </c:pt>
                <c:pt idx="20">
                  <c:v>9</c:v>
                </c:pt>
                <c:pt idx="21">
                  <c:v>10</c:v>
                </c:pt>
                <c:pt idx="22">
                  <c:v>6</c:v>
                </c:pt>
                <c:pt idx="23">
                  <c:v>9</c:v>
                </c:pt>
                <c:pt idx="24">
                  <c:v>12</c:v>
                </c:pt>
                <c:pt idx="25">
                  <c:v>7</c:v>
                </c:pt>
                <c:pt idx="26">
                  <c:v>7</c:v>
                </c:pt>
                <c:pt idx="27">
                  <c:v>3</c:v>
                </c:pt>
                <c:pt idx="28">
                  <c:v>11</c:v>
                </c:pt>
                <c:pt idx="29">
                  <c:v>11</c:v>
                </c:pt>
                <c:pt idx="30">
                  <c:v>9</c:v>
                </c:pt>
                <c:pt idx="31">
                  <c:v>11</c:v>
                </c:pt>
                <c:pt idx="32">
                  <c:v>12</c:v>
                </c:pt>
                <c:pt idx="33">
                  <c:v>10</c:v>
                </c:pt>
                <c:pt idx="34">
                  <c:v>5</c:v>
                </c:pt>
                <c:pt idx="35">
                  <c:v>7</c:v>
                </c:pt>
                <c:pt idx="36">
                  <c:v>9</c:v>
                </c:pt>
                <c:pt idx="37">
                  <c:v>9</c:v>
                </c:pt>
                <c:pt idx="38">
                  <c:v>8</c:v>
                </c:pt>
                <c:pt idx="39">
                  <c:v>6</c:v>
                </c:pt>
                <c:pt idx="40">
                  <c:v>11</c:v>
                </c:pt>
                <c:pt idx="41">
                  <c:v>11</c:v>
                </c:pt>
                <c:pt idx="42">
                  <c:v>9</c:v>
                </c:pt>
                <c:pt idx="43">
                  <c:v>10</c:v>
                </c:pt>
                <c:pt idx="44">
                  <c:v>8</c:v>
                </c:pt>
                <c:pt idx="45">
                  <c:v>9</c:v>
                </c:pt>
                <c:pt idx="46">
                  <c:v>11</c:v>
                </c:pt>
                <c:pt idx="47">
                  <c:v>12</c:v>
                </c:pt>
                <c:pt idx="48">
                  <c:v>10</c:v>
                </c:pt>
                <c:pt idx="49">
                  <c:v>8</c:v>
                </c:pt>
                <c:pt idx="50">
                  <c:v>6</c:v>
                </c:pt>
                <c:pt idx="51">
                  <c:v>7</c:v>
                </c:pt>
                <c:pt idx="52">
                  <c:v>11</c:v>
                </c:pt>
                <c:pt idx="53">
                  <c:v>5</c:v>
                </c:pt>
                <c:pt idx="54">
                  <c:v>5</c:v>
                </c:pt>
                <c:pt idx="55">
                  <c:v>14</c:v>
                </c:pt>
                <c:pt idx="56">
                  <c:v>13</c:v>
                </c:pt>
                <c:pt idx="57">
                  <c:v>11</c:v>
                </c:pt>
                <c:pt idx="58">
                  <c:v>2</c:v>
                </c:pt>
                <c:pt idx="59">
                  <c:v>5</c:v>
                </c:pt>
                <c:pt idx="60">
                  <c:v>11</c:v>
                </c:pt>
                <c:pt idx="61">
                  <c:v>5</c:v>
                </c:pt>
                <c:pt idx="62">
                  <c:v>14</c:v>
                </c:pt>
                <c:pt idx="63">
                  <c:v>9</c:v>
                </c:pt>
                <c:pt idx="64">
                  <c:v>9</c:v>
                </c:pt>
                <c:pt idx="65">
                  <c:v>11</c:v>
                </c:pt>
                <c:pt idx="66">
                  <c:v>12</c:v>
                </c:pt>
                <c:pt idx="67">
                  <c:v>2</c:v>
                </c:pt>
                <c:pt idx="68">
                  <c:v>8</c:v>
                </c:pt>
                <c:pt idx="69">
                  <c:v>4</c:v>
                </c:pt>
                <c:pt idx="70">
                  <c:v>4</c:v>
                </c:pt>
                <c:pt idx="71">
                  <c:v>9</c:v>
                </c:pt>
                <c:pt idx="72">
                  <c:v>6</c:v>
                </c:pt>
                <c:pt idx="73">
                  <c:v>9</c:v>
                </c:pt>
                <c:pt idx="74">
                  <c:v>8</c:v>
                </c:pt>
                <c:pt idx="75">
                  <c:v>11</c:v>
                </c:pt>
                <c:pt idx="76">
                  <c:v>12</c:v>
                </c:pt>
                <c:pt idx="77">
                  <c:v>14</c:v>
                </c:pt>
                <c:pt idx="78">
                  <c:v>9</c:v>
                </c:pt>
                <c:pt idx="79">
                  <c:v>16</c:v>
                </c:pt>
                <c:pt idx="80">
                  <c:v>6</c:v>
                </c:pt>
                <c:pt idx="81">
                  <c:v>9</c:v>
                </c:pt>
                <c:pt idx="82">
                  <c:v>13</c:v>
                </c:pt>
                <c:pt idx="83">
                  <c:v>13</c:v>
                </c:pt>
                <c:pt idx="84">
                  <c:v>9</c:v>
                </c:pt>
                <c:pt idx="85">
                  <c:v>9</c:v>
                </c:pt>
                <c:pt idx="86">
                  <c:v>12</c:v>
                </c:pt>
                <c:pt idx="87">
                  <c:v>22</c:v>
                </c:pt>
                <c:pt idx="88">
                  <c:v>13</c:v>
                </c:pt>
                <c:pt idx="89">
                  <c:v>12</c:v>
                </c:pt>
                <c:pt idx="90">
                  <c:v>10</c:v>
                </c:pt>
                <c:pt idx="91">
                  <c:v>13</c:v>
                </c:pt>
                <c:pt idx="92">
                  <c:v>12</c:v>
                </c:pt>
                <c:pt idx="93">
                  <c:v>10</c:v>
                </c:pt>
                <c:pt idx="94">
                  <c:v>13</c:v>
                </c:pt>
                <c:pt idx="95">
                  <c:v>9</c:v>
                </c:pt>
                <c:pt idx="96">
                  <c:v>6</c:v>
                </c:pt>
                <c:pt idx="97">
                  <c:v>14</c:v>
                </c:pt>
                <c:pt idx="98">
                  <c:v>9</c:v>
                </c:pt>
                <c:pt idx="99">
                  <c:v>10</c:v>
                </c:pt>
                <c:pt idx="100">
                  <c:v>18</c:v>
                </c:pt>
                <c:pt idx="101">
                  <c:v>9</c:v>
                </c:pt>
                <c:pt idx="102">
                  <c:v>9</c:v>
                </c:pt>
                <c:pt idx="103">
                  <c:v>7</c:v>
                </c:pt>
                <c:pt idx="104">
                  <c:v>9</c:v>
                </c:pt>
                <c:pt idx="105">
                  <c:v>11</c:v>
                </c:pt>
                <c:pt idx="106">
                  <c:v>12</c:v>
                </c:pt>
                <c:pt idx="107">
                  <c:v>14</c:v>
                </c:pt>
                <c:pt idx="108">
                  <c:v>9</c:v>
                </c:pt>
                <c:pt idx="109">
                  <c:v>12</c:v>
                </c:pt>
                <c:pt idx="110">
                  <c:v>12</c:v>
                </c:pt>
                <c:pt idx="111">
                  <c:v>13</c:v>
                </c:pt>
                <c:pt idx="112">
                  <c:v>9</c:v>
                </c:pt>
                <c:pt idx="113">
                  <c:v>12</c:v>
                </c:pt>
                <c:pt idx="114">
                  <c:v>12</c:v>
                </c:pt>
                <c:pt idx="115">
                  <c:v>9</c:v>
                </c:pt>
                <c:pt idx="116">
                  <c:v>6</c:v>
                </c:pt>
                <c:pt idx="117">
                  <c:v>9</c:v>
                </c:pt>
                <c:pt idx="118">
                  <c:v>8</c:v>
                </c:pt>
                <c:pt idx="119">
                  <c:v>10</c:v>
                </c:pt>
                <c:pt idx="120">
                  <c:v>6</c:v>
                </c:pt>
                <c:pt idx="121">
                  <c:v>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EB6-4BE9-9313-D2B0EF7D8BC3}"/>
            </c:ext>
          </c:extLst>
        </c:ser>
        <c:ser>
          <c:idx val="5"/>
          <c:order val="2"/>
          <c:tx>
            <c:v>2.01+</c:v>
          </c:tx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6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9225080798156437E-2"/>
                  <c:y val="4.7228834767747054E-3"/>
                </c:manualLayout>
              </c:layout>
              <c:numFmt formatCode="General" sourceLinked="0"/>
            </c:trendlineLbl>
          </c:trendline>
          <c:xVal>
            <c:numRef>
              <c:f>'[2]Number of Events'!$A$2:$A$123</c:f>
              <c:numCache>
                <c:formatCode>General</c:formatCode>
                <c:ptCount val="122"/>
                <c:pt idx="0">
                  <c:v>1896</c:v>
                </c:pt>
                <c:pt idx="1">
                  <c:v>1897</c:v>
                </c:pt>
                <c:pt idx="2">
                  <c:v>1898</c:v>
                </c:pt>
                <c:pt idx="3">
                  <c:v>1899</c:v>
                </c:pt>
                <c:pt idx="4">
                  <c:v>1900</c:v>
                </c:pt>
                <c:pt idx="5">
                  <c:v>1901</c:v>
                </c:pt>
                <c:pt idx="6">
                  <c:v>1902</c:v>
                </c:pt>
                <c:pt idx="7">
                  <c:v>1903</c:v>
                </c:pt>
                <c:pt idx="8">
                  <c:v>1904</c:v>
                </c:pt>
                <c:pt idx="9">
                  <c:v>1905</c:v>
                </c:pt>
                <c:pt idx="10">
                  <c:v>1906</c:v>
                </c:pt>
                <c:pt idx="11">
                  <c:v>1907</c:v>
                </c:pt>
                <c:pt idx="12">
                  <c:v>1908</c:v>
                </c:pt>
                <c:pt idx="13">
                  <c:v>1909</c:v>
                </c:pt>
                <c:pt idx="14">
                  <c:v>1910</c:v>
                </c:pt>
                <c:pt idx="15">
                  <c:v>1911</c:v>
                </c:pt>
                <c:pt idx="16">
                  <c:v>1912</c:v>
                </c:pt>
                <c:pt idx="17">
                  <c:v>1913</c:v>
                </c:pt>
                <c:pt idx="18">
                  <c:v>1914</c:v>
                </c:pt>
                <c:pt idx="19">
                  <c:v>1915</c:v>
                </c:pt>
                <c:pt idx="20">
                  <c:v>1916</c:v>
                </c:pt>
                <c:pt idx="21">
                  <c:v>1917</c:v>
                </c:pt>
                <c:pt idx="22">
                  <c:v>1918</c:v>
                </c:pt>
                <c:pt idx="23">
                  <c:v>1919</c:v>
                </c:pt>
                <c:pt idx="24">
                  <c:v>1920</c:v>
                </c:pt>
                <c:pt idx="25">
                  <c:v>1921</c:v>
                </c:pt>
                <c:pt idx="26">
                  <c:v>1922</c:v>
                </c:pt>
                <c:pt idx="27">
                  <c:v>1923</c:v>
                </c:pt>
                <c:pt idx="28">
                  <c:v>1924</c:v>
                </c:pt>
                <c:pt idx="29">
                  <c:v>1925</c:v>
                </c:pt>
                <c:pt idx="30">
                  <c:v>1926</c:v>
                </c:pt>
                <c:pt idx="31">
                  <c:v>1927</c:v>
                </c:pt>
                <c:pt idx="32">
                  <c:v>1928</c:v>
                </c:pt>
                <c:pt idx="33">
                  <c:v>1929</c:v>
                </c:pt>
                <c:pt idx="34">
                  <c:v>1930</c:v>
                </c:pt>
                <c:pt idx="35">
                  <c:v>1931</c:v>
                </c:pt>
                <c:pt idx="36">
                  <c:v>1932</c:v>
                </c:pt>
                <c:pt idx="37">
                  <c:v>1933</c:v>
                </c:pt>
                <c:pt idx="38">
                  <c:v>1934</c:v>
                </c:pt>
                <c:pt idx="39">
                  <c:v>1935</c:v>
                </c:pt>
                <c:pt idx="40">
                  <c:v>1936</c:v>
                </c:pt>
                <c:pt idx="41">
                  <c:v>1937</c:v>
                </c:pt>
                <c:pt idx="42">
                  <c:v>1938</c:v>
                </c:pt>
                <c:pt idx="43">
                  <c:v>1939</c:v>
                </c:pt>
                <c:pt idx="44">
                  <c:v>1940</c:v>
                </c:pt>
                <c:pt idx="45">
                  <c:v>1941</c:v>
                </c:pt>
                <c:pt idx="46">
                  <c:v>1942</c:v>
                </c:pt>
                <c:pt idx="47">
                  <c:v>1943</c:v>
                </c:pt>
                <c:pt idx="48">
                  <c:v>1944</c:v>
                </c:pt>
                <c:pt idx="49">
                  <c:v>1945</c:v>
                </c:pt>
                <c:pt idx="50">
                  <c:v>1946</c:v>
                </c:pt>
                <c:pt idx="51">
                  <c:v>1947</c:v>
                </c:pt>
                <c:pt idx="52">
                  <c:v>1948</c:v>
                </c:pt>
                <c:pt idx="53">
                  <c:v>1949</c:v>
                </c:pt>
                <c:pt idx="54">
                  <c:v>1950</c:v>
                </c:pt>
                <c:pt idx="55">
                  <c:v>1951</c:v>
                </c:pt>
                <c:pt idx="56">
                  <c:v>1952</c:v>
                </c:pt>
                <c:pt idx="57">
                  <c:v>1953</c:v>
                </c:pt>
                <c:pt idx="58">
                  <c:v>1954</c:v>
                </c:pt>
                <c:pt idx="59">
                  <c:v>1955</c:v>
                </c:pt>
                <c:pt idx="60">
                  <c:v>1956</c:v>
                </c:pt>
                <c:pt idx="61">
                  <c:v>1957</c:v>
                </c:pt>
                <c:pt idx="62">
                  <c:v>1958</c:v>
                </c:pt>
                <c:pt idx="63">
                  <c:v>1959</c:v>
                </c:pt>
                <c:pt idx="64">
                  <c:v>1960</c:v>
                </c:pt>
                <c:pt idx="65">
                  <c:v>1961</c:v>
                </c:pt>
                <c:pt idx="66">
                  <c:v>1962</c:v>
                </c:pt>
                <c:pt idx="67">
                  <c:v>1963</c:v>
                </c:pt>
                <c:pt idx="68">
                  <c:v>1964</c:v>
                </c:pt>
                <c:pt idx="69">
                  <c:v>1965</c:v>
                </c:pt>
                <c:pt idx="70">
                  <c:v>1966</c:v>
                </c:pt>
                <c:pt idx="71">
                  <c:v>1967</c:v>
                </c:pt>
                <c:pt idx="72">
                  <c:v>1968</c:v>
                </c:pt>
                <c:pt idx="73">
                  <c:v>1969</c:v>
                </c:pt>
                <c:pt idx="74">
                  <c:v>1970</c:v>
                </c:pt>
                <c:pt idx="75">
                  <c:v>1971</c:v>
                </c:pt>
                <c:pt idx="76">
                  <c:v>1972</c:v>
                </c:pt>
                <c:pt idx="77">
                  <c:v>1973</c:v>
                </c:pt>
                <c:pt idx="78">
                  <c:v>1974</c:v>
                </c:pt>
                <c:pt idx="79">
                  <c:v>1975</c:v>
                </c:pt>
                <c:pt idx="80">
                  <c:v>1976</c:v>
                </c:pt>
                <c:pt idx="81">
                  <c:v>1977</c:v>
                </c:pt>
                <c:pt idx="82">
                  <c:v>1978</c:v>
                </c:pt>
                <c:pt idx="83">
                  <c:v>1979</c:v>
                </c:pt>
                <c:pt idx="84">
                  <c:v>1980</c:v>
                </c:pt>
                <c:pt idx="85">
                  <c:v>1981</c:v>
                </c:pt>
                <c:pt idx="86">
                  <c:v>1982</c:v>
                </c:pt>
                <c:pt idx="87">
                  <c:v>1983</c:v>
                </c:pt>
                <c:pt idx="88">
                  <c:v>1984</c:v>
                </c:pt>
                <c:pt idx="89">
                  <c:v>1985</c:v>
                </c:pt>
                <c:pt idx="90">
                  <c:v>1986</c:v>
                </c:pt>
                <c:pt idx="91">
                  <c:v>1987</c:v>
                </c:pt>
                <c:pt idx="92">
                  <c:v>1988</c:v>
                </c:pt>
                <c:pt idx="93">
                  <c:v>1989</c:v>
                </c:pt>
                <c:pt idx="94">
                  <c:v>1990</c:v>
                </c:pt>
                <c:pt idx="95">
                  <c:v>1991</c:v>
                </c:pt>
                <c:pt idx="96">
                  <c:v>1992</c:v>
                </c:pt>
                <c:pt idx="97">
                  <c:v>1993</c:v>
                </c:pt>
                <c:pt idx="98">
                  <c:v>1994</c:v>
                </c:pt>
                <c:pt idx="99">
                  <c:v>1995</c:v>
                </c:pt>
                <c:pt idx="100">
                  <c:v>1996</c:v>
                </c:pt>
                <c:pt idx="101">
                  <c:v>1997</c:v>
                </c:pt>
                <c:pt idx="102">
                  <c:v>1998</c:v>
                </c:pt>
                <c:pt idx="103">
                  <c:v>1999</c:v>
                </c:pt>
                <c:pt idx="104">
                  <c:v>2000</c:v>
                </c:pt>
                <c:pt idx="105">
                  <c:v>2001</c:v>
                </c:pt>
                <c:pt idx="106">
                  <c:v>2002</c:v>
                </c:pt>
                <c:pt idx="107">
                  <c:v>2003</c:v>
                </c:pt>
                <c:pt idx="108">
                  <c:v>2004</c:v>
                </c:pt>
                <c:pt idx="109">
                  <c:v>2005</c:v>
                </c:pt>
                <c:pt idx="110">
                  <c:v>2006</c:v>
                </c:pt>
                <c:pt idx="111">
                  <c:v>2007</c:v>
                </c:pt>
                <c:pt idx="112">
                  <c:v>2008</c:v>
                </c:pt>
                <c:pt idx="113">
                  <c:v>2009</c:v>
                </c:pt>
                <c:pt idx="114">
                  <c:v>2010</c:v>
                </c:pt>
                <c:pt idx="115">
                  <c:v>2011</c:v>
                </c:pt>
                <c:pt idx="116">
                  <c:v>2012</c:v>
                </c:pt>
                <c:pt idx="117">
                  <c:v>2013</c:v>
                </c:pt>
                <c:pt idx="118">
                  <c:v>2014</c:v>
                </c:pt>
                <c:pt idx="119">
                  <c:v>2015</c:v>
                </c:pt>
                <c:pt idx="120">
                  <c:v>2016</c:v>
                </c:pt>
                <c:pt idx="121">
                  <c:v>2017</c:v>
                </c:pt>
              </c:numCache>
            </c:numRef>
          </c:xVal>
          <c:yVal>
            <c:numRef>
              <c:f>'[2]Number of Events'!$S$2:$S$123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3</c:v>
                </c:pt>
                <c:pt idx="26">
                  <c:v>2</c:v>
                </c:pt>
                <c:pt idx="27">
                  <c:v>2</c:v>
                </c:pt>
                <c:pt idx="28">
                  <c:v>3</c:v>
                </c:pt>
                <c:pt idx="29">
                  <c:v>0</c:v>
                </c:pt>
                <c:pt idx="30">
                  <c:v>2</c:v>
                </c:pt>
                <c:pt idx="31">
                  <c:v>3</c:v>
                </c:pt>
                <c:pt idx="32">
                  <c:v>1</c:v>
                </c:pt>
                <c:pt idx="33">
                  <c:v>0</c:v>
                </c:pt>
                <c:pt idx="34">
                  <c:v>2</c:v>
                </c:pt>
                <c:pt idx="35">
                  <c:v>0</c:v>
                </c:pt>
                <c:pt idx="36">
                  <c:v>3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0</c:v>
                </c:pt>
                <c:pt idx="44">
                  <c:v>2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5</c:v>
                </c:pt>
                <c:pt idx="49">
                  <c:v>2</c:v>
                </c:pt>
                <c:pt idx="50">
                  <c:v>2</c:v>
                </c:pt>
                <c:pt idx="51">
                  <c:v>3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4</c:v>
                </c:pt>
                <c:pt idx="59">
                  <c:v>4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</c:v>
                </c:pt>
                <c:pt idx="64">
                  <c:v>4</c:v>
                </c:pt>
                <c:pt idx="65">
                  <c:v>1</c:v>
                </c:pt>
                <c:pt idx="66">
                  <c:v>0</c:v>
                </c:pt>
                <c:pt idx="67">
                  <c:v>3</c:v>
                </c:pt>
                <c:pt idx="68">
                  <c:v>1</c:v>
                </c:pt>
                <c:pt idx="69">
                  <c:v>0</c:v>
                </c:pt>
                <c:pt idx="70">
                  <c:v>6</c:v>
                </c:pt>
                <c:pt idx="71">
                  <c:v>2</c:v>
                </c:pt>
                <c:pt idx="72">
                  <c:v>3</c:v>
                </c:pt>
                <c:pt idx="73">
                  <c:v>1</c:v>
                </c:pt>
                <c:pt idx="74">
                  <c:v>0</c:v>
                </c:pt>
                <c:pt idx="75">
                  <c:v>3</c:v>
                </c:pt>
                <c:pt idx="76">
                  <c:v>3</c:v>
                </c:pt>
                <c:pt idx="77">
                  <c:v>4</c:v>
                </c:pt>
                <c:pt idx="78">
                  <c:v>2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5</c:v>
                </c:pt>
                <c:pt idx="84">
                  <c:v>1</c:v>
                </c:pt>
                <c:pt idx="85">
                  <c:v>2</c:v>
                </c:pt>
                <c:pt idx="86">
                  <c:v>1</c:v>
                </c:pt>
                <c:pt idx="87">
                  <c:v>3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3</c:v>
                </c:pt>
                <c:pt idx="93">
                  <c:v>4</c:v>
                </c:pt>
                <c:pt idx="94">
                  <c:v>2</c:v>
                </c:pt>
                <c:pt idx="95">
                  <c:v>1</c:v>
                </c:pt>
                <c:pt idx="96">
                  <c:v>4</c:v>
                </c:pt>
                <c:pt idx="97">
                  <c:v>2</c:v>
                </c:pt>
                <c:pt idx="98">
                  <c:v>2</c:v>
                </c:pt>
                <c:pt idx="99">
                  <c:v>0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09">
                  <c:v>4</c:v>
                </c:pt>
                <c:pt idx="110">
                  <c:v>3</c:v>
                </c:pt>
                <c:pt idx="111">
                  <c:v>2</c:v>
                </c:pt>
                <c:pt idx="112">
                  <c:v>3</c:v>
                </c:pt>
                <c:pt idx="113">
                  <c:v>0</c:v>
                </c:pt>
                <c:pt idx="114">
                  <c:v>1</c:v>
                </c:pt>
                <c:pt idx="115">
                  <c:v>9</c:v>
                </c:pt>
                <c:pt idx="116">
                  <c:v>1</c:v>
                </c:pt>
                <c:pt idx="117">
                  <c:v>2</c:v>
                </c:pt>
                <c:pt idx="118">
                  <c:v>4</c:v>
                </c:pt>
                <c:pt idx="119">
                  <c:v>0</c:v>
                </c:pt>
                <c:pt idx="120">
                  <c:v>1</c:v>
                </c:pt>
                <c:pt idx="121">
                  <c:v>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EB6-4BE9-9313-D2B0EF7D8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57024"/>
        <c:axId val="119059200"/>
      </c:scatterChart>
      <c:valAx>
        <c:axId val="119057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059200"/>
        <c:crosses val="autoZero"/>
        <c:crossBetween val="midCat"/>
      </c:valAx>
      <c:valAx>
        <c:axId val="119059200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Events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0570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tx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Sussex Annual Precipitation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Sussex Annual Precip</c:v>
          </c:tx>
          <c:marker>
            <c:symbol val="none"/>
          </c:marker>
          <c:trendline>
            <c:spPr>
              <a:ln w="38100">
                <a:solidFill>
                  <a:schemeClr val="accent1"/>
                </a:solidFill>
                <a:prstDash val="lgDash"/>
              </a:ln>
            </c:spPr>
            <c:trendlineType val="linear"/>
            <c:dispRSqr val="1"/>
            <c:dispEq val="1"/>
            <c:trendlineLbl>
              <c:layout>
                <c:manualLayout>
                  <c:x val="8.9843532347620686E-2"/>
                  <c:y val="2.0147887621625771E-2"/>
                </c:manualLayout>
              </c:layout>
              <c:numFmt formatCode="General" sourceLinked="0"/>
            </c:trendlineLbl>
          </c:trendline>
          <c:xVal>
            <c:numRef>
              <c:f>'[3]Amount of Events'!$A$2:$A$119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'[3]Amount of Events'!$T$2:$T$119</c:f>
              <c:numCache>
                <c:formatCode>General</c:formatCode>
                <c:ptCount val="118"/>
                <c:pt idx="0">
                  <c:v>35.409999999999997</c:v>
                </c:pt>
                <c:pt idx="1">
                  <c:v>38.33</c:v>
                </c:pt>
                <c:pt idx="2">
                  <c:v>36.590000000000003</c:v>
                </c:pt>
                <c:pt idx="3">
                  <c:v>43.37</c:v>
                </c:pt>
                <c:pt idx="4">
                  <c:v>45.33</c:v>
                </c:pt>
                <c:pt idx="5">
                  <c:v>49.84</c:v>
                </c:pt>
                <c:pt idx="6">
                  <c:v>44.6</c:v>
                </c:pt>
                <c:pt idx="7">
                  <c:v>37.909999999999997</c:v>
                </c:pt>
                <c:pt idx="8">
                  <c:v>43.65</c:v>
                </c:pt>
                <c:pt idx="9">
                  <c:v>45.56</c:v>
                </c:pt>
                <c:pt idx="10">
                  <c:v>34.94</c:v>
                </c:pt>
                <c:pt idx="11">
                  <c:v>40.15</c:v>
                </c:pt>
                <c:pt idx="12">
                  <c:v>31.9</c:v>
                </c:pt>
                <c:pt idx="13">
                  <c:v>44.65</c:v>
                </c:pt>
                <c:pt idx="14">
                  <c:v>43.85</c:v>
                </c:pt>
                <c:pt idx="15">
                  <c:v>41.95</c:v>
                </c:pt>
                <c:pt idx="16">
                  <c:v>36.49</c:v>
                </c:pt>
                <c:pt idx="17">
                  <c:v>41.1</c:v>
                </c:pt>
                <c:pt idx="18">
                  <c:v>26.47</c:v>
                </c:pt>
                <c:pt idx="19">
                  <c:v>16.05</c:v>
                </c:pt>
                <c:pt idx="20">
                  <c:v>45.68</c:v>
                </c:pt>
                <c:pt idx="21">
                  <c:v>34.86</c:v>
                </c:pt>
                <c:pt idx="22">
                  <c:v>32.22</c:v>
                </c:pt>
                <c:pt idx="23">
                  <c:v>13.46</c:v>
                </c:pt>
                <c:pt idx="24">
                  <c:v>35.979999999999997</c:v>
                </c:pt>
                <c:pt idx="25">
                  <c:v>42.74</c:v>
                </c:pt>
                <c:pt idx="26">
                  <c:v>30.35</c:v>
                </c:pt>
                <c:pt idx="27">
                  <c:v>49.14</c:v>
                </c:pt>
                <c:pt idx="28">
                  <c:v>45.9</c:v>
                </c:pt>
                <c:pt idx="29">
                  <c:v>42.78</c:v>
                </c:pt>
                <c:pt idx="30">
                  <c:v>35.130000000000003</c:v>
                </c:pt>
                <c:pt idx="31">
                  <c:v>36.49</c:v>
                </c:pt>
                <c:pt idx="32">
                  <c:v>51</c:v>
                </c:pt>
                <c:pt idx="33">
                  <c:v>45.25</c:v>
                </c:pt>
                <c:pt idx="34">
                  <c:v>49.74</c:v>
                </c:pt>
                <c:pt idx="35">
                  <c:v>41.59</c:v>
                </c:pt>
                <c:pt idx="36">
                  <c:v>44.02</c:v>
                </c:pt>
                <c:pt idx="37">
                  <c:v>48.21</c:v>
                </c:pt>
                <c:pt idx="38">
                  <c:v>44</c:v>
                </c:pt>
                <c:pt idx="39">
                  <c:v>22.09</c:v>
                </c:pt>
                <c:pt idx="40">
                  <c:v>49.34</c:v>
                </c:pt>
                <c:pt idx="41">
                  <c:v>35.24</c:v>
                </c:pt>
                <c:pt idx="42">
                  <c:v>63.25</c:v>
                </c:pt>
                <c:pt idx="43">
                  <c:v>35.11</c:v>
                </c:pt>
                <c:pt idx="44">
                  <c:v>41.54</c:v>
                </c:pt>
                <c:pt idx="45">
                  <c:v>59.92</c:v>
                </c:pt>
                <c:pt idx="46">
                  <c:v>34.01</c:v>
                </c:pt>
                <c:pt idx="47">
                  <c:v>54.75</c:v>
                </c:pt>
                <c:pt idx="48">
                  <c:v>46.28</c:v>
                </c:pt>
                <c:pt idx="49">
                  <c:v>39.119999999999997</c:v>
                </c:pt>
                <c:pt idx="50">
                  <c:v>49.92</c:v>
                </c:pt>
                <c:pt idx="51">
                  <c:v>47.91</c:v>
                </c:pt>
                <c:pt idx="52">
                  <c:v>55.92</c:v>
                </c:pt>
                <c:pt idx="53">
                  <c:v>37.51</c:v>
                </c:pt>
                <c:pt idx="54">
                  <c:v>20.92</c:v>
                </c:pt>
                <c:pt idx="55">
                  <c:v>49.96</c:v>
                </c:pt>
                <c:pt idx="56">
                  <c:v>41.31</c:v>
                </c:pt>
                <c:pt idx="57">
                  <c:v>37.86</c:v>
                </c:pt>
                <c:pt idx="58">
                  <c:v>42.84</c:v>
                </c:pt>
                <c:pt idx="59">
                  <c:v>44.24</c:v>
                </c:pt>
                <c:pt idx="60">
                  <c:v>51</c:v>
                </c:pt>
                <c:pt idx="61">
                  <c:v>43.29</c:v>
                </c:pt>
                <c:pt idx="62">
                  <c:v>35.9</c:v>
                </c:pt>
                <c:pt idx="63">
                  <c:v>34.450000000000003</c:v>
                </c:pt>
                <c:pt idx="64">
                  <c:v>29.56</c:v>
                </c:pt>
                <c:pt idx="65">
                  <c:v>32.549999999999997</c:v>
                </c:pt>
                <c:pt idx="66">
                  <c:v>35.14</c:v>
                </c:pt>
                <c:pt idx="67">
                  <c:v>47.24</c:v>
                </c:pt>
                <c:pt idx="68">
                  <c:v>42.78</c:v>
                </c:pt>
                <c:pt idx="69">
                  <c:v>44.19</c:v>
                </c:pt>
                <c:pt idx="70">
                  <c:v>42.55</c:v>
                </c:pt>
                <c:pt idx="71">
                  <c:v>50.1</c:v>
                </c:pt>
                <c:pt idx="72">
                  <c:v>63.71</c:v>
                </c:pt>
                <c:pt idx="73">
                  <c:v>60.3</c:v>
                </c:pt>
                <c:pt idx="74">
                  <c:v>51.88</c:v>
                </c:pt>
                <c:pt idx="75">
                  <c:v>60.14</c:v>
                </c:pt>
                <c:pt idx="76">
                  <c:v>45.2</c:v>
                </c:pt>
                <c:pt idx="77">
                  <c:v>48.07</c:v>
                </c:pt>
                <c:pt idx="78">
                  <c:v>42.51</c:v>
                </c:pt>
                <c:pt idx="79">
                  <c:v>56.9</c:v>
                </c:pt>
                <c:pt idx="80">
                  <c:v>35.39</c:v>
                </c:pt>
                <c:pt idx="81">
                  <c:v>38.799999999999997</c:v>
                </c:pt>
                <c:pt idx="82">
                  <c:v>41.56</c:v>
                </c:pt>
                <c:pt idx="83">
                  <c:v>55.49</c:v>
                </c:pt>
                <c:pt idx="84">
                  <c:v>50.14</c:v>
                </c:pt>
                <c:pt idx="85">
                  <c:v>46.05</c:v>
                </c:pt>
                <c:pt idx="86">
                  <c:v>44.66</c:v>
                </c:pt>
                <c:pt idx="87">
                  <c:v>44.08</c:v>
                </c:pt>
                <c:pt idx="88">
                  <c:v>40.39</c:v>
                </c:pt>
                <c:pt idx="89">
                  <c:v>51.91</c:v>
                </c:pt>
                <c:pt idx="90">
                  <c:v>53.59</c:v>
                </c:pt>
                <c:pt idx="91">
                  <c:v>37.659999999999997</c:v>
                </c:pt>
                <c:pt idx="92">
                  <c:v>47.02</c:v>
                </c:pt>
                <c:pt idx="93">
                  <c:v>43.92</c:v>
                </c:pt>
                <c:pt idx="94">
                  <c:v>40.39</c:v>
                </c:pt>
                <c:pt idx="95">
                  <c:v>33.28</c:v>
                </c:pt>
                <c:pt idx="96">
                  <c:v>59.89</c:v>
                </c:pt>
                <c:pt idx="97">
                  <c:v>37.47</c:v>
                </c:pt>
                <c:pt idx="98">
                  <c:v>31.34</c:v>
                </c:pt>
                <c:pt idx="99">
                  <c:v>38.11</c:v>
                </c:pt>
                <c:pt idx="100">
                  <c:v>48.96</c:v>
                </c:pt>
                <c:pt idx="101">
                  <c:v>32.590000000000003</c:v>
                </c:pt>
                <c:pt idx="102">
                  <c:v>45.11</c:v>
                </c:pt>
                <c:pt idx="103">
                  <c:v>59.93</c:v>
                </c:pt>
                <c:pt idx="104">
                  <c:v>51.82</c:v>
                </c:pt>
                <c:pt idx="105">
                  <c:v>50.15</c:v>
                </c:pt>
                <c:pt idx="106">
                  <c:v>50.66</c:v>
                </c:pt>
                <c:pt idx="107">
                  <c:v>47.39</c:v>
                </c:pt>
                <c:pt idx="108">
                  <c:v>44.67</c:v>
                </c:pt>
                <c:pt idx="109">
                  <c:v>42.3</c:v>
                </c:pt>
                <c:pt idx="110">
                  <c:v>44.16</c:v>
                </c:pt>
                <c:pt idx="111">
                  <c:v>77.36</c:v>
                </c:pt>
                <c:pt idx="112">
                  <c:v>45.28</c:v>
                </c:pt>
                <c:pt idx="113">
                  <c:v>42.65</c:v>
                </c:pt>
                <c:pt idx="114">
                  <c:v>43.46</c:v>
                </c:pt>
                <c:pt idx="115">
                  <c:v>36.39</c:v>
                </c:pt>
                <c:pt idx="116">
                  <c:v>34.72</c:v>
                </c:pt>
                <c:pt idx="117">
                  <c:v>45.07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936-4BEB-B7B3-C77A7BCA4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9920"/>
        <c:axId val="119293056"/>
      </c:scatterChart>
      <c:valAx>
        <c:axId val="119249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Year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293056"/>
        <c:crosses val="autoZero"/>
        <c:crossBetween val="midCat"/>
      </c:valAx>
      <c:valAx>
        <c:axId val="11929305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Rainfall (Inches)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2499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bg2"/>
    </a:solidFill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Sussex: </a:t>
            </a:r>
            <a:r>
              <a:rPr lang="en-US"/>
              <a:t>Number of Binned Events (Small)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0.03 - 0.10</c:v>
          </c:tx>
          <c:spPr>
            <a:ln w="28575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trendline>
            <c:spPr>
              <a:ln w="28575">
                <a:solidFill>
                  <a:schemeClr val="accent1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8869217075854393E-2"/>
                  <c:y val="-8.1103976825216903E-3"/>
                </c:manualLayout>
              </c:layout>
              <c:numFmt formatCode="General" sourceLinked="0"/>
            </c:trendlineLbl>
          </c:trendline>
          <c:xVal>
            <c:numRef>
              <c:f>'SS NOE'!$A$2:$A$119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'SS NOE'!$C$2:$C$119</c:f>
              <c:numCache>
                <c:formatCode>General</c:formatCode>
                <c:ptCount val="118"/>
                <c:pt idx="0">
                  <c:v>21</c:v>
                </c:pt>
                <c:pt idx="1">
                  <c:v>31</c:v>
                </c:pt>
                <c:pt idx="2">
                  <c:v>38</c:v>
                </c:pt>
                <c:pt idx="3">
                  <c:v>21</c:v>
                </c:pt>
                <c:pt idx="4">
                  <c:v>27</c:v>
                </c:pt>
                <c:pt idx="5">
                  <c:v>34</c:v>
                </c:pt>
                <c:pt idx="6">
                  <c:v>22</c:v>
                </c:pt>
                <c:pt idx="7">
                  <c:v>28</c:v>
                </c:pt>
                <c:pt idx="8">
                  <c:v>25</c:v>
                </c:pt>
                <c:pt idx="9">
                  <c:v>33</c:v>
                </c:pt>
                <c:pt idx="10">
                  <c:v>18</c:v>
                </c:pt>
                <c:pt idx="11">
                  <c:v>25</c:v>
                </c:pt>
                <c:pt idx="12">
                  <c:v>16</c:v>
                </c:pt>
                <c:pt idx="13">
                  <c:v>27</c:v>
                </c:pt>
                <c:pt idx="14">
                  <c:v>31</c:v>
                </c:pt>
                <c:pt idx="15">
                  <c:v>20</c:v>
                </c:pt>
                <c:pt idx="16">
                  <c:v>17</c:v>
                </c:pt>
                <c:pt idx="17">
                  <c:v>13</c:v>
                </c:pt>
                <c:pt idx="18">
                  <c:v>15</c:v>
                </c:pt>
                <c:pt idx="19">
                  <c:v>9</c:v>
                </c:pt>
                <c:pt idx="20">
                  <c:v>12</c:v>
                </c:pt>
                <c:pt idx="21">
                  <c:v>23</c:v>
                </c:pt>
                <c:pt idx="22">
                  <c:v>23</c:v>
                </c:pt>
                <c:pt idx="23">
                  <c:v>8</c:v>
                </c:pt>
                <c:pt idx="24">
                  <c:v>28</c:v>
                </c:pt>
                <c:pt idx="25">
                  <c:v>30</c:v>
                </c:pt>
                <c:pt idx="26">
                  <c:v>22</c:v>
                </c:pt>
                <c:pt idx="27">
                  <c:v>34</c:v>
                </c:pt>
                <c:pt idx="28">
                  <c:v>24</c:v>
                </c:pt>
                <c:pt idx="29">
                  <c:v>36</c:v>
                </c:pt>
                <c:pt idx="30">
                  <c:v>17</c:v>
                </c:pt>
                <c:pt idx="31">
                  <c:v>33</c:v>
                </c:pt>
                <c:pt idx="32">
                  <c:v>27</c:v>
                </c:pt>
                <c:pt idx="33">
                  <c:v>38</c:v>
                </c:pt>
                <c:pt idx="34">
                  <c:v>18</c:v>
                </c:pt>
                <c:pt idx="35">
                  <c:v>23</c:v>
                </c:pt>
                <c:pt idx="36">
                  <c:v>30</c:v>
                </c:pt>
                <c:pt idx="37">
                  <c:v>23</c:v>
                </c:pt>
                <c:pt idx="38">
                  <c:v>27</c:v>
                </c:pt>
                <c:pt idx="39">
                  <c:v>16</c:v>
                </c:pt>
                <c:pt idx="40">
                  <c:v>27</c:v>
                </c:pt>
                <c:pt idx="41">
                  <c:v>15</c:v>
                </c:pt>
                <c:pt idx="42">
                  <c:v>36</c:v>
                </c:pt>
                <c:pt idx="43">
                  <c:v>32</c:v>
                </c:pt>
                <c:pt idx="44">
                  <c:v>35</c:v>
                </c:pt>
                <c:pt idx="45">
                  <c:v>39</c:v>
                </c:pt>
                <c:pt idx="46">
                  <c:v>32</c:v>
                </c:pt>
                <c:pt idx="47">
                  <c:v>20</c:v>
                </c:pt>
                <c:pt idx="48">
                  <c:v>37</c:v>
                </c:pt>
                <c:pt idx="49">
                  <c:v>25</c:v>
                </c:pt>
                <c:pt idx="50">
                  <c:v>33</c:v>
                </c:pt>
                <c:pt idx="51">
                  <c:v>25</c:v>
                </c:pt>
                <c:pt idx="52">
                  <c:v>30</c:v>
                </c:pt>
                <c:pt idx="53">
                  <c:v>25</c:v>
                </c:pt>
                <c:pt idx="54">
                  <c:v>14</c:v>
                </c:pt>
                <c:pt idx="55">
                  <c:v>32</c:v>
                </c:pt>
                <c:pt idx="56">
                  <c:v>31</c:v>
                </c:pt>
                <c:pt idx="57">
                  <c:v>37</c:v>
                </c:pt>
                <c:pt idx="58">
                  <c:v>37</c:v>
                </c:pt>
                <c:pt idx="59">
                  <c:v>46</c:v>
                </c:pt>
                <c:pt idx="60">
                  <c:v>36</c:v>
                </c:pt>
                <c:pt idx="61">
                  <c:v>25</c:v>
                </c:pt>
                <c:pt idx="62">
                  <c:v>34</c:v>
                </c:pt>
                <c:pt idx="63">
                  <c:v>19</c:v>
                </c:pt>
                <c:pt idx="64">
                  <c:v>35</c:v>
                </c:pt>
                <c:pt idx="65">
                  <c:v>39</c:v>
                </c:pt>
                <c:pt idx="66">
                  <c:v>41</c:v>
                </c:pt>
                <c:pt idx="67">
                  <c:v>38</c:v>
                </c:pt>
                <c:pt idx="68">
                  <c:v>33</c:v>
                </c:pt>
                <c:pt idx="69">
                  <c:v>37</c:v>
                </c:pt>
                <c:pt idx="70">
                  <c:v>39</c:v>
                </c:pt>
                <c:pt idx="71">
                  <c:v>34</c:v>
                </c:pt>
                <c:pt idx="72">
                  <c:v>33</c:v>
                </c:pt>
                <c:pt idx="73">
                  <c:v>32</c:v>
                </c:pt>
                <c:pt idx="74">
                  <c:v>34</c:v>
                </c:pt>
                <c:pt idx="75">
                  <c:v>40</c:v>
                </c:pt>
                <c:pt idx="76">
                  <c:v>31</c:v>
                </c:pt>
                <c:pt idx="77">
                  <c:v>36</c:v>
                </c:pt>
                <c:pt idx="78">
                  <c:v>38</c:v>
                </c:pt>
                <c:pt idx="79">
                  <c:v>29</c:v>
                </c:pt>
                <c:pt idx="80">
                  <c:v>34</c:v>
                </c:pt>
                <c:pt idx="81">
                  <c:v>37</c:v>
                </c:pt>
                <c:pt idx="82">
                  <c:v>24</c:v>
                </c:pt>
                <c:pt idx="83">
                  <c:v>28</c:v>
                </c:pt>
                <c:pt idx="84">
                  <c:v>34</c:v>
                </c:pt>
                <c:pt idx="85">
                  <c:v>41</c:v>
                </c:pt>
                <c:pt idx="86">
                  <c:v>22</c:v>
                </c:pt>
                <c:pt idx="87">
                  <c:v>41</c:v>
                </c:pt>
                <c:pt idx="88">
                  <c:v>30</c:v>
                </c:pt>
                <c:pt idx="89">
                  <c:v>48</c:v>
                </c:pt>
                <c:pt idx="90">
                  <c:v>34</c:v>
                </c:pt>
                <c:pt idx="91">
                  <c:v>50</c:v>
                </c:pt>
                <c:pt idx="92">
                  <c:v>27</c:v>
                </c:pt>
                <c:pt idx="93">
                  <c:v>34</c:v>
                </c:pt>
                <c:pt idx="94">
                  <c:v>18</c:v>
                </c:pt>
                <c:pt idx="95">
                  <c:v>29</c:v>
                </c:pt>
                <c:pt idx="96">
                  <c:v>39</c:v>
                </c:pt>
                <c:pt idx="97">
                  <c:v>22</c:v>
                </c:pt>
                <c:pt idx="98">
                  <c:v>23</c:v>
                </c:pt>
                <c:pt idx="99">
                  <c:v>32</c:v>
                </c:pt>
                <c:pt idx="100">
                  <c:v>34</c:v>
                </c:pt>
                <c:pt idx="101">
                  <c:v>32</c:v>
                </c:pt>
                <c:pt idx="102">
                  <c:v>36</c:v>
                </c:pt>
                <c:pt idx="103">
                  <c:v>40</c:v>
                </c:pt>
                <c:pt idx="104">
                  <c:v>35</c:v>
                </c:pt>
                <c:pt idx="105">
                  <c:v>30</c:v>
                </c:pt>
                <c:pt idx="106">
                  <c:v>23</c:v>
                </c:pt>
                <c:pt idx="107">
                  <c:v>22</c:v>
                </c:pt>
                <c:pt idx="108">
                  <c:v>26</c:v>
                </c:pt>
                <c:pt idx="109">
                  <c:v>28</c:v>
                </c:pt>
                <c:pt idx="110">
                  <c:v>29</c:v>
                </c:pt>
                <c:pt idx="111">
                  <c:v>27</c:v>
                </c:pt>
                <c:pt idx="112">
                  <c:v>30</c:v>
                </c:pt>
                <c:pt idx="113">
                  <c:v>33</c:v>
                </c:pt>
                <c:pt idx="114">
                  <c:v>37</c:v>
                </c:pt>
                <c:pt idx="115">
                  <c:v>32</c:v>
                </c:pt>
                <c:pt idx="116">
                  <c:v>30</c:v>
                </c:pt>
                <c:pt idx="117">
                  <c:v>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D5F-4625-90FC-D36593AE481E}"/>
            </c:ext>
          </c:extLst>
        </c:ser>
        <c:ser>
          <c:idx val="1"/>
          <c:order val="1"/>
          <c:tx>
            <c:v>0.11 - 0.25</c:v>
          </c:tx>
          <c:spPr>
            <a:ln w="285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trendline>
            <c:spPr>
              <a:ln w="28575">
                <a:solidFill>
                  <a:schemeClr val="accent2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2259068168637617E-2"/>
                  <c:y val="2.2657612076008183E-2"/>
                </c:manualLayout>
              </c:layout>
              <c:numFmt formatCode="General" sourceLinked="0"/>
            </c:trendlineLbl>
          </c:trendline>
          <c:xVal>
            <c:numRef>
              <c:f>'SS NOE'!$A$2:$A$119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'SS NOE'!$D$2:$D$119</c:f>
              <c:numCache>
                <c:formatCode>General</c:formatCode>
                <c:ptCount val="118"/>
                <c:pt idx="0">
                  <c:v>16</c:v>
                </c:pt>
                <c:pt idx="1">
                  <c:v>14</c:v>
                </c:pt>
                <c:pt idx="2">
                  <c:v>22</c:v>
                </c:pt>
                <c:pt idx="3">
                  <c:v>29</c:v>
                </c:pt>
                <c:pt idx="4">
                  <c:v>28</c:v>
                </c:pt>
                <c:pt idx="5">
                  <c:v>31</c:v>
                </c:pt>
                <c:pt idx="6">
                  <c:v>16</c:v>
                </c:pt>
                <c:pt idx="7">
                  <c:v>28</c:v>
                </c:pt>
                <c:pt idx="8">
                  <c:v>20</c:v>
                </c:pt>
                <c:pt idx="9">
                  <c:v>26</c:v>
                </c:pt>
                <c:pt idx="10">
                  <c:v>20</c:v>
                </c:pt>
                <c:pt idx="11">
                  <c:v>25</c:v>
                </c:pt>
                <c:pt idx="12">
                  <c:v>25</c:v>
                </c:pt>
                <c:pt idx="13">
                  <c:v>29</c:v>
                </c:pt>
                <c:pt idx="14">
                  <c:v>23</c:v>
                </c:pt>
                <c:pt idx="15">
                  <c:v>21</c:v>
                </c:pt>
                <c:pt idx="16">
                  <c:v>28</c:v>
                </c:pt>
                <c:pt idx="17">
                  <c:v>26</c:v>
                </c:pt>
                <c:pt idx="18">
                  <c:v>15</c:v>
                </c:pt>
                <c:pt idx="19">
                  <c:v>9</c:v>
                </c:pt>
                <c:pt idx="20">
                  <c:v>24</c:v>
                </c:pt>
                <c:pt idx="21">
                  <c:v>24</c:v>
                </c:pt>
                <c:pt idx="22">
                  <c:v>18</c:v>
                </c:pt>
                <c:pt idx="23">
                  <c:v>12</c:v>
                </c:pt>
                <c:pt idx="24">
                  <c:v>25</c:v>
                </c:pt>
                <c:pt idx="25">
                  <c:v>21</c:v>
                </c:pt>
                <c:pt idx="26">
                  <c:v>27</c:v>
                </c:pt>
                <c:pt idx="27">
                  <c:v>28</c:v>
                </c:pt>
                <c:pt idx="28">
                  <c:v>30</c:v>
                </c:pt>
                <c:pt idx="29">
                  <c:v>24</c:v>
                </c:pt>
                <c:pt idx="30">
                  <c:v>27</c:v>
                </c:pt>
                <c:pt idx="31">
                  <c:v>17</c:v>
                </c:pt>
                <c:pt idx="32">
                  <c:v>17</c:v>
                </c:pt>
                <c:pt idx="33">
                  <c:v>15</c:v>
                </c:pt>
                <c:pt idx="34">
                  <c:v>22</c:v>
                </c:pt>
                <c:pt idx="35">
                  <c:v>25</c:v>
                </c:pt>
                <c:pt idx="36">
                  <c:v>29</c:v>
                </c:pt>
                <c:pt idx="37">
                  <c:v>26</c:v>
                </c:pt>
                <c:pt idx="38">
                  <c:v>23</c:v>
                </c:pt>
                <c:pt idx="39">
                  <c:v>7</c:v>
                </c:pt>
                <c:pt idx="40">
                  <c:v>28</c:v>
                </c:pt>
                <c:pt idx="41">
                  <c:v>29</c:v>
                </c:pt>
                <c:pt idx="42">
                  <c:v>22</c:v>
                </c:pt>
                <c:pt idx="43">
                  <c:v>30</c:v>
                </c:pt>
                <c:pt idx="44">
                  <c:v>22</c:v>
                </c:pt>
                <c:pt idx="45">
                  <c:v>29</c:v>
                </c:pt>
                <c:pt idx="46">
                  <c:v>29</c:v>
                </c:pt>
                <c:pt idx="47">
                  <c:v>24</c:v>
                </c:pt>
                <c:pt idx="48">
                  <c:v>33</c:v>
                </c:pt>
                <c:pt idx="49">
                  <c:v>37</c:v>
                </c:pt>
                <c:pt idx="50">
                  <c:v>35</c:v>
                </c:pt>
                <c:pt idx="51">
                  <c:v>20</c:v>
                </c:pt>
                <c:pt idx="52">
                  <c:v>27</c:v>
                </c:pt>
                <c:pt idx="53">
                  <c:v>12</c:v>
                </c:pt>
                <c:pt idx="54">
                  <c:v>14</c:v>
                </c:pt>
                <c:pt idx="55">
                  <c:v>24</c:v>
                </c:pt>
                <c:pt idx="56">
                  <c:v>36</c:v>
                </c:pt>
                <c:pt idx="57">
                  <c:v>34</c:v>
                </c:pt>
                <c:pt idx="58">
                  <c:v>32</c:v>
                </c:pt>
                <c:pt idx="59">
                  <c:v>24</c:v>
                </c:pt>
                <c:pt idx="60">
                  <c:v>31</c:v>
                </c:pt>
                <c:pt idx="61">
                  <c:v>47</c:v>
                </c:pt>
                <c:pt idx="62">
                  <c:v>30</c:v>
                </c:pt>
                <c:pt idx="63">
                  <c:v>20</c:v>
                </c:pt>
                <c:pt idx="64">
                  <c:v>19</c:v>
                </c:pt>
                <c:pt idx="65">
                  <c:v>16</c:v>
                </c:pt>
                <c:pt idx="66">
                  <c:v>21</c:v>
                </c:pt>
                <c:pt idx="67">
                  <c:v>28</c:v>
                </c:pt>
                <c:pt idx="68">
                  <c:v>27</c:v>
                </c:pt>
                <c:pt idx="69">
                  <c:v>23</c:v>
                </c:pt>
                <c:pt idx="70">
                  <c:v>24</c:v>
                </c:pt>
                <c:pt idx="71">
                  <c:v>29</c:v>
                </c:pt>
                <c:pt idx="72">
                  <c:v>36</c:v>
                </c:pt>
                <c:pt idx="73">
                  <c:v>24</c:v>
                </c:pt>
                <c:pt idx="74">
                  <c:v>29</c:v>
                </c:pt>
                <c:pt idx="75">
                  <c:v>29</c:v>
                </c:pt>
                <c:pt idx="76">
                  <c:v>26</c:v>
                </c:pt>
                <c:pt idx="77">
                  <c:v>27</c:v>
                </c:pt>
                <c:pt idx="78">
                  <c:v>27</c:v>
                </c:pt>
                <c:pt idx="79">
                  <c:v>32</c:v>
                </c:pt>
                <c:pt idx="80">
                  <c:v>27</c:v>
                </c:pt>
                <c:pt idx="81">
                  <c:v>26</c:v>
                </c:pt>
                <c:pt idx="82">
                  <c:v>32</c:v>
                </c:pt>
                <c:pt idx="83">
                  <c:v>22</c:v>
                </c:pt>
                <c:pt idx="84">
                  <c:v>19</c:v>
                </c:pt>
                <c:pt idx="85">
                  <c:v>25</c:v>
                </c:pt>
                <c:pt idx="86">
                  <c:v>24</c:v>
                </c:pt>
                <c:pt idx="87">
                  <c:v>21</c:v>
                </c:pt>
                <c:pt idx="88">
                  <c:v>29</c:v>
                </c:pt>
                <c:pt idx="89">
                  <c:v>31</c:v>
                </c:pt>
                <c:pt idx="90">
                  <c:v>38</c:v>
                </c:pt>
                <c:pt idx="91">
                  <c:v>24</c:v>
                </c:pt>
                <c:pt idx="92">
                  <c:v>30</c:v>
                </c:pt>
                <c:pt idx="93">
                  <c:v>27</c:v>
                </c:pt>
                <c:pt idx="94">
                  <c:v>20</c:v>
                </c:pt>
                <c:pt idx="95">
                  <c:v>23</c:v>
                </c:pt>
                <c:pt idx="96">
                  <c:v>38</c:v>
                </c:pt>
                <c:pt idx="97">
                  <c:v>34</c:v>
                </c:pt>
                <c:pt idx="98">
                  <c:v>16</c:v>
                </c:pt>
                <c:pt idx="99">
                  <c:v>20</c:v>
                </c:pt>
                <c:pt idx="100">
                  <c:v>29</c:v>
                </c:pt>
                <c:pt idx="101">
                  <c:v>25</c:v>
                </c:pt>
                <c:pt idx="102">
                  <c:v>23</c:v>
                </c:pt>
                <c:pt idx="103">
                  <c:v>40</c:v>
                </c:pt>
                <c:pt idx="104">
                  <c:v>28</c:v>
                </c:pt>
                <c:pt idx="105">
                  <c:v>23</c:v>
                </c:pt>
                <c:pt idx="106">
                  <c:v>27</c:v>
                </c:pt>
                <c:pt idx="107">
                  <c:v>25</c:v>
                </c:pt>
                <c:pt idx="108">
                  <c:v>36</c:v>
                </c:pt>
                <c:pt idx="109">
                  <c:v>35</c:v>
                </c:pt>
                <c:pt idx="110">
                  <c:v>16</c:v>
                </c:pt>
                <c:pt idx="111">
                  <c:v>35</c:v>
                </c:pt>
                <c:pt idx="112">
                  <c:v>29</c:v>
                </c:pt>
                <c:pt idx="113">
                  <c:v>25</c:v>
                </c:pt>
                <c:pt idx="114">
                  <c:v>28</c:v>
                </c:pt>
                <c:pt idx="115">
                  <c:v>29</c:v>
                </c:pt>
                <c:pt idx="116">
                  <c:v>24</c:v>
                </c:pt>
                <c:pt idx="117">
                  <c:v>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D5F-4625-90FC-D36593AE481E}"/>
            </c:ext>
          </c:extLst>
        </c:ser>
        <c:ser>
          <c:idx val="2"/>
          <c:order val="2"/>
          <c:tx>
            <c:v>0.26 - 0.50</c:v>
          </c:tx>
          <c:spPr>
            <a:ln w="28575">
              <a:solidFill>
                <a:schemeClr val="accent3">
                  <a:lumMod val="60000"/>
                  <a:lumOff val="40000"/>
                </a:schemeClr>
              </a:solidFill>
            </a:ln>
          </c:spPr>
          <c:marker>
            <c:symbol val="none"/>
          </c:marker>
          <c:dPt>
            <c:idx val="20"/>
            <c:bubble3D val="0"/>
            <c:spPr>
              <a:ln w="28575">
                <a:noFill/>
              </a:ln>
            </c:spPr>
          </c:dPt>
          <c:trendline>
            <c:spPr>
              <a:ln w="28575">
                <a:solidFill>
                  <a:schemeClr val="accent3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1411605395441811E-2"/>
                  <c:y val="3.6930928552757918E-2"/>
                </c:manualLayout>
              </c:layout>
              <c:numFmt formatCode="General" sourceLinked="0"/>
            </c:trendlineLbl>
          </c:trendline>
          <c:xVal>
            <c:numRef>
              <c:f>'SS NOE'!$A$2:$A$119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'SS NOE'!$E$2:$E$119</c:f>
              <c:numCache>
                <c:formatCode>General</c:formatCode>
                <c:ptCount val="118"/>
                <c:pt idx="0">
                  <c:v>17</c:v>
                </c:pt>
                <c:pt idx="1">
                  <c:v>16</c:v>
                </c:pt>
                <c:pt idx="2">
                  <c:v>20</c:v>
                </c:pt>
                <c:pt idx="3">
                  <c:v>23</c:v>
                </c:pt>
                <c:pt idx="4">
                  <c:v>21</c:v>
                </c:pt>
                <c:pt idx="5">
                  <c:v>38</c:v>
                </c:pt>
                <c:pt idx="6">
                  <c:v>29</c:v>
                </c:pt>
                <c:pt idx="7">
                  <c:v>13</c:v>
                </c:pt>
                <c:pt idx="8">
                  <c:v>22</c:v>
                </c:pt>
                <c:pt idx="9">
                  <c:v>15</c:v>
                </c:pt>
                <c:pt idx="10">
                  <c:v>13</c:v>
                </c:pt>
                <c:pt idx="11">
                  <c:v>24</c:v>
                </c:pt>
                <c:pt idx="12">
                  <c:v>23</c:v>
                </c:pt>
                <c:pt idx="13">
                  <c:v>27</c:v>
                </c:pt>
                <c:pt idx="14">
                  <c:v>19</c:v>
                </c:pt>
                <c:pt idx="15">
                  <c:v>21</c:v>
                </c:pt>
                <c:pt idx="16">
                  <c:v>24</c:v>
                </c:pt>
                <c:pt idx="17">
                  <c:v>19</c:v>
                </c:pt>
                <c:pt idx="18">
                  <c:v>14</c:v>
                </c:pt>
                <c:pt idx="19">
                  <c:v>9</c:v>
                </c:pt>
                <c:pt idx="20">
                  <c:v>13</c:v>
                </c:pt>
                <c:pt idx="21">
                  <c:v>22</c:v>
                </c:pt>
                <c:pt idx="22">
                  <c:v>20</c:v>
                </c:pt>
                <c:pt idx="23">
                  <c:v>12</c:v>
                </c:pt>
                <c:pt idx="24">
                  <c:v>21</c:v>
                </c:pt>
                <c:pt idx="25">
                  <c:v>20</c:v>
                </c:pt>
                <c:pt idx="26">
                  <c:v>31</c:v>
                </c:pt>
                <c:pt idx="27">
                  <c:v>22</c:v>
                </c:pt>
                <c:pt idx="28">
                  <c:v>18</c:v>
                </c:pt>
                <c:pt idx="29">
                  <c:v>31</c:v>
                </c:pt>
                <c:pt idx="30">
                  <c:v>28</c:v>
                </c:pt>
                <c:pt idx="31">
                  <c:v>31</c:v>
                </c:pt>
                <c:pt idx="32">
                  <c:v>18</c:v>
                </c:pt>
                <c:pt idx="33">
                  <c:v>18</c:v>
                </c:pt>
                <c:pt idx="34">
                  <c:v>14</c:v>
                </c:pt>
                <c:pt idx="35">
                  <c:v>22</c:v>
                </c:pt>
                <c:pt idx="36">
                  <c:v>22</c:v>
                </c:pt>
                <c:pt idx="37">
                  <c:v>17</c:v>
                </c:pt>
                <c:pt idx="38">
                  <c:v>25</c:v>
                </c:pt>
                <c:pt idx="39">
                  <c:v>9</c:v>
                </c:pt>
                <c:pt idx="40">
                  <c:v>19</c:v>
                </c:pt>
                <c:pt idx="41">
                  <c:v>24</c:v>
                </c:pt>
                <c:pt idx="42">
                  <c:v>23</c:v>
                </c:pt>
                <c:pt idx="43">
                  <c:v>20</c:v>
                </c:pt>
                <c:pt idx="44">
                  <c:v>14</c:v>
                </c:pt>
                <c:pt idx="45">
                  <c:v>32</c:v>
                </c:pt>
                <c:pt idx="46">
                  <c:v>19</c:v>
                </c:pt>
                <c:pt idx="47">
                  <c:v>28</c:v>
                </c:pt>
                <c:pt idx="48">
                  <c:v>26</c:v>
                </c:pt>
                <c:pt idx="49">
                  <c:v>30</c:v>
                </c:pt>
                <c:pt idx="50">
                  <c:v>33</c:v>
                </c:pt>
                <c:pt idx="51">
                  <c:v>31</c:v>
                </c:pt>
                <c:pt idx="52">
                  <c:v>18</c:v>
                </c:pt>
                <c:pt idx="53">
                  <c:v>25</c:v>
                </c:pt>
                <c:pt idx="54">
                  <c:v>7</c:v>
                </c:pt>
                <c:pt idx="55">
                  <c:v>23</c:v>
                </c:pt>
                <c:pt idx="56">
                  <c:v>26</c:v>
                </c:pt>
                <c:pt idx="57">
                  <c:v>21</c:v>
                </c:pt>
                <c:pt idx="58">
                  <c:v>20</c:v>
                </c:pt>
                <c:pt idx="59">
                  <c:v>27</c:v>
                </c:pt>
                <c:pt idx="60">
                  <c:v>29</c:v>
                </c:pt>
                <c:pt idx="61">
                  <c:v>32</c:v>
                </c:pt>
                <c:pt idx="62">
                  <c:v>18</c:v>
                </c:pt>
                <c:pt idx="63">
                  <c:v>27</c:v>
                </c:pt>
                <c:pt idx="64">
                  <c:v>19</c:v>
                </c:pt>
                <c:pt idx="65">
                  <c:v>17</c:v>
                </c:pt>
                <c:pt idx="66">
                  <c:v>18</c:v>
                </c:pt>
                <c:pt idx="67">
                  <c:v>17</c:v>
                </c:pt>
                <c:pt idx="68">
                  <c:v>16</c:v>
                </c:pt>
                <c:pt idx="69">
                  <c:v>19</c:v>
                </c:pt>
                <c:pt idx="70">
                  <c:v>22</c:v>
                </c:pt>
                <c:pt idx="71">
                  <c:v>27</c:v>
                </c:pt>
                <c:pt idx="72">
                  <c:v>29</c:v>
                </c:pt>
                <c:pt idx="73">
                  <c:v>28</c:v>
                </c:pt>
                <c:pt idx="74">
                  <c:v>27</c:v>
                </c:pt>
                <c:pt idx="75">
                  <c:v>33</c:v>
                </c:pt>
                <c:pt idx="76">
                  <c:v>24</c:v>
                </c:pt>
                <c:pt idx="77">
                  <c:v>22</c:v>
                </c:pt>
                <c:pt idx="78">
                  <c:v>22</c:v>
                </c:pt>
                <c:pt idx="79">
                  <c:v>27</c:v>
                </c:pt>
                <c:pt idx="80">
                  <c:v>15</c:v>
                </c:pt>
                <c:pt idx="81">
                  <c:v>17</c:v>
                </c:pt>
                <c:pt idx="82">
                  <c:v>16</c:v>
                </c:pt>
                <c:pt idx="83">
                  <c:v>16</c:v>
                </c:pt>
                <c:pt idx="84">
                  <c:v>23</c:v>
                </c:pt>
                <c:pt idx="85">
                  <c:v>21</c:v>
                </c:pt>
                <c:pt idx="86">
                  <c:v>29</c:v>
                </c:pt>
                <c:pt idx="87">
                  <c:v>21</c:v>
                </c:pt>
                <c:pt idx="88">
                  <c:v>21</c:v>
                </c:pt>
                <c:pt idx="89">
                  <c:v>35</c:v>
                </c:pt>
                <c:pt idx="90">
                  <c:v>24</c:v>
                </c:pt>
                <c:pt idx="91">
                  <c:v>22</c:v>
                </c:pt>
                <c:pt idx="92">
                  <c:v>21</c:v>
                </c:pt>
                <c:pt idx="93">
                  <c:v>18</c:v>
                </c:pt>
                <c:pt idx="94">
                  <c:v>18</c:v>
                </c:pt>
                <c:pt idx="95">
                  <c:v>13</c:v>
                </c:pt>
                <c:pt idx="96">
                  <c:v>22</c:v>
                </c:pt>
                <c:pt idx="97">
                  <c:v>13</c:v>
                </c:pt>
                <c:pt idx="98">
                  <c:v>18</c:v>
                </c:pt>
                <c:pt idx="99">
                  <c:v>21</c:v>
                </c:pt>
                <c:pt idx="100">
                  <c:v>21</c:v>
                </c:pt>
                <c:pt idx="101">
                  <c:v>16</c:v>
                </c:pt>
                <c:pt idx="102">
                  <c:v>17</c:v>
                </c:pt>
                <c:pt idx="103">
                  <c:v>27</c:v>
                </c:pt>
                <c:pt idx="104">
                  <c:v>21</c:v>
                </c:pt>
                <c:pt idx="105">
                  <c:v>23</c:v>
                </c:pt>
                <c:pt idx="106">
                  <c:v>24</c:v>
                </c:pt>
                <c:pt idx="107">
                  <c:v>15</c:v>
                </c:pt>
                <c:pt idx="108">
                  <c:v>21</c:v>
                </c:pt>
                <c:pt idx="109">
                  <c:v>26</c:v>
                </c:pt>
                <c:pt idx="110">
                  <c:v>25</c:v>
                </c:pt>
                <c:pt idx="111">
                  <c:v>28</c:v>
                </c:pt>
                <c:pt idx="112">
                  <c:v>24</c:v>
                </c:pt>
                <c:pt idx="113">
                  <c:v>22</c:v>
                </c:pt>
                <c:pt idx="114">
                  <c:v>27</c:v>
                </c:pt>
                <c:pt idx="115">
                  <c:v>13</c:v>
                </c:pt>
                <c:pt idx="116">
                  <c:v>34</c:v>
                </c:pt>
                <c:pt idx="117">
                  <c:v>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8D5F-4625-90FC-D36593AE4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27744"/>
        <c:axId val="119342208"/>
      </c:scatterChart>
      <c:valAx>
        <c:axId val="119327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Year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342208"/>
        <c:crosses val="autoZero"/>
        <c:crossBetween val="midCat"/>
      </c:valAx>
      <c:valAx>
        <c:axId val="119342208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Events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3277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tx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Sussex: </a:t>
            </a:r>
            <a:r>
              <a:rPr lang="en-US"/>
              <a:t>Total Precip Within Bins (Small)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0.03 - 0.10</c:v>
          </c:tx>
          <c:spPr>
            <a:ln w="28575"/>
          </c:spPr>
          <c:marker>
            <c:symbol val="none"/>
          </c:marker>
          <c:trendline>
            <c:spPr>
              <a:ln w="28575">
                <a:solidFill>
                  <a:schemeClr val="accent1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4458220890607708E-2"/>
                  <c:y val="5.165215395682818E-3"/>
                </c:manualLayout>
              </c:layout>
              <c:numFmt formatCode="General" sourceLinked="0"/>
            </c:trendlineLbl>
          </c:trendline>
          <c:xVal>
            <c:numRef>
              <c:f>'SS AOE'!$A$2:$A$119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'SS AOE'!$B$2:$B$119</c:f>
              <c:numCache>
                <c:formatCode>General</c:formatCode>
                <c:ptCount val="118"/>
                <c:pt idx="0">
                  <c:v>1.1299999999999999</c:v>
                </c:pt>
                <c:pt idx="1">
                  <c:v>2.06</c:v>
                </c:pt>
                <c:pt idx="2">
                  <c:v>2.77</c:v>
                </c:pt>
                <c:pt idx="3">
                  <c:v>1.42</c:v>
                </c:pt>
                <c:pt idx="4">
                  <c:v>1.64</c:v>
                </c:pt>
                <c:pt idx="5">
                  <c:v>1.97</c:v>
                </c:pt>
                <c:pt idx="6">
                  <c:v>1.0900000000000001</c:v>
                </c:pt>
                <c:pt idx="7">
                  <c:v>2.13</c:v>
                </c:pt>
                <c:pt idx="8">
                  <c:v>1.54</c:v>
                </c:pt>
                <c:pt idx="9">
                  <c:v>2.4</c:v>
                </c:pt>
                <c:pt idx="10">
                  <c:v>1.17</c:v>
                </c:pt>
                <c:pt idx="11">
                  <c:v>1.59</c:v>
                </c:pt>
                <c:pt idx="12">
                  <c:v>0.97</c:v>
                </c:pt>
                <c:pt idx="13">
                  <c:v>1.82</c:v>
                </c:pt>
                <c:pt idx="14">
                  <c:v>1.91</c:v>
                </c:pt>
                <c:pt idx="15">
                  <c:v>1.29</c:v>
                </c:pt>
                <c:pt idx="16">
                  <c:v>1.08</c:v>
                </c:pt>
                <c:pt idx="17">
                  <c:v>0.88</c:v>
                </c:pt>
                <c:pt idx="18">
                  <c:v>0.94</c:v>
                </c:pt>
                <c:pt idx="19">
                  <c:v>0.39</c:v>
                </c:pt>
                <c:pt idx="20">
                  <c:v>0.54</c:v>
                </c:pt>
                <c:pt idx="21">
                  <c:v>1.38</c:v>
                </c:pt>
                <c:pt idx="22">
                  <c:v>1.3</c:v>
                </c:pt>
                <c:pt idx="23">
                  <c:v>0.52</c:v>
                </c:pt>
                <c:pt idx="24">
                  <c:v>1.44</c:v>
                </c:pt>
                <c:pt idx="25">
                  <c:v>1.66</c:v>
                </c:pt>
                <c:pt idx="26">
                  <c:v>1.1399999999999999</c:v>
                </c:pt>
                <c:pt idx="27">
                  <c:v>1.87</c:v>
                </c:pt>
                <c:pt idx="28">
                  <c:v>1.51</c:v>
                </c:pt>
                <c:pt idx="29">
                  <c:v>2.04</c:v>
                </c:pt>
                <c:pt idx="30">
                  <c:v>0.81</c:v>
                </c:pt>
                <c:pt idx="31">
                  <c:v>1.82</c:v>
                </c:pt>
                <c:pt idx="32">
                  <c:v>1.64</c:v>
                </c:pt>
                <c:pt idx="33">
                  <c:v>2.14</c:v>
                </c:pt>
                <c:pt idx="34">
                  <c:v>0.99</c:v>
                </c:pt>
                <c:pt idx="35">
                  <c:v>1.1000000000000001</c:v>
                </c:pt>
                <c:pt idx="36">
                  <c:v>1.57</c:v>
                </c:pt>
                <c:pt idx="37">
                  <c:v>1.42</c:v>
                </c:pt>
                <c:pt idx="38">
                  <c:v>1.31</c:v>
                </c:pt>
                <c:pt idx="39">
                  <c:v>0.68</c:v>
                </c:pt>
                <c:pt idx="40">
                  <c:v>2.0299999999999998</c:v>
                </c:pt>
                <c:pt idx="41">
                  <c:v>0.93</c:v>
                </c:pt>
                <c:pt idx="42">
                  <c:v>2.06</c:v>
                </c:pt>
                <c:pt idx="43">
                  <c:v>1.95</c:v>
                </c:pt>
                <c:pt idx="44">
                  <c:v>2.35</c:v>
                </c:pt>
                <c:pt idx="45">
                  <c:v>2.7</c:v>
                </c:pt>
                <c:pt idx="46">
                  <c:v>1.98</c:v>
                </c:pt>
                <c:pt idx="47">
                  <c:v>1.46</c:v>
                </c:pt>
                <c:pt idx="48">
                  <c:v>2.67</c:v>
                </c:pt>
                <c:pt idx="49">
                  <c:v>1.91</c:v>
                </c:pt>
                <c:pt idx="50">
                  <c:v>2.65</c:v>
                </c:pt>
                <c:pt idx="51">
                  <c:v>1.72</c:v>
                </c:pt>
                <c:pt idx="52">
                  <c:v>1.81</c:v>
                </c:pt>
                <c:pt idx="53">
                  <c:v>1.55</c:v>
                </c:pt>
                <c:pt idx="54">
                  <c:v>0.86</c:v>
                </c:pt>
                <c:pt idx="55">
                  <c:v>1.85</c:v>
                </c:pt>
                <c:pt idx="56">
                  <c:v>1.99</c:v>
                </c:pt>
                <c:pt idx="57">
                  <c:v>2.21</c:v>
                </c:pt>
                <c:pt idx="58">
                  <c:v>2.37</c:v>
                </c:pt>
                <c:pt idx="59">
                  <c:v>2.82</c:v>
                </c:pt>
                <c:pt idx="60">
                  <c:v>1.89</c:v>
                </c:pt>
                <c:pt idx="61">
                  <c:v>1.4</c:v>
                </c:pt>
                <c:pt idx="62">
                  <c:v>2.06</c:v>
                </c:pt>
                <c:pt idx="63">
                  <c:v>1.1399999999999999</c:v>
                </c:pt>
                <c:pt idx="64">
                  <c:v>2.23</c:v>
                </c:pt>
                <c:pt idx="65">
                  <c:v>2.36</c:v>
                </c:pt>
                <c:pt idx="66">
                  <c:v>2.4</c:v>
                </c:pt>
                <c:pt idx="67">
                  <c:v>2.1</c:v>
                </c:pt>
                <c:pt idx="68">
                  <c:v>1.81</c:v>
                </c:pt>
                <c:pt idx="69">
                  <c:v>2.13</c:v>
                </c:pt>
                <c:pt idx="70">
                  <c:v>2.27</c:v>
                </c:pt>
                <c:pt idx="71">
                  <c:v>1.94</c:v>
                </c:pt>
                <c:pt idx="72">
                  <c:v>1.82</c:v>
                </c:pt>
                <c:pt idx="73">
                  <c:v>1.86</c:v>
                </c:pt>
                <c:pt idx="74">
                  <c:v>1.95</c:v>
                </c:pt>
                <c:pt idx="75">
                  <c:v>2.14</c:v>
                </c:pt>
                <c:pt idx="76">
                  <c:v>1.67</c:v>
                </c:pt>
                <c:pt idx="77">
                  <c:v>2.04</c:v>
                </c:pt>
                <c:pt idx="78">
                  <c:v>2</c:v>
                </c:pt>
                <c:pt idx="79">
                  <c:v>1.72</c:v>
                </c:pt>
                <c:pt idx="80">
                  <c:v>1.87</c:v>
                </c:pt>
                <c:pt idx="81">
                  <c:v>2.1</c:v>
                </c:pt>
                <c:pt idx="82">
                  <c:v>1.31</c:v>
                </c:pt>
                <c:pt idx="83">
                  <c:v>1.72</c:v>
                </c:pt>
                <c:pt idx="84">
                  <c:v>1.98</c:v>
                </c:pt>
                <c:pt idx="85">
                  <c:v>2.42</c:v>
                </c:pt>
                <c:pt idx="86">
                  <c:v>1.3</c:v>
                </c:pt>
                <c:pt idx="87">
                  <c:v>2.46</c:v>
                </c:pt>
                <c:pt idx="88">
                  <c:v>1.47</c:v>
                </c:pt>
                <c:pt idx="89">
                  <c:v>2.79</c:v>
                </c:pt>
                <c:pt idx="90">
                  <c:v>2.0099999999999998</c:v>
                </c:pt>
                <c:pt idx="91">
                  <c:v>2.6699999999999902</c:v>
                </c:pt>
                <c:pt idx="92">
                  <c:v>1.63</c:v>
                </c:pt>
                <c:pt idx="93">
                  <c:v>2.15</c:v>
                </c:pt>
                <c:pt idx="94">
                  <c:v>0.94</c:v>
                </c:pt>
                <c:pt idx="95">
                  <c:v>1.69</c:v>
                </c:pt>
                <c:pt idx="96">
                  <c:v>2.27</c:v>
                </c:pt>
                <c:pt idx="97">
                  <c:v>1.19</c:v>
                </c:pt>
                <c:pt idx="98">
                  <c:v>1.71</c:v>
                </c:pt>
                <c:pt idx="99">
                  <c:v>2</c:v>
                </c:pt>
                <c:pt idx="100">
                  <c:v>1.9</c:v>
                </c:pt>
                <c:pt idx="101">
                  <c:v>1.8</c:v>
                </c:pt>
                <c:pt idx="102">
                  <c:v>2.12</c:v>
                </c:pt>
                <c:pt idx="103">
                  <c:v>2.4700000000000002</c:v>
                </c:pt>
                <c:pt idx="104">
                  <c:v>2.11</c:v>
                </c:pt>
                <c:pt idx="105">
                  <c:v>1.89</c:v>
                </c:pt>
                <c:pt idx="106">
                  <c:v>1.47</c:v>
                </c:pt>
                <c:pt idx="107">
                  <c:v>1.38</c:v>
                </c:pt>
                <c:pt idx="108">
                  <c:v>1.87</c:v>
                </c:pt>
                <c:pt idx="109">
                  <c:v>1.55</c:v>
                </c:pt>
                <c:pt idx="110">
                  <c:v>1.73</c:v>
                </c:pt>
                <c:pt idx="111">
                  <c:v>1.54</c:v>
                </c:pt>
                <c:pt idx="112">
                  <c:v>1.68</c:v>
                </c:pt>
                <c:pt idx="113">
                  <c:v>1.92</c:v>
                </c:pt>
                <c:pt idx="114">
                  <c:v>2.23</c:v>
                </c:pt>
                <c:pt idx="115">
                  <c:v>1.71</c:v>
                </c:pt>
                <c:pt idx="116">
                  <c:v>1.89</c:v>
                </c:pt>
                <c:pt idx="117">
                  <c:v>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CDB-4BE1-A156-6594B8953384}"/>
            </c:ext>
          </c:extLst>
        </c:ser>
        <c:ser>
          <c:idx val="1"/>
          <c:order val="1"/>
          <c:tx>
            <c:v>0.11 - 0.25</c:v>
          </c:tx>
          <c:spPr>
            <a:ln w="28575"/>
          </c:spPr>
          <c:marker>
            <c:symbol val="none"/>
          </c:marker>
          <c:trendline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6411108029613293E-2"/>
                  <c:y val="-6.043007580286597E-4"/>
                </c:manualLayout>
              </c:layout>
              <c:numFmt formatCode="General" sourceLinked="0"/>
            </c:trendlineLbl>
          </c:trendline>
          <c:xVal>
            <c:numRef>
              <c:f>'SS AOE'!$A$2:$A$119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'SS AOE'!$C$2:$C$119</c:f>
              <c:numCache>
                <c:formatCode>General</c:formatCode>
                <c:ptCount val="118"/>
                <c:pt idx="0">
                  <c:v>2.88</c:v>
                </c:pt>
                <c:pt idx="1">
                  <c:v>2.4099999999999899</c:v>
                </c:pt>
                <c:pt idx="2">
                  <c:v>4.07</c:v>
                </c:pt>
                <c:pt idx="3">
                  <c:v>5.32</c:v>
                </c:pt>
                <c:pt idx="4">
                  <c:v>4.8899999999999997</c:v>
                </c:pt>
                <c:pt idx="5">
                  <c:v>6.26</c:v>
                </c:pt>
                <c:pt idx="6">
                  <c:v>2.8499999999999899</c:v>
                </c:pt>
                <c:pt idx="7">
                  <c:v>5.1499999999999897</c:v>
                </c:pt>
                <c:pt idx="8">
                  <c:v>3.85</c:v>
                </c:pt>
                <c:pt idx="9">
                  <c:v>4.7699999999999996</c:v>
                </c:pt>
                <c:pt idx="10">
                  <c:v>3.46999999999999</c:v>
                </c:pt>
                <c:pt idx="11">
                  <c:v>4.4099999999999904</c:v>
                </c:pt>
                <c:pt idx="12">
                  <c:v>4.6399999999999997</c:v>
                </c:pt>
                <c:pt idx="13">
                  <c:v>5.37</c:v>
                </c:pt>
                <c:pt idx="14">
                  <c:v>3.95</c:v>
                </c:pt>
                <c:pt idx="15">
                  <c:v>3.78</c:v>
                </c:pt>
                <c:pt idx="16">
                  <c:v>4.82</c:v>
                </c:pt>
                <c:pt idx="17">
                  <c:v>4.6399999999999997</c:v>
                </c:pt>
                <c:pt idx="18">
                  <c:v>2.61</c:v>
                </c:pt>
                <c:pt idx="19">
                  <c:v>1.6</c:v>
                </c:pt>
                <c:pt idx="20">
                  <c:v>4.0599999999999996</c:v>
                </c:pt>
                <c:pt idx="21">
                  <c:v>4.45</c:v>
                </c:pt>
                <c:pt idx="22">
                  <c:v>3.03</c:v>
                </c:pt>
                <c:pt idx="23">
                  <c:v>1.92</c:v>
                </c:pt>
                <c:pt idx="24">
                  <c:v>4.2699999999999996</c:v>
                </c:pt>
                <c:pt idx="25">
                  <c:v>3.69</c:v>
                </c:pt>
                <c:pt idx="26">
                  <c:v>4.46</c:v>
                </c:pt>
                <c:pt idx="27">
                  <c:v>4.78</c:v>
                </c:pt>
                <c:pt idx="28">
                  <c:v>5</c:v>
                </c:pt>
                <c:pt idx="29">
                  <c:v>3.8</c:v>
                </c:pt>
                <c:pt idx="30">
                  <c:v>4.51</c:v>
                </c:pt>
                <c:pt idx="31">
                  <c:v>3</c:v>
                </c:pt>
                <c:pt idx="32">
                  <c:v>3.37</c:v>
                </c:pt>
                <c:pt idx="33">
                  <c:v>2.76</c:v>
                </c:pt>
                <c:pt idx="34">
                  <c:v>3.94</c:v>
                </c:pt>
                <c:pt idx="35">
                  <c:v>4.5199999999999996</c:v>
                </c:pt>
                <c:pt idx="36">
                  <c:v>5.29</c:v>
                </c:pt>
                <c:pt idx="37">
                  <c:v>4.38</c:v>
                </c:pt>
                <c:pt idx="38">
                  <c:v>4.18</c:v>
                </c:pt>
                <c:pt idx="39">
                  <c:v>1.45</c:v>
                </c:pt>
                <c:pt idx="40">
                  <c:v>4.8</c:v>
                </c:pt>
                <c:pt idx="41">
                  <c:v>5.53</c:v>
                </c:pt>
                <c:pt idx="42">
                  <c:v>3.8</c:v>
                </c:pt>
                <c:pt idx="43">
                  <c:v>5.64</c:v>
                </c:pt>
                <c:pt idx="44">
                  <c:v>4.0599999999999996</c:v>
                </c:pt>
                <c:pt idx="45">
                  <c:v>5.0599999999999996</c:v>
                </c:pt>
                <c:pt idx="46">
                  <c:v>5.31</c:v>
                </c:pt>
                <c:pt idx="47">
                  <c:v>4.45</c:v>
                </c:pt>
                <c:pt idx="48">
                  <c:v>5.84</c:v>
                </c:pt>
                <c:pt idx="49">
                  <c:v>6.54</c:v>
                </c:pt>
                <c:pt idx="50">
                  <c:v>6.43</c:v>
                </c:pt>
                <c:pt idx="51">
                  <c:v>3.51</c:v>
                </c:pt>
                <c:pt idx="52">
                  <c:v>4.88</c:v>
                </c:pt>
                <c:pt idx="53">
                  <c:v>2.15</c:v>
                </c:pt>
                <c:pt idx="54">
                  <c:v>2.21999999999999</c:v>
                </c:pt>
                <c:pt idx="55">
                  <c:v>4.3499999999999996</c:v>
                </c:pt>
                <c:pt idx="56">
                  <c:v>6.16</c:v>
                </c:pt>
                <c:pt idx="57">
                  <c:v>5.91</c:v>
                </c:pt>
                <c:pt idx="58">
                  <c:v>5.71</c:v>
                </c:pt>
                <c:pt idx="59">
                  <c:v>4.08</c:v>
                </c:pt>
                <c:pt idx="60">
                  <c:v>5.14</c:v>
                </c:pt>
                <c:pt idx="61">
                  <c:v>7.8</c:v>
                </c:pt>
                <c:pt idx="62">
                  <c:v>4.7699999999999996</c:v>
                </c:pt>
                <c:pt idx="63">
                  <c:v>3.1399999999999899</c:v>
                </c:pt>
                <c:pt idx="64">
                  <c:v>3.25999999999999</c:v>
                </c:pt>
                <c:pt idx="65">
                  <c:v>3.01</c:v>
                </c:pt>
                <c:pt idx="66">
                  <c:v>3.77</c:v>
                </c:pt>
                <c:pt idx="67">
                  <c:v>4.99</c:v>
                </c:pt>
                <c:pt idx="68">
                  <c:v>4.68</c:v>
                </c:pt>
                <c:pt idx="69">
                  <c:v>3.83</c:v>
                </c:pt>
                <c:pt idx="70">
                  <c:v>4.24</c:v>
                </c:pt>
                <c:pt idx="71">
                  <c:v>5.35</c:v>
                </c:pt>
                <c:pt idx="72">
                  <c:v>6.04</c:v>
                </c:pt>
                <c:pt idx="73">
                  <c:v>4.05</c:v>
                </c:pt>
                <c:pt idx="74">
                  <c:v>4.75</c:v>
                </c:pt>
                <c:pt idx="75">
                  <c:v>5.25</c:v>
                </c:pt>
                <c:pt idx="76">
                  <c:v>4.2300000000000004</c:v>
                </c:pt>
                <c:pt idx="77">
                  <c:v>4.51</c:v>
                </c:pt>
                <c:pt idx="78">
                  <c:v>4.84</c:v>
                </c:pt>
                <c:pt idx="79">
                  <c:v>5.88</c:v>
                </c:pt>
                <c:pt idx="80">
                  <c:v>4.78</c:v>
                </c:pt>
                <c:pt idx="81">
                  <c:v>4.42</c:v>
                </c:pt>
                <c:pt idx="82">
                  <c:v>5.35</c:v>
                </c:pt>
                <c:pt idx="83">
                  <c:v>3.77</c:v>
                </c:pt>
                <c:pt idx="84">
                  <c:v>2.96999999999999</c:v>
                </c:pt>
                <c:pt idx="85">
                  <c:v>4.1500000000000004</c:v>
                </c:pt>
                <c:pt idx="86">
                  <c:v>4.0599999999999996</c:v>
                </c:pt>
                <c:pt idx="87">
                  <c:v>3.56</c:v>
                </c:pt>
                <c:pt idx="88">
                  <c:v>4.68</c:v>
                </c:pt>
                <c:pt idx="89">
                  <c:v>5.49</c:v>
                </c:pt>
                <c:pt idx="90">
                  <c:v>7.04</c:v>
                </c:pt>
                <c:pt idx="91">
                  <c:v>3.65</c:v>
                </c:pt>
                <c:pt idx="92">
                  <c:v>5</c:v>
                </c:pt>
                <c:pt idx="93">
                  <c:v>4.4800000000000004</c:v>
                </c:pt>
                <c:pt idx="94">
                  <c:v>3.03</c:v>
                </c:pt>
                <c:pt idx="95">
                  <c:v>4.16</c:v>
                </c:pt>
                <c:pt idx="96">
                  <c:v>6.52</c:v>
                </c:pt>
                <c:pt idx="97">
                  <c:v>6.1</c:v>
                </c:pt>
                <c:pt idx="98">
                  <c:v>2.62</c:v>
                </c:pt>
                <c:pt idx="99">
                  <c:v>3.61</c:v>
                </c:pt>
                <c:pt idx="100">
                  <c:v>5.0399999999999903</c:v>
                </c:pt>
                <c:pt idx="101">
                  <c:v>4.2300000000000004</c:v>
                </c:pt>
                <c:pt idx="102">
                  <c:v>3.99</c:v>
                </c:pt>
                <c:pt idx="103">
                  <c:v>6.94</c:v>
                </c:pt>
                <c:pt idx="104">
                  <c:v>4.3</c:v>
                </c:pt>
                <c:pt idx="105">
                  <c:v>3.76</c:v>
                </c:pt>
                <c:pt idx="106">
                  <c:v>4.9000000000000004</c:v>
                </c:pt>
                <c:pt idx="107">
                  <c:v>4.3199999999999896</c:v>
                </c:pt>
                <c:pt idx="108">
                  <c:v>6.0699999999999896</c:v>
                </c:pt>
                <c:pt idx="109">
                  <c:v>6.2</c:v>
                </c:pt>
                <c:pt idx="110">
                  <c:v>2.75</c:v>
                </c:pt>
                <c:pt idx="111">
                  <c:v>5.9</c:v>
                </c:pt>
                <c:pt idx="112">
                  <c:v>5.04</c:v>
                </c:pt>
                <c:pt idx="113">
                  <c:v>4.05</c:v>
                </c:pt>
                <c:pt idx="114">
                  <c:v>4.8299999999999903</c:v>
                </c:pt>
                <c:pt idx="115">
                  <c:v>5.1499999999999897</c:v>
                </c:pt>
                <c:pt idx="116">
                  <c:v>4</c:v>
                </c:pt>
                <c:pt idx="117">
                  <c:v>5.28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CDB-4BE1-A156-6594B8953384}"/>
            </c:ext>
          </c:extLst>
        </c:ser>
        <c:ser>
          <c:idx val="2"/>
          <c:order val="2"/>
          <c:tx>
            <c:v>0.26 - 0.50</c:v>
          </c:tx>
          <c:spPr>
            <a:ln w="28575"/>
          </c:spPr>
          <c:marker>
            <c:symbol val="none"/>
          </c:marker>
          <c:trendline>
            <c:spPr>
              <a:ln w="28575">
                <a:solidFill>
                  <a:schemeClr val="accent3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8533401187736407E-2"/>
                  <c:y val="1.0169562588543712E-2"/>
                </c:manualLayout>
              </c:layout>
              <c:numFmt formatCode="General" sourceLinked="0"/>
            </c:trendlineLbl>
          </c:trendline>
          <c:xVal>
            <c:numRef>
              <c:f>'SS AOE'!$A$2:$A$119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'SS AOE'!$D$2:$D$119</c:f>
              <c:numCache>
                <c:formatCode>General</c:formatCode>
                <c:ptCount val="118"/>
                <c:pt idx="0">
                  <c:v>6</c:v>
                </c:pt>
                <c:pt idx="1">
                  <c:v>5.5799999999999903</c:v>
                </c:pt>
                <c:pt idx="2">
                  <c:v>7.48</c:v>
                </c:pt>
                <c:pt idx="3">
                  <c:v>8.8799999999999901</c:v>
                </c:pt>
                <c:pt idx="4">
                  <c:v>7.7099999999999902</c:v>
                </c:pt>
                <c:pt idx="5">
                  <c:v>13.24</c:v>
                </c:pt>
                <c:pt idx="6">
                  <c:v>10.7699999999999</c:v>
                </c:pt>
                <c:pt idx="7">
                  <c:v>4.9000000000000004</c:v>
                </c:pt>
                <c:pt idx="8">
                  <c:v>8.3399999999999892</c:v>
                </c:pt>
                <c:pt idx="9">
                  <c:v>5.96</c:v>
                </c:pt>
                <c:pt idx="10">
                  <c:v>5.16</c:v>
                </c:pt>
                <c:pt idx="11">
                  <c:v>9.4799999999999898</c:v>
                </c:pt>
                <c:pt idx="12">
                  <c:v>8.66</c:v>
                </c:pt>
                <c:pt idx="13">
                  <c:v>10.069999999999901</c:v>
                </c:pt>
                <c:pt idx="14">
                  <c:v>7.31</c:v>
                </c:pt>
                <c:pt idx="15">
                  <c:v>8.16</c:v>
                </c:pt>
                <c:pt idx="16">
                  <c:v>9.21999999999999</c:v>
                </c:pt>
                <c:pt idx="17">
                  <c:v>6.69</c:v>
                </c:pt>
                <c:pt idx="18">
                  <c:v>4.7699999999999996</c:v>
                </c:pt>
                <c:pt idx="19">
                  <c:v>3.3499999999999899</c:v>
                </c:pt>
                <c:pt idx="20">
                  <c:v>4.63</c:v>
                </c:pt>
                <c:pt idx="21">
                  <c:v>8.24</c:v>
                </c:pt>
                <c:pt idx="22">
                  <c:v>7.3999999999999897</c:v>
                </c:pt>
                <c:pt idx="23">
                  <c:v>4.3699999999999903</c:v>
                </c:pt>
                <c:pt idx="24">
                  <c:v>7.61</c:v>
                </c:pt>
                <c:pt idx="25">
                  <c:v>7.0799999999999903</c:v>
                </c:pt>
                <c:pt idx="26">
                  <c:v>11.4599999999999</c:v>
                </c:pt>
                <c:pt idx="27">
                  <c:v>8.08</c:v>
                </c:pt>
                <c:pt idx="28">
                  <c:v>6.58</c:v>
                </c:pt>
                <c:pt idx="29">
                  <c:v>11.45</c:v>
                </c:pt>
                <c:pt idx="30">
                  <c:v>10.82</c:v>
                </c:pt>
                <c:pt idx="31">
                  <c:v>10.83</c:v>
                </c:pt>
                <c:pt idx="32">
                  <c:v>6.49</c:v>
                </c:pt>
                <c:pt idx="33">
                  <c:v>6.7</c:v>
                </c:pt>
                <c:pt idx="34">
                  <c:v>5.0199999999999996</c:v>
                </c:pt>
                <c:pt idx="35">
                  <c:v>7.85</c:v>
                </c:pt>
                <c:pt idx="36">
                  <c:v>8.69</c:v>
                </c:pt>
                <c:pt idx="37">
                  <c:v>6.15</c:v>
                </c:pt>
                <c:pt idx="38">
                  <c:v>8.5399999999999991</c:v>
                </c:pt>
                <c:pt idx="39">
                  <c:v>3.3199999999999901</c:v>
                </c:pt>
                <c:pt idx="40">
                  <c:v>6.89</c:v>
                </c:pt>
                <c:pt idx="41">
                  <c:v>8.52</c:v>
                </c:pt>
                <c:pt idx="42">
                  <c:v>8.32</c:v>
                </c:pt>
                <c:pt idx="43">
                  <c:v>6.8</c:v>
                </c:pt>
                <c:pt idx="44">
                  <c:v>5.65</c:v>
                </c:pt>
                <c:pt idx="45">
                  <c:v>12.66</c:v>
                </c:pt>
                <c:pt idx="46">
                  <c:v>7.39</c:v>
                </c:pt>
                <c:pt idx="47">
                  <c:v>10.989999999999901</c:v>
                </c:pt>
                <c:pt idx="48">
                  <c:v>9.6199999999999992</c:v>
                </c:pt>
                <c:pt idx="49">
                  <c:v>11.04</c:v>
                </c:pt>
                <c:pt idx="50">
                  <c:v>12.2</c:v>
                </c:pt>
                <c:pt idx="51">
                  <c:v>11.7899999999999</c:v>
                </c:pt>
                <c:pt idx="52">
                  <c:v>6.7399999999999904</c:v>
                </c:pt>
                <c:pt idx="53">
                  <c:v>9.7399999999999896</c:v>
                </c:pt>
                <c:pt idx="54">
                  <c:v>2.37</c:v>
                </c:pt>
                <c:pt idx="55">
                  <c:v>8.3399999999999892</c:v>
                </c:pt>
                <c:pt idx="56">
                  <c:v>10.45</c:v>
                </c:pt>
                <c:pt idx="57">
                  <c:v>7.79</c:v>
                </c:pt>
                <c:pt idx="58">
                  <c:v>7.79</c:v>
                </c:pt>
                <c:pt idx="59">
                  <c:v>9.68</c:v>
                </c:pt>
                <c:pt idx="60">
                  <c:v>10.41</c:v>
                </c:pt>
                <c:pt idx="61">
                  <c:v>11.62</c:v>
                </c:pt>
                <c:pt idx="62">
                  <c:v>6.5199999999999898</c:v>
                </c:pt>
                <c:pt idx="63">
                  <c:v>10.08</c:v>
                </c:pt>
                <c:pt idx="64">
                  <c:v>7.07</c:v>
                </c:pt>
                <c:pt idx="65">
                  <c:v>6.41</c:v>
                </c:pt>
                <c:pt idx="66">
                  <c:v>6.91</c:v>
                </c:pt>
                <c:pt idx="67">
                  <c:v>6.3099999999999898</c:v>
                </c:pt>
                <c:pt idx="68">
                  <c:v>5.8</c:v>
                </c:pt>
                <c:pt idx="69">
                  <c:v>6.62</c:v>
                </c:pt>
                <c:pt idx="70">
                  <c:v>7.7699999999999898</c:v>
                </c:pt>
                <c:pt idx="71">
                  <c:v>9.4499999999999904</c:v>
                </c:pt>
                <c:pt idx="72">
                  <c:v>10.47</c:v>
                </c:pt>
                <c:pt idx="73">
                  <c:v>10.6299999999999</c:v>
                </c:pt>
                <c:pt idx="74">
                  <c:v>9.9499999999999993</c:v>
                </c:pt>
                <c:pt idx="75">
                  <c:v>12.1999999999999</c:v>
                </c:pt>
                <c:pt idx="76">
                  <c:v>8.3999999999999897</c:v>
                </c:pt>
                <c:pt idx="77">
                  <c:v>8.1</c:v>
                </c:pt>
                <c:pt idx="78">
                  <c:v>8.6</c:v>
                </c:pt>
                <c:pt idx="79">
                  <c:v>9.5299999999999994</c:v>
                </c:pt>
                <c:pt idx="80">
                  <c:v>5.46</c:v>
                </c:pt>
                <c:pt idx="81">
                  <c:v>6.51</c:v>
                </c:pt>
                <c:pt idx="82">
                  <c:v>5.3799999999999901</c:v>
                </c:pt>
                <c:pt idx="83">
                  <c:v>6.32</c:v>
                </c:pt>
                <c:pt idx="84">
                  <c:v>8.5399999999999991</c:v>
                </c:pt>
                <c:pt idx="85">
                  <c:v>6.8699999999999903</c:v>
                </c:pt>
                <c:pt idx="86">
                  <c:v>10.77</c:v>
                </c:pt>
                <c:pt idx="87">
                  <c:v>7.68</c:v>
                </c:pt>
                <c:pt idx="88">
                  <c:v>7.76</c:v>
                </c:pt>
                <c:pt idx="89">
                  <c:v>13.0199999999999</c:v>
                </c:pt>
                <c:pt idx="90">
                  <c:v>8.0899999999999892</c:v>
                </c:pt>
                <c:pt idx="91">
                  <c:v>7.9499999999999904</c:v>
                </c:pt>
                <c:pt idx="92">
                  <c:v>7.51</c:v>
                </c:pt>
                <c:pt idx="93">
                  <c:v>6.33</c:v>
                </c:pt>
                <c:pt idx="94">
                  <c:v>6.75</c:v>
                </c:pt>
                <c:pt idx="95">
                  <c:v>4.78</c:v>
                </c:pt>
                <c:pt idx="96">
                  <c:v>8.0399999999999991</c:v>
                </c:pt>
                <c:pt idx="97">
                  <c:v>4.6999999999999904</c:v>
                </c:pt>
                <c:pt idx="98">
                  <c:v>6.39</c:v>
                </c:pt>
                <c:pt idx="99">
                  <c:v>7.89</c:v>
                </c:pt>
                <c:pt idx="100">
                  <c:v>7.68</c:v>
                </c:pt>
                <c:pt idx="101">
                  <c:v>6.2099999999999902</c:v>
                </c:pt>
                <c:pt idx="102">
                  <c:v>6.17</c:v>
                </c:pt>
                <c:pt idx="103">
                  <c:v>10.1099999999999</c:v>
                </c:pt>
                <c:pt idx="104">
                  <c:v>8.1499999999999897</c:v>
                </c:pt>
                <c:pt idx="105">
                  <c:v>9.09</c:v>
                </c:pt>
                <c:pt idx="106">
                  <c:v>8.6599999999999895</c:v>
                </c:pt>
                <c:pt idx="107">
                  <c:v>5.5199999999999898</c:v>
                </c:pt>
                <c:pt idx="108">
                  <c:v>7.64</c:v>
                </c:pt>
                <c:pt idx="109">
                  <c:v>9.57</c:v>
                </c:pt>
                <c:pt idx="110">
                  <c:v>9.5500000000000007</c:v>
                </c:pt>
                <c:pt idx="111">
                  <c:v>10.35</c:v>
                </c:pt>
                <c:pt idx="112">
                  <c:v>9.0299999999999994</c:v>
                </c:pt>
                <c:pt idx="113">
                  <c:v>7.8999999999999897</c:v>
                </c:pt>
                <c:pt idx="114">
                  <c:v>9.15</c:v>
                </c:pt>
                <c:pt idx="115">
                  <c:v>4.5</c:v>
                </c:pt>
                <c:pt idx="116">
                  <c:v>11.76</c:v>
                </c:pt>
                <c:pt idx="117">
                  <c:v>9.75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1CDB-4BE1-A156-6594B8953384}"/>
            </c:ext>
          </c:extLst>
        </c:ser>
        <c:ser>
          <c:idx val="3"/>
          <c:order val="3"/>
          <c:tx>
            <c:v>0.51 - 1.00</c:v>
          </c:tx>
          <c:spPr>
            <a:ln w="28575"/>
          </c:spPr>
          <c:marker>
            <c:symbol val="none"/>
          </c:marker>
          <c:trendline>
            <c:spPr>
              <a:ln w="38100">
                <a:solidFill>
                  <a:schemeClr val="accent4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8533401187736407E-2"/>
                  <c:y val="9.7469801353146531E-4"/>
                </c:manualLayout>
              </c:layout>
              <c:numFmt formatCode="General" sourceLinked="0"/>
            </c:trendlineLbl>
          </c:trendline>
          <c:xVal>
            <c:numRef>
              <c:f>'SS AOE'!$A$2:$A$119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'SS AOE'!$E$2:$E$119</c:f>
              <c:numCache>
                <c:formatCode>General</c:formatCode>
                <c:ptCount val="118"/>
                <c:pt idx="0">
                  <c:v>8.4499999999999993</c:v>
                </c:pt>
                <c:pt idx="1">
                  <c:v>9.6</c:v>
                </c:pt>
                <c:pt idx="2">
                  <c:v>12.36</c:v>
                </c:pt>
                <c:pt idx="3">
                  <c:v>12.81</c:v>
                </c:pt>
                <c:pt idx="4">
                  <c:v>16.43</c:v>
                </c:pt>
                <c:pt idx="5">
                  <c:v>8.8799999999999901</c:v>
                </c:pt>
                <c:pt idx="6">
                  <c:v>14.15</c:v>
                </c:pt>
                <c:pt idx="7">
                  <c:v>7.92</c:v>
                </c:pt>
                <c:pt idx="8">
                  <c:v>17.64</c:v>
                </c:pt>
                <c:pt idx="9">
                  <c:v>11.969999999999899</c:v>
                </c:pt>
                <c:pt idx="10">
                  <c:v>12.62</c:v>
                </c:pt>
                <c:pt idx="11">
                  <c:v>8.6199999999999992</c:v>
                </c:pt>
                <c:pt idx="12">
                  <c:v>12.0299999999999</c:v>
                </c:pt>
                <c:pt idx="13">
                  <c:v>14.56</c:v>
                </c:pt>
                <c:pt idx="14">
                  <c:v>14.02</c:v>
                </c:pt>
                <c:pt idx="15">
                  <c:v>12.44</c:v>
                </c:pt>
                <c:pt idx="16">
                  <c:v>10.71</c:v>
                </c:pt>
                <c:pt idx="17">
                  <c:v>13.739999999999901</c:v>
                </c:pt>
                <c:pt idx="18">
                  <c:v>11.86</c:v>
                </c:pt>
                <c:pt idx="19">
                  <c:v>9.6</c:v>
                </c:pt>
                <c:pt idx="20">
                  <c:v>14.92</c:v>
                </c:pt>
                <c:pt idx="21">
                  <c:v>11.64</c:v>
                </c:pt>
                <c:pt idx="22">
                  <c:v>10.48</c:v>
                </c:pt>
                <c:pt idx="23">
                  <c:v>2.79</c:v>
                </c:pt>
                <c:pt idx="24">
                  <c:v>8.24</c:v>
                </c:pt>
                <c:pt idx="25">
                  <c:v>18.079999999999998</c:v>
                </c:pt>
                <c:pt idx="26">
                  <c:v>7.43</c:v>
                </c:pt>
                <c:pt idx="27">
                  <c:v>15.079999999999901</c:v>
                </c:pt>
                <c:pt idx="28">
                  <c:v>14.6299999999999</c:v>
                </c:pt>
                <c:pt idx="29">
                  <c:v>12.91</c:v>
                </c:pt>
                <c:pt idx="30">
                  <c:v>7.7299999999999898</c:v>
                </c:pt>
                <c:pt idx="31">
                  <c:v>9.69</c:v>
                </c:pt>
                <c:pt idx="32">
                  <c:v>11.39</c:v>
                </c:pt>
                <c:pt idx="33">
                  <c:v>11.9</c:v>
                </c:pt>
                <c:pt idx="34">
                  <c:v>11.7</c:v>
                </c:pt>
                <c:pt idx="35">
                  <c:v>11.05</c:v>
                </c:pt>
                <c:pt idx="36">
                  <c:v>13.3399999999999</c:v>
                </c:pt>
                <c:pt idx="37">
                  <c:v>11.559999999999899</c:v>
                </c:pt>
                <c:pt idx="38">
                  <c:v>13.01</c:v>
                </c:pt>
                <c:pt idx="39">
                  <c:v>7.36</c:v>
                </c:pt>
                <c:pt idx="40">
                  <c:v>19.749999999999901</c:v>
                </c:pt>
                <c:pt idx="41">
                  <c:v>9.9499999999999993</c:v>
                </c:pt>
                <c:pt idx="42">
                  <c:v>22.8</c:v>
                </c:pt>
                <c:pt idx="43">
                  <c:v>11.3799999999999</c:v>
                </c:pt>
                <c:pt idx="44">
                  <c:v>16.62</c:v>
                </c:pt>
                <c:pt idx="45">
                  <c:v>13.1</c:v>
                </c:pt>
                <c:pt idx="46">
                  <c:v>10.6299999999999</c:v>
                </c:pt>
                <c:pt idx="47">
                  <c:v>11.7</c:v>
                </c:pt>
                <c:pt idx="48">
                  <c:v>17.89</c:v>
                </c:pt>
                <c:pt idx="49">
                  <c:v>14.7699999999999</c:v>
                </c:pt>
                <c:pt idx="50">
                  <c:v>17.309999999999999</c:v>
                </c:pt>
                <c:pt idx="51">
                  <c:v>13.639999999999899</c:v>
                </c:pt>
                <c:pt idx="52">
                  <c:v>12.12</c:v>
                </c:pt>
                <c:pt idx="53">
                  <c:v>9.9599999999999902</c:v>
                </c:pt>
                <c:pt idx="54">
                  <c:v>7.75</c:v>
                </c:pt>
                <c:pt idx="55">
                  <c:v>6.41</c:v>
                </c:pt>
                <c:pt idx="56">
                  <c:v>14.95</c:v>
                </c:pt>
                <c:pt idx="57">
                  <c:v>11.21</c:v>
                </c:pt>
                <c:pt idx="58">
                  <c:v>13.9499999999999</c:v>
                </c:pt>
                <c:pt idx="59">
                  <c:v>14.12</c:v>
                </c:pt>
                <c:pt idx="60">
                  <c:v>11.6299999999999</c:v>
                </c:pt>
                <c:pt idx="61">
                  <c:v>15.6799999999999</c:v>
                </c:pt>
                <c:pt idx="62">
                  <c:v>12.8499999999999</c:v>
                </c:pt>
                <c:pt idx="63">
                  <c:v>5.77</c:v>
                </c:pt>
                <c:pt idx="64">
                  <c:v>9.52</c:v>
                </c:pt>
                <c:pt idx="65">
                  <c:v>16.399999999999999</c:v>
                </c:pt>
                <c:pt idx="66">
                  <c:v>10.41</c:v>
                </c:pt>
                <c:pt idx="67">
                  <c:v>14.25</c:v>
                </c:pt>
                <c:pt idx="68">
                  <c:v>13.719999999999899</c:v>
                </c:pt>
                <c:pt idx="69">
                  <c:v>15.93</c:v>
                </c:pt>
                <c:pt idx="70">
                  <c:v>20.190000000000001</c:v>
                </c:pt>
                <c:pt idx="71">
                  <c:v>14.31</c:v>
                </c:pt>
                <c:pt idx="72">
                  <c:v>18.189999999999898</c:v>
                </c:pt>
                <c:pt idx="73">
                  <c:v>15.51</c:v>
                </c:pt>
                <c:pt idx="74">
                  <c:v>19.319999999999901</c:v>
                </c:pt>
                <c:pt idx="75">
                  <c:v>11.2699999999999</c:v>
                </c:pt>
                <c:pt idx="76">
                  <c:v>19.649999999999899</c:v>
                </c:pt>
                <c:pt idx="77">
                  <c:v>14.99</c:v>
                </c:pt>
                <c:pt idx="78">
                  <c:v>9.82</c:v>
                </c:pt>
                <c:pt idx="79">
                  <c:v>13.799999999999899</c:v>
                </c:pt>
                <c:pt idx="80">
                  <c:v>11.2599999999999</c:v>
                </c:pt>
                <c:pt idx="81">
                  <c:v>12.299999999999899</c:v>
                </c:pt>
                <c:pt idx="82">
                  <c:v>11.88</c:v>
                </c:pt>
                <c:pt idx="83">
                  <c:v>15.97</c:v>
                </c:pt>
                <c:pt idx="84">
                  <c:v>18.21</c:v>
                </c:pt>
                <c:pt idx="85">
                  <c:v>11.489999999999901</c:v>
                </c:pt>
                <c:pt idx="86">
                  <c:v>13.12</c:v>
                </c:pt>
                <c:pt idx="87">
                  <c:v>11.7</c:v>
                </c:pt>
                <c:pt idx="88">
                  <c:v>12.92</c:v>
                </c:pt>
                <c:pt idx="89">
                  <c:v>14.35</c:v>
                </c:pt>
                <c:pt idx="90">
                  <c:v>15.34</c:v>
                </c:pt>
                <c:pt idx="91">
                  <c:v>12.84</c:v>
                </c:pt>
                <c:pt idx="92">
                  <c:v>15.71</c:v>
                </c:pt>
                <c:pt idx="93">
                  <c:v>13.7099999999999</c:v>
                </c:pt>
                <c:pt idx="94">
                  <c:v>13.95</c:v>
                </c:pt>
                <c:pt idx="95">
                  <c:v>9.99</c:v>
                </c:pt>
                <c:pt idx="96">
                  <c:v>13.48</c:v>
                </c:pt>
                <c:pt idx="97">
                  <c:v>11.98</c:v>
                </c:pt>
                <c:pt idx="98">
                  <c:v>8.65</c:v>
                </c:pt>
                <c:pt idx="99">
                  <c:v>13.19</c:v>
                </c:pt>
                <c:pt idx="100">
                  <c:v>14.5299999999999</c:v>
                </c:pt>
                <c:pt idx="101">
                  <c:v>10.62</c:v>
                </c:pt>
                <c:pt idx="102">
                  <c:v>13.559999999999899</c:v>
                </c:pt>
                <c:pt idx="103">
                  <c:v>10.210000000000001</c:v>
                </c:pt>
                <c:pt idx="104">
                  <c:v>15.35</c:v>
                </c:pt>
                <c:pt idx="105">
                  <c:v>14.149999999999901</c:v>
                </c:pt>
                <c:pt idx="106">
                  <c:v>14.54</c:v>
                </c:pt>
                <c:pt idx="107">
                  <c:v>15.42</c:v>
                </c:pt>
                <c:pt idx="108">
                  <c:v>7.6099999999999897</c:v>
                </c:pt>
                <c:pt idx="109">
                  <c:v>16.510000000000002</c:v>
                </c:pt>
                <c:pt idx="110">
                  <c:v>10.43</c:v>
                </c:pt>
                <c:pt idx="111">
                  <c:v>17.170000000000002</c:v>
                </c:pt>
                <c:pt idx="112">
                  <c:v>16.3799999999999</c:v>
                </c:pt>
                <c:pt idx="113">
                  <c:v>12.85</c:v>
                </c:pt>
                <c:pt idx="114">
                  <c:v>9.74</c:v>
                </c:pt>
                <c:pt idx="115">
                  <c:v>14.39</c:v>
                </c:pt>
                <c:pt idx="116">
                  <c:v>6.28</c:v>
                </c:pt>
                <c:pt idx="117">
                  <c:v>11.549999999999899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1CDB-4BE1-A156-6594B8953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31936"/>
        <c:axId val="119433856"/>
      </c:scatterChart>
      <c:valAx>
        <c:axId val="119431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Year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433856"/>
        <c:crosses val="autoZero"/>
        <c:crossBetween val="midCat"/>
      </c:valAx>
      <c:valAx>
        <c:axId val="11943385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Precipitation (Inches)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431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40000"/>
        <a:lumOff val="60000"/>
      </a:schemeClr>
    </a:solidFill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Sussex: </a:t>
            </a:r>
            <a:r>
              <a:rPr lang="en-US"/>
              <a:t>Total Precip Within Bins (Large)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1.01 - 2.00</c:v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trendline>
            <c:spPr>
              <a:ln w="28575">
                <a:solidFill>
                  <a:schemeClr val="accent5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1411605395441811E-2"/>
                  <c:y val="1.2521666516058724E-3"/>
                </c:manualLayout>
              </c:layout>
              <c:numFmt formatCode="General" sourceLinked="0"/>
            </c:trendlineLbl>
          </c:trendline>
          <c:xVal>
            <c:numRef>
              <c:f>'SS AOE'!$A$2:$A$119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'SS AOE'!$O$2:$O$119</c:f>
              <c:numCache>
                <c:formatCode>General</c:formatCode>
                <c:ptCount val="118"/>
                <c:pt idx="0">
                  <c:v>9.35</c:v>
                </c:pt>
                <c:pt idx="1">
                  <c:v>6.7699999999999898</c:v>
                </c:pt>
                <c:pt idx="2">
                  <c:v>9.8799999999999901</c:v>
                </c:pt>
                <c:pt idx="3">
                  <c:v>9.01</c:v>
                </c:pt>
                <c:pt idx="4">
                  <c:v>10.18</c:v>
                </c:pt>
                <c:pt idx="5">
                  <c:v>19.310000000000002</c:v>
                </c:pt>
                <c:pt idx="6">
                  <c:v>13.4</c:v>
                </c:pt>
                <c:pt idx="7">
                  <c:v>12.51</c:v>
                </c:pt>
                <c:pt idx="8">
                  <c:v>12.219999999999999</c:v>
                </c:pt>
                <c:pt idx="9">
                  <c:v>15.77</c:v>
                </c:pt>
                <c:pt idx="10">
                  <c:v>12.439999999999991</c:v>
                </c:pt>
                <c:pt idx="11">
                  <c:v>16.019999999999989</c:v>
                </c:pt>
                <c:pt idx="12">
                  <c:v>5.54</c:v>
                </c:pt>
                <c:pt idx="13">
                  <c:v>9.42</c:v>
                </c:pt>
                <c:pt idx="14">
                  <c:v>14.46</c:v>
                </c:pt>
                <c:pt idx="15">
                  <c:v>13.999999999999989</c:v>
                </c:pt>
                <c:pt idx="16">
                  <c:v>10.600000000000001</c:v>
                </c:pt>
                <c:pt idx="17">
                  <c:v>12.769999999999991</c:v>
                </c:pt>
                <c:pt idx="18">
                  <c:v>3.7600000000000002</c:v>
                </c:pt>
                <c:pt idx="19">
                  <c:v>1.03</c:v>
                </c:pt>
                <c:pt idx="20">
                  <c:v>16.89</c:v>
                </c:pt>
                <c:pt idx="21">
                  <c:v>9.0300000000000011</c:v>
                </c:pt>
                <c:pt idx="22">
                  <c:v>9.8800000000000008</c:v>
                </c:pt>
                <c:pt idx="23">
                  <c:v>3.7699999999999898</c:v>
                </c:pt>
                <c:pt idx="24">
                  <c:v>7.91</c:v>
                </c:pt>
                <c:pt idx="25">
                  <c:v>12.15</c:v>
                </c:pt>
                <c:pt idx="26">
                  <c:v>5.74</c:v>
                </c:pt>
                <c:pt idx="27">
                  <c:v>10.88999999999999</c:v>
                </c:pt>
                <c:pt idx="28">
                  <c:v>12.96</c:v>
                </c:pt>
                <c:pt idx="29">
                  <c:v>10.46</c:v>
                </c:pt>
                <c:pt idx="30">
                  <c:v>3.66</c:v>
                </c:pt>
                <c:pt idx="31">
                  <c:v>9.0499999999999901</c:v>
                </c:pt>
                <c:pt idx="32">
                  <c:v>16.2</c:v>
                </c:pt>
                <c:pt idx="33">
                  <c:v>16.41</c:v>
                </c:pt>
                <c:pt idx="34">
                  <c:v>18.82</c:v>
                </c:pt>
                <c:pt idx="35">
                  <c:v>10.269999999999991</c:v>
                </c:pt>
                <c:pt idx="36">
                  <c:v>15.02</c:v>
                </c:pt>
                <c:pt idx="37">
                  <c:v>20.009999999999899</c:v>
                </c:pt>
                <c:pt idx="38">
                  <c:v>16.84</c:v>
                </c:pt>
                <c:pt idx="39">
                  <c:v>6.7399999999999904</c:v>
                </c:pt>
                <c:pt idx="40">
                  <c:v>13.229999999999901</c:v>
                </c:pt>
                <c:pt idx="41">
                  <c:v>10.07</c:v>
                </c:pt>
                <c:pt idx="42">
                  <c:v>16.240000000000002</c:v>
                </c:pt>
                <c:pt idx="43">
                  <c:v>9.0299999999999994</c:v>
                </c:pt>
                <c:pt idx="44">
                  <c:v>10.62</c:v>
                </c:pt>
                <c:pt idx="45">
                  <c:v>16.63</c:v>
                </c:pt>
                <c:pt idx="46">
                  <c:v>5.8699999999999992</c:v>
                </c:pt>
                <c:pt idx="47">
                  <c:v>20.6</c:v>
                </c:pt>
                <c:pt idx="48">
                  <c:v>6.99</c:v>
                </c:pt>
                <c:pt idx="49">
                  <c:v>4.68</c:v>
                </c:pt>
                <c:pt idx="50">
                  <c:v>4.93</c:v>
                </c:pt>
                <c:pt idx="51">
                  <c:v>13.35</c:v>
                </c:pt>
                <c:pt idx="52">
                  <c:v>17.059999999999999</c:v>
                </c:pt>
                <c:pt idx="53">
                  <c:v>8.43</c:v>
                </c:pt>
                <c:pt idx="54">
                  <c:v>2.21999999999999</c:v>
                </c:pt>
                <c:pt idx="55">
                  <c:v>11.87</c:v>
                </c:pt>
                <c:pt idx="56">
                  <c:v>7.56</c:v>
                </c:pt>
                <c:pt idx="57">
                  <c:v>8.36</c:v>
                </c:pt>
                <c:pt idx="58">
                  <c:v>10.67</c:v>
                </c:pt>
                <c:pt idx="59">
                  <c:v>10.65</c:v>
                </c:pt>
                <c:pt idx="60">
                  <c:v>16.48</c:v>
                </c:pt>
                <c:pt idx="61">
                  <c:v>4.63</c:v>
                </c:pt>
                <c:pt idx="62">
                  <c:v>9.57</c:v>
                </c:pt>
                <c:pt idx="63">
                  <c:v>12.11</c:v>
                </c:pt>
                <c:pt idx="64">
                  <c:v>7.26</c:v>
                </c:pt>
                <c:pt idx="65">
                  <c:v>4</c:v>
                </c:pt>
                <c:pt idx="66">
                  <c:v>11.18</c:v>
                </c:pt>
                <c:pt idx="67">
                  <c:v>19.189999999999998</c:v>
                </c:pt>
                <c:pt idx="68">
                  <c:v>9.0299999999999994</c:v>
                </c:pt>
                <c:pt idx="69">
                  <c:v>12.939999999999989</c:v>
                </c:pt>
                <c:pt idx="70">
                  <c:v>7.82</c:v>
                </c:pt>
                <c:pt idx="71">
                  <c:v>10.09</c:v>
                </c:pt>
                <c:pt idx="72">
                  <c:v>20.62</c:v>
                </c:pt>
                <c:pt idx="73">
                  <c:v>20.239999999999991</c:v>
                </c:pt>
                <c:pt idx="74">
                  <c:v>13.46</c:v>
                </c:pt>
                <c:pt idx="75">
                  <c:v>22.20999999999999</c:v>
                </c:pt>
                <c:pt idx="76">
                  <c:v>11.18</c:v>
                </c:pt>
                <c:pt idx="77">
                  <c:v>11.17</c:v>
                </c:pt>
                <c:pt idx="78">
                  <c:v>14.809999999999899</c:v>
                </c:pt>
                <c:pt idx="79">
                  <c:v>10.01</c:v>
                </c:pt>
                <c:pt idx="80">
                  <c:v>8.7100000000000009</c:v>
                </c:pt>
                <c:pt idx="81">
                  <c:v>10.63</c:v>
                </c:pt>
                <c:pt idx="82">
                  <c:v>10.08</c:v>
                </c:pt>
                <c:pt idx="83">
                  <c:v>25.259999999999998</c:v>
                </c:pt>
                <c:pt idx="84">
                  <c:v>12.589999999999989</c:v>
                </c:pt>
                <c:pt idx="85">
                  <c:v>18.1099999999999</c:v>
                </c:pt>
                <c:pt idx="86">
                  <c:v>12.99</c:v>
                </c:pt>
                <c:pt idx="87">
                  <c:v>15.719999999999999</c:v>
                </c:pt>
                <c:pt idx="88">
                  <c:v>11</c:v>
                </c:pt>
                <c:pt idx="89">
                  <c:v>5.66</c:v>
                </c:pt>
                <c:pt idx="90">
                  <c:v>16.759999999999991</c:v>
                </c:pt>
                <c:pt idx="91">
                  <c:v>8.1999999999999993</c:v>
                </c:pt>
                <c:pt idx="92">
                  <c:v>14.739999999999981</c:v>
                </c:pt>
                <c:pt idx="93">
                  <c:v>17.02</c:v>
                </c:pt>
                <c:pt idx="94">
                  <c:v>10.3</c:v>
                </c:pt>
                <c:pt idx="95">
                  <c:v>5.49</c:v>
                </c:pt>
                <c:pt idx="96">
                  <c:v>14.67</c:v>
                </c:pt>
                <c:pt idx="97">
                  <c:v>5.92</c:v>
                </c:pt>
                <c:pt idx="98">
                  <c:v>11.799999999999999</c:v>
                </c:pt>
                <c:pt idx="99">
                  <c:v>5.6099999999999994</c:v>
                </c:pt>
                <c:pt idx="100">
                  <c:v>9.08</c:v>
                </c:pt>
                <c:pt idx="101">
                  <c:v>9.4899999999999896</c:v>
                </c:pt>
                <c:pt idx="102">
                  <c:v>16.009999999999998</c:v>
                </c:pt>
                <c:pt idx="103">
                  <c:v>25.450000000000003</c:v>
                </c:pt>
                <c:pt idx="104">
                  <c:v>9.8099999999999987</c:v>
                </c:pt>
                <c:pt idx="105">
                  <c:v>10.629999999999999</c:v>
                </c:pt>
                <c:pt idx="106">
                  <c:v>21.45</c:v>
                </c:pt>
                <c:pt idx="107">
                  <c:v>11.76</c:v>
                </c:pt>
                <c:pt idx="108">
                  <c:v>20.04</c:v>
                </c:pt>
                <c:pt idx="109">
                  <c:v>7.71</c:v>
                </c:pt>
                <c:pt idx="110">
                  <c:v>12.56</c:v>
                </c:pt>
                <c:pt idx="111">
                  <c:v>15.8</c:v>
                </c:pt>
                <c:pt idx="112">
                  <c:v>9.1000000000000014</c:v>
                </c:pt>
                <c:pt idx="113">
                  <c:v>10.84</c:v>
                </c:pt>
                <c:pt idx="114">
                  <c:v>11.339999999999989</c:v>
                </c:pt>
                <c:pt idx="115">
                  <c:v>10.359999999999989</c:v>
                </c:pt>
                <c:pt idx="116">
                  <c:v>10.57</c:v>
                </c:pt>
                <c:pt idx="117">
                  <c:v>12.329999999999998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0F2-43F0-9241-CE56CCF36832}"/>
            </c:ext>
          </c:extLst>
        </c:ser>
        <c:ser>
          <c:idx val="1"/>
          <c:order val="1"/>
          <c:tx>
            <c:v>2.01+</c:v>
          </c:tx>
          <c:spPr>
            <a:ln w="28575">
              <a:solidFill>
                <a:schemeClr val="accent6"/>
              </a:solidFill>
            </a:ln>
          </c:spPr>
          <c:marker>
            <c:symbol val="none"/>
          </c:marker>
          <c:trendline>
            <c:spPr>
              <a:ln w="28575">
                <a:solidFill>
                  <a:schemeClr val="accent6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0564142622246005E-2"/>
                  <c:y val="-3.2798312098332394E-2"/>
                </c:manualLayout>
              </c:layout>
              <c:numFmt formatCode="General" sourceLinked="0"/>
            </c:trendlineLbl>
          </c:trendline>
          <c:xVal>
            <c:numRef>
              <c:f>'SS AOE'!$A$2:$A$119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'SS AOE'!$P$2:$P$119</c:f>
              <c:numCache>
                <c:formatCode>General</c:formatCode>
                <c:ptCount val="118"/>
                <c:pt idx="0">
                  <c:v>7.48</c:v>
                </c:pt>
                <c:pt idx="1">
                  <c:v>11.84</c:v>
                </c:pt>
                <c:pt idx="2">
                  <c:v>0</c:v>
                </c:pt>
                <c:pt idx="3">
                  <c:v>5.77</c:v>
                </c:pt>
                <c:pt idx="4">
                  <c:v>4.3899999999999997</c:v>
                </c:pt>
                <c:pt idx="5">
                  <c:v>0</c:v>
                </c:pt>
                <c:pt idx="6">
                  <c:v>2.23</c:v>
                </c:pt>
                <c:pt idx="7">
                  <c:v>5.24</c:v>
                </c:pt>
                <c:pt idx="8">
                  <c:v>0</c:v>
                </c:pt>
                <c:pt idx="9">
                  <c:v>4.66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3.16</c:v>
                </c:pt>
                <c:pt idx="14">
                  <c:v>2.0099999999999998</c:v>
                </c:pt>
                <c:pt idx="15">
                  <c:v>2.2000000000000002</c:v>
                </c:pt>
                <c:pt idx="16">
                  <c:v>0</c:v>
                </c:pt>
                <c:pt idx="17">
                  <c:v>2.2999999999999998</c:v>
                </c:pt>
                <c:pt idx="18">
                  <c:v>2.4700000000000002</c:v>
                </c:pt>
                <c:pt idx="19">
                  <c:v>0</c:v>
                </c:pt>
                <c:pt idx="20">
                  <c:v>4.4800000000000004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6.4</c:v>
                </c:pt>
                <c:pt idx="25">
                  <c:v>0</c:v>
                </c:pt>
                <c:pt idx="26">
                  <c:v>0</c:v>
                </c:pt>
                <c:pt idx="27">
                  <c:v>8.39</c:v>
                </c:pt>
                <c:pt idx="28">
                  <c:v>5.09</c:v>
                </c:pt>
                <c:pt idx="29">
                  <c:v>2.0099999999999998</c:v>
                </c:pt>
                <c:pt idx="30">
                  <c:v>7.5299999999999994</c:v>
                </c:pt>
                <c:pt idx="31">
                  <c:v>2.0099999999999998</c:v>
                </c:pt>
                <c:pt idx="32">
                  <c:v>11.79999999999999</c:v>
                </c:pt>
                <c:pt idx="33">
                  <c:v>5.21</c:v>
                </c:pt>
                <c:pt idx="34">
                  <c:v>9.11</c:v>
                </c:pt>
                <c:pt idx="35">
                  <c:v>6.71</c:v>
                </c:pt>
                <c:pt idx="36">
                  <c:v>0</c:v>
                </c:pt>
                <c:pt idx="37">
                  <c:v>4.6500000000000004</c:v>
                </c:pt>
                <c:pt idx="38">
                  <c:v>7.93</c:v>
                </c:pt>
                <c:pt idx="39">
                  <c:v>2.3199999999999998</c:v>
                </c:pt>
                <c:pt idx="40">
                  <c:v>2.33</c:v>
                </c:pt>
                <c:pt idx="41">
                  <c:v>0</c:v>
                </c:pt>
                <c:pt idx="42">
                  <c:v>9.85</c:v>
                </c:pt>
                <c:pt idx="43">
                  <c:v>0</c:v>
                </c:pt>
                <c:pt idx="44">
                  <c:v>2.1</c:v>
                </c:pt>
                <c:pt idx="45">
                  <c:v>9.43</c:v>
                </c:pt>
                <c:pt idx="46">
                  <c:v>2.6</c:v>
                </c:pt>
                <c:pt idx="47">
                  <c:v>5.4</c:v>
                </c:pt>
                <c:pt idx="48">
                  <c:v>3</c:v>
                </c:pt>
                <c:pt idx="49">
                  <c:v>0</c:v>
                </c:pt>
                <c:pt idx="50">
                  <c:v>6.25</c:v>
                </c:pt>
                <c:pt idx="51">
                  <c:v>3.8</c:v>
                </c:pt>
                <c:pt idx="52">
                  <c:v>13.07</c:v>
                </c:pt>
                <c:pt idx="53">
                  <c:v>5.5299999999999994</c:v>
                </c:pt>
                <c:pt idx="54">
                  <c:v>5.3800000000000008</c:v>
                </c:pt>
                <c:pt idx="55">
                  <c:v>16.95</c:v>
                </c:pt>
                <c:pt idx="56">
                  <c:v>0</c:v>
                </c:pt>
                <c:pt idx="57">
                  <c:v>2.25</c:v>
                </c:pt>
                <c:pt idx="58">
                  <c:v>2.2000000000000002</c:v>
                </c:pt>
                <c:pt idx="59">
                  <c:v>2.69</c:v>
                </c:pt>
                <c:pt idx="60">
                  <c:v>5.2799999999999896</c:v>
                </c:pt>
                <c:pt idx="61">
                  <c:v>2.08</c:v>
                </c:pt>
                <c:pt idx="62">
                  <c:v>0</c:v>
                </c:pt>
                <c:pt idx="63">
                  <c:v>2.02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7.4399999999999995</c:v>
                </c:pt>
                <c:pt idx="69">
                  <c:v>2.39</c:v>
                </c:pt>
                <c:pt idx="70">
                  <c:v>0</c:v>
                </c:pt>
                <c:pt idx="71">
                  <c:v>8.7100000000000009</c:v>
                </c:pt>
                <c:pt idx="72">
                  <c:v>6.28</c:v>
                </c:pt>
                <c:pt idx="73">
                  <c:v>7.75</c:v>
                </c:pt>
                <c:pt idx="74">
                  <c:v>2.2999999999999998</c:v>
                </c:pt>
                <c:pt idx="75">
                  <c:v>6.89</c:v>
                </c:pt>
                <c:pt idx="76">
                  <c:v>0</c:v>
                </c:pt>
                <c:pt idx="77">
                  <c:v>7.0699999999999905</c:v>
                </c:pt>
                <c:pt idx="78">
                  <c:v>2.3199999999999998</c:v>
                </c:pt>
                <c:pt idx="79">
                  <c:v>15.759999999999899</c:v>
                </c:pt>
                <c:pt idx="80">
                  <c:v>2.95</c:v>
                </c:pt>
                <c:pt idx="81">
                  <c:v>2.67</c:v>
                </c:pt>
                <c:pt idx="82">
                  <c:v>7.27</c:v>
                </c:pt>
                <c:pt idx="83">
                  <c:v>2.12</c:v>
                </c:pt>
                <c:pt idx="84">
                  <c:v>5.41</c:v>
                </c:pt>
                <c:pt idx="85">
                  <c:v>2.64</c:v>
                </c:pt>
                <c:pt idx="86">
                  <c:v>2.13</c:v>
                </c:pt>
                <c:pt idx="87">
                  <c:v>2.69</c:v>
                </c:pt>
                <c:pt idx="88">
                  <c:v>2.42</c:v>
                </c:pt>
                <c:pt idx="89">
                  <c:v>10.19999999999999</c:v>
                </c:pt>
                <c:pt idx="90">
                  <c:v>4.0999999999999996</c:v>
                </c:pt>
                <c:pt idx="91">
                  <c:v>2.1800000000000002</c:v>
                </c:pt>
                <c:pt idx="92">
                  <c:v>2.17</c:v>
                </c:pt>
                <c:pt idx="93">
                  <c:v>0</c:v>
                </c:pt>
                <c:pt idx="94">
                  <c:v>5.35</c:v>
                </c:pt>
                <c:pt idx="95">
                  <c:v>6.9</c:v>
                </c:pt>
                <c:pt idx="96">
                  <c:v>14.579999999999991</c:v>
                </c:pt>
                <c:pt idx="97">
                  <c:v>7.4</c:v>
                </c:pt>
                <c:pt idx="98">
                  <c:v>0</c:v>
                </c:pt>
                <c:pt idx="99">
                  <c:v>5.63</c:v>
                </c:pt>
                <c:pt idx="100">
                  <c:v>10.54</c:v>
                </c:pt>
                <c:pt idx="101">
                  <c:v>0</c:v>
                </c:pt>
                <c:pt idx="102">
                  <c:v>3.01</c:v>
                </c:pt>
                <c:pt idx="103">
                  <c:v>4.57</c:v>
                </c:pt>
                <c:pt idx="104">
                  <c:v>11.77</c:v>
                </c:pt>
                <c:pt idx="105">
                  <c:v>14.170000000000002</c:v>
                </c:pt>
                <c:pt idx="106">
                  <c:v>2.0099999999999998</c:v>
                </c:pt>
                <c:pt idx="107">
                  <c:v>9.0500000000000007</c:v>
                </c:pt>
                <c:pt idx="108">
                  <c:v>2.54</c:v>
                </c:pt>
                <c:pt idx="109">
                  <c:v>2.33</c:v>
                </c:pt>
                <c:pt idx="110">
                  <c:v>7.01</c:v>
                </c:pt>
                <c:pt idx="111">
                  <c:v>26.45</c:v>
                </c:pt>
                <c:pt idx="112">
                  <c:v>3.44</c:v>
                </c:pt>
                <c:pt idx="113">
                  <c:v>5.04</c:v>
                </c:pt>
                <c:pt idx="114">
                  <c:v>5.84</c:v>
                </c:pt>
                <c:pt idx="115">
                  <c:v>0</c:v>
                </c:pt>
                <c:pt idx="116">
                  <c:v>0</c:v>
                </c:pt>
                <c:pt idx="117">
                  <c:v>3.8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0F2-43F0-9241-CE56CCF36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06912"/>
        <c:axId val="120017280"/>
      </c:scatterChart>
      <c:valAx>
        <c:axId val="120006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0017280"/>
        <c:crosses val="autoZero"/>
        <c:crossBetween val="midCat"/>
      </c:valAx>
      <c:valAx>
        <c:axId val="120017280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Precipitation (Inches)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00069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40000"/>
        <a:lumOff val="60000"/>
      </a:schemeClr>
    </a:solidFill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Sussex: </a:t>
            </a:r>
            <a:r>
              <a:rPr lang="en-US"/>
              <a:t>Total Precip Within </a:t>
            </a:r>
            <a:r>
              <a:rPr lang="en-US" baseline="0"/>
              <a:t>B</a:t>
            </a:r>
            <a:r>
              <a:rPr lang="en-US"/>
              <a:t>ins as a Percentage of Annual Rainfall (Small)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0.03 - 0.10</c:v>
          </c:tx>
          <c:spPr>
            <a:ln w="28575"/>
          </c:spPr>
          <c:marker>
            <c:symbol val="none"/>
          </c:marker>
          <c:trendline>
            <c:spPr>
              <a:ln w="38100">
                <a:solidFill>
                  <a:schemeClr val="accent1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476776417099556E-2"/>
                  <c:y val="6.9048170027236674E-3"/>
                </c:manualLayout>
              </c:layout>
              <c:numFmt formatCode="General" sourceLinked="0"/>
            </c:trendlineLbl>
          </c:trendline>
          <c:xVal>
            <c:numRef>
              <c:f>'[3]Amount of Events'!$A$2:$A$119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'[3]Amount of Events'!$V$2:$V$119</c:f>
              <c:numCache>
                <c:formatCode>General</c:formatCode>
                <c:ptCount val="118"/>
                <c:pt idx="0">
                  <c:v>3.1911889296808812E-2</c:v>
                </c:pt>
                <c:pt idx="1">
                  <c:v>5.3743803809026873E-2</c:v>
                </c:pt>
                <c:pt idx="2">
                  <c:v>7.5703744192402292E-2</c:v>
                </c:pt>
                <c:pt idx="3">
                  <c:v>3.2741526400737839E-2</c:v>
                </c:pt>
                <c:pt idx="4">
                  <c:v>3.6179130818442533E-2</c:v>
                </c:pt>
                <c:pt idx="5">
                  <c:v>3.952648475120385E-2</c:v>
                </c:pt>
                <c:pt idx="6">
                  <c:v>2.4439461883408072E-2</c:v>
                </c:pt>
                <c:pt idx="7">
                  <c:v>5.6185702980743872E-2</c:v>
                </c:pt>
                <c:pt idx="8">
                  <c:v>3.5280641466208476E-2</c:v>
                </c:pt>
                <c:pt idx="9">
                  <c:v>5.2677787532923612E-2</c:v>
                </c:pt>
                <c:pt idx="10">
                  <c:v>3.3485975958786489E-2</c:v>
                </c:pt>
                <c:pt idx="11">
                  <c:v>3.9601494396014944E-2</c:v>
                </c:pt>
                <c:pt idx="12">
                  <c:v>3.0407523510971788E-2</c:v>
                </c:pt>
                <c:pt idx="13">
                  <c:v>4.076147816349384E-2</c:v>
                </c:pt>
                <c:pt idx="14">
                  <c:v>4.3557582668186996E-2</c:v>
                </c:pt>
                <c:pt idx="15">
                  <c:v>3.0750893921334923E-2</c:v>
                </c:pt>
                <c:pt idx="16">
                  <c:v>2.9597149904083311E-2</c:v>
                </c:pt>
                <c:pt idx="17">
                  <c:v>2.1411192214111922E-2</c:v>
                </c:pt>
                <c:pt idx="18">
                  <c:v>3.5511900264450322E-2</c:v>
                </c:pt>
                <c:pt idx="19">
                  <c:v>2.4299065420560748E-2</c:v>
                </c:pt>
                <c:pt idx="20">
                  <c:v>1.1821366024518389E-2</c:v>
                </c:pt>
                <c:pt idx="21">
                  <c:v>3.9586919104991389E-2</c:v>
                </c:pt>
                <c:pt idx="22">
                  <c:v>4.0347610180012421E-2</c:v>
                </c:pt>
                <c:pt idx="23">
                  <c:v>3.8632986627043092E-2</c:v>
                </c:pt>
                <c:pt idx="24">
                  <c:v>4.0022234574763761E-2</c:v>
                </c:pt>
                <c:pt idx="25">
                  <c:v>3.8839494618624237E-2</c:v>
                </c:pt>
                <c:pt idx="26">
                  <c:v>3.7561779242174624E-2</c:v>
                </c:pt>
                <c:pt idx="27">
                  <c:v>3.8054538054538053E-2</c:v>
                </c:pt>
                <c:pt idx="28">
                  <c:v>3.2897603485838783E-2</c:v>
                </c:pt>
                <c:pt idx="29">
                  <c:v>4.7685834502103785E-2</c:v>
                </c:pt>
                <c:pt idx="30">
                  <c:v>2.3057216054654141E-2</c:v>
                </c:pt>
                <c:pt idx="31">
                  <c:v>4.9876678542066316E-2</c:v>
                </c:pt>
                <c:pt idx="32">
                  <c:v>3.215686274509804E-2</c:v>
                </c:pt>
                <c:pt idx="33">
                  <c:v>4.7292817679558015E-2</c:v>
                </c:pt>
                <c:pt idx="34">
                  <c:v>1.9903498190591073E-2</c:v>
                </c:pt>
                <c:pt idx="35">
                  <c:v>2.6448665544602068E-2</c:v>
                </c:pt>
                <c:pt idx="36">
                  <c:v>3.5665606542480688E-2</c:v>
                </c:pt>
                <c:pt idx="37">
                  <c:v>2.9454470026965357E-2</c:v>
                </c:pt>
                <c:pt idx="38">
                  <c:v>2.9772727272727274E-2</c:v>
                </c:pt>
                <c:pt idx="39">
                  <c:v>3.0783159800814849E-2</c:v>
                </c:pt>
                <c:pt idx="40">
                  <c:v>4.1143088771787586E-2</c:v>
                </c:pt>
                <c:pt idx="41">
                  <c:v>2.6390465380249715E-2</c:v>
                </c:pt>
                <c:pt idx="42">
                  <c:v>3.2569169960474306E-2</c:v>
                </c:pt>
                <c:pt idx="43">
                  <c:v>5.5539732270008545E-2</c:v>
                </c:pt>
                <c:pt idx="44">
                  <c:v>5.6571978815599423E-2</c:v>
                </c:pt>
                <c:pt idx="45">
                  <c:v>4.5060080106809078E-2</c:v>
                </c:pt>
                <c:pt idx="46">
                  <c:v>5.8218171126139376E-2</c:v>
                </c:pt>
                <c:pt idx="47">
                  <c:v>2.6666666666666665E-2</c:v>
                </c:pt>
                <c:pt idx="48">
                  <c:v>5.7692307692307689E-2</c:v>
                </c:pt>
                <c:pt idx="49">
                  <c:v>4.8824130879345604E-2</c:v>
                </c:pt>
                <c:pt idx="50">
                  <c:v>5.3084935897435896E-2</c:v>
                </c:pt>
                <c:pt idx="51">
                  <c:v>3.5900647046545608E-2</c:v>
                </c:pt>
                <c:pt idx="52">
                  <c:v>3.2367668097281831E-2</c:v>
                </c:pt>
                <c:pt idx="53">
                  <c:v>4.1322314049586778E-2</c:v>
                </c:pt>
                <c:pt idx="54">
                  <c:v>4.1108986615678772E-2</c:v>
                </c:pt>
                <c:pt idx="55">
                  <c:v>3.7029623698959166E-2</c:v>
                </c:pt>
                <c:pt idx="56">
                  <c:v>4.8172355361897845E-2</c:v>
                </c:pt>
                <c:pt idx="57">
                  <c:v>5.8372952984680399E-2</c:v>
                </c:pt>
                <c:pt idx="58">
                  <c:v>5.5322128851540614E-2</c:v>
                </c:pt>
                <c:pt idx="59">
                  <c:v>6.3743218806509933E-2</c:v>
                </c:pt>
                <c:pt idx="60">
                  <c:v>3.7058823529411762E-2</c:v>
                </c:pt>
                <c:pt idx="61">
                  <c:v>3.234003234003234E-2</c:v>
                </c:pt>
                <c:pt idx="62">
                  <c:v>5.7381615598885799E-2</c:v>
                </c:pt>
                <c:pt idx="63">
                  <c:v>3.3091436865021764E-2</c:v>
                </c:pt>
                <c:pt idx="64">
                  <c:v>7.5439783491204337E-2</c:v>
                </c:pt>
                <c:pt idx="65">
                  <c:v>7.2503840245775733E-2</c:v>
                </c:pt>
                <c:pt idx="66">
                  <c:v>6.8298235628912921E-2</c:v>
                </c:pt>
                <c:pt idx="67">
                  <c:v>4.4453852667231161E-2</c:v>
                </c:pt>
                <c:pt idx="68">
                  <c:v>4.2309490416082285E-2</c:v>
                </c:pt>
                <c:pt idx="69">
                  <c:v>4.8200950441276307E-2</c:v>
                </c:pt>
                <c:pt idx="70">
                  <c:v>5.3349001175088138E-2</c:v>
                </c:pt>
                <c:pt idx="71">
                  <c:v>3.8722554890219557E-2</c:v>
                </c:pt>
                <c:pt idx="72">
                  <c:v>2.8566943964840684E-2</c:v>
                </c:pt>
                <c:pt idx="73">
                  <c:v>3.0845771144278611E-2</c:v>
                </c:pt>
                <c:pt idx="74">
                  <c:v>3.7586738627602159E-2</c:v>
                </c:pt>
                <c:pt idx="75">
                  <c:v>3.5583638177585634E-2</c:v>
                </c:pt>
                <c:pt idx="76">
                  <c:v>3.6946902654867254E-2</c:v>
                </c:pt>
                <c:pt idx="77">
                  <c:v>4.2438111087996673E-2</c:v>
                </c:pt>
                <c:pt idx="78">
                  <c:v>4.7047753469771823E-2</c:v>
                </c:pt>
                <c:pt idx="79">
                  <c:v>3.0228471001757469E-2</c:v>
                </c:pt>
                <c:pt idx="80">
                  <c:v>5.2839785250070645E-2</c:v>
                </c:pt>
                <c:pt idx="81">
                  <c:v>5.4123711340206195E-2</c:v>
                </c:pt>
                <c:pt idx="82">
                  <c:v>3.1520692974013477E-2</c:v>
                </c:pt>
                <c:pt idx="83">
                  <c:v>3.0996575959632365E-2</c:v>
                </c:pt>
                <c:pt idx="84">
                  <c:v>3.9489429597128041E-2</c:v>
                </c:pt>
                <c:pt idx="85">
                  <c:v>5.255157437567861E-2</c:v>
                </c:pt>
                <c:pt idx="86">
                  <c:v>2.9108822212270492E-2</c:v>
                </c:pt>
                <c:pt idx="87">
                  <c:v>5.5807622504537205E-2</c:v>
                </c:pt>
                <c:pt idx="88">
                  <c:v>3.6395147313691506E-2</c:v>
                </c:pt>
                <c:pt idx="89">
                  <c:v>5.3746869581968795E-2</c:v>
                </c:pt>
                <c:pt idx="90">
                  <c:v>3.7506997574174278E-2</c:v>
                </c:pt>
                <c:pt idx="91">
                  <c:v>7.089750398300558E-2</c:v>
                </c:pt>
                <c:pt idx="92">
                  <c:v>3.4666099532113991E-2</c:v>
                </c:pt>
                <c:pt idx="93">
                  <c:v>4.8952641165755914E-2</c:v>
                </c:pt>
                <c:pt idx="94">
                  <c:v>2.3273087397870759E-2</c:v>
                </c:pt>
                <c:pt idx="95">
                  <c:v>5.078125E-2</c:v>
                </c:pt>
                <c:pt idx="96">
                  <c:v>3.7902821840040075E-2</c:v>
                </c:pt>
                <c:pt idx="97">
                  <c:v>3.1758740325593809E-2</c:v>
                </c:pt>
                <c:pt idx="98">
                  <c:v>5.4562858966177408E-2</c:v>
                </c:pt>
                <c:pt idx="99">
                  <c:v>5.2479664130149567E-2</c:v>
                </c:pt>
                <c:pt idx="100">
                  <c:v>3.8807189542483661E-2</c:v>
                </c:pt>
                <c:pt idx="101">
                  <c:v>5.5231666155262343E-2</c:v>
                </c:pt>
                <c:pt idx="102">
                  <c:v>4.6996231434271785E-2</c:v>
                </c:pt>
                <c:pt idx="103">
                  <c:v>4.1214750542299353E-2</c:v>
                </c:pt>
                <c:pt idx="104">
                  <c:v>4.0717869548436897E-2</c:v>
                </c:pt>
                <c:pt idx="105">
                  <c:v>3.7686939182452639E-2</c:v>
                </c:pt>
                <c:pt idx="106">
                  <c:v>2.9016975917883932E-2</c:v>
                </c:pt>
                <c:pt idx="107">
                  <c:v>2.9120067524794256E-2</c:v>
                </c:pt>
                <c:pt idx="108">
                  <c:v>4.1862547571076783E-2</c:v>
                </c:pt>
                <c:pt idx="109">
                  <c:v>3.6643026004728137E-2</c:v>
                </c:pt>
                <c:pt idx="110">
                  <c:v>3.917572463768116E-2</c:v>
                </c:pt>
                <c:pt idx="111">
                  <c:v>1.9906928645294728E-2</c:v>
                </c:pt>
                <c:pt idx="112">
                  <c:v>3.7102473498233215E-2</c:v>
                </c:pt>
                <c:pt idx="113">
                  <c:v>4.5017584994138334E-2</c:v>
                </c:pt>
                <c:pt idx="114">
                  <c:v>5.1311550851357572E-2</c:v>
                </c:pt>
                <c:pt idx="115">
                  <c:v>4.6990931574608409E-2</c:v>
                </c:pt>
                <c:pt idx="116">
                  <c:v>5.4435483870967742E-2</c:v>
                </c:pt>
                <c:pt idx="117">
                  <c:v>5.5469270024406478E-2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563-48C1-B2FF-35E54108915C}"/>
            </c:ext>
          </c:extLst>
        </c:ser>
        <c:ser>
          <c:idx val="1"/>
          <c:order val="1"/>
          <c:tx>
            <c:v>0.11 - 0.25</c:v>
          </c:tx>
          <c:spPr>
            <a:ln w="28575"/>
          </c:spPr>
          <c:marker>
            <c:symbol val="none"/>
          </c:marker>
          <c:trendline>
            <c:spPr>
              <a:ln w="38100">
                <a:solidFill>
                  <a:schemeClr val="accent2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7293203235119077E-2"/>
                  <c:y val="-2.9115139160660143E-2"/>
                </c:manualLayout>
              </c:layout>
              <c:numFmt formatCode="General" sourceLinked="0"/>
            </c:trendlineLbl>
          </c:trendline>
          <c:xVal>
            <c:numRef>
              <c:f>'[3]Amount of Events'!$A$2:$A$119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'[3]Amount of Events'!$W$2:$W$119</c:f>
              <c:numCache>
                <c:formatCode>General</c:formatCode>
                <c:ptCount val="118"/>
                <c:pt idx="0">
                  <c:v>8.1332956791866709E-2</c:v>
                </c:pt>
                <c:pt idx="1">
                  <c:v>6.2875032611531184E-2</c:v>
                </c:pt>
                <c:pt idx="2">
                  <c:v>0.11123257720688713</c:v>
                </c:pt>
                <c:pt idx="3">
                  <c:v>0.12266543693797557</c:v>
                </c:pt>
                <c:pt idx="4">
                  <c:v>0.10787557908669755</c:v>
                </c:pt>
                <c:pt idx="5">
                  <c:v>0.1256019261637239</c:v>
                </c:pt>
                <c:pt idx="6">
                  <c:v>6.3901345291479589E-2</c:v>
                </c:pt>
                <c:pt idx="7">
                  <c:v>0.13584806119757295</c:v>
                </c:pt>
                <c:pt idx="8">
                  <c:v>8.8201603665521197E-2</c:v>
                </c:pt>
                <c:pt idx="9">
                  <c:v>0.10469710272168567</c:v>
                </c:pt>
                <c:pt idx="10">
                  <c:v>9.9313108185460505E-2</c:v>
                </c:pt>
                <c:pt idx="11">
                  <c:v>0.10983810709838084</c:v>
                </c:pt>
                <c:pt idx="12">
                  <c:v>0.14545454545454545</c:v>
                </c:pt>
                <c:pt idx="13">
                  <c:v>0.12026875699888019</c:v>
                </c:pt>
                <c:pt idx="14">
                  <c:v>9.0079817559863176E-2</c:v>
                </c:pt>
                <c:pt idx="15">
                  <c:v>9.0107270560190689E-2</c:v>
                </c:pt>
                <c:pt idx="16">
                  <c:v>0.13209098383118661</c:v>
                </c:pt>
                <c:pt idx="17">
                  <c:v>0.11289537712895376</c:v>
                </c:pt>
                <c:pt idx="18">
                  <c:v>9.8602191159803551E-2</c:v>
                </c:pt>
                <c:pt idx="19">
                  <c:v>9.9688473520249218E-2</c:v>
                </c:pt>
                <c:pt idx="20">
                  <c:v>8.8879159369527144E-2</c:v>
                </c:pt>
                <c:pt idx="21">
                  <c:v>0.127653471026965</c:v>
                </c:pt>
                <c:pt idx="22">
                  <c:v>9.4040968342644318E-2</c:v>
                </c:pt>
                <c:pt idx="23">
                  <c:v>0.1426448736998514</c:v>
                </c:pt>
                <c:pt idx="24">
                  <c:v>0.11867704280155641</c:v>
                </c:pt>
                <c:pt idx="25">
                  <c:v>8.6335985025737014E-2</c:v>
                </c:pt>
                <c:pt idx="26">
                  <c:v>0.14695222405271827</c:v>
                </c:pt>
                <c:pt idx="27">
                  <c:v>9.7273097273097284E-2</c:v>
                </c:pt>
                <c:pt idx="28">
                  <c:v>0.10893246187363835</c:v>
                </c:pt>
                <c:pt idx="29">
                  <c:v>8.8826554464703125E-2</c:v>
                </c:pt>
                <c:pt idx="30">
                  <c:v>0.1283803017364076</c:v>
                </c:pt>
                <c:pt idx="31">
                  <c:v>8.2214305289120299E-2</c:v>
                </c:pt>
                <c:pt idx="32">
                  <c:v>6.6078431372549026E-2</c:v>
                </c:pt>
                <c:pt idx="33">
                  <c:v>6.0994475138121541E-2</c:v>
                </c:pt>
                <c:pt idx="34">
                  <c:v>7.9211901889827102E-2</c:v>
                </c:pt>
                <c:pt idx="35">
                  <c:v>0.10867997114691029</c:v>
                </c:pt>
                <c:pt idx="36">
                  <c:v>0.12017264879600181</c:v>
                </c:pt>
                <c:pt idx="37">
                  <c:v>9.0852520224019906E-2</c:v>
                </c:pt>
                <c:pt idx="38">
                  <c:v>9.4999999999999987E-2</c:v>
                </c:pt>
                <c:pt idx="39">
                  <c:v>6.5640561339972842E-2</c:v>
                </c:pt>
                <c:pt idx="40">
                  <c:v>9.7284150790433718E-2</c:v>
                </c:pt>
                <c:pt idx="41">
                  <c:v>0.15692395005675369</c:v>
                </c:pt>
                <c:pt idx="42">
                  <c:v>6.007905138339921E-2</c:v>
                </c:pt>
                <c:pt idx="43">
                  <c:v>0.16063799487325547</c:v>
                </c:pt>
                <c:pt idx="44">
                  <c:v>9.7737120847376013E-2</c:v>
                </c:pt>
                <c:pt idx="45">
                  <c:v>8.4445927903871815E-2</c:v>
                </c:pt>
                <c:pt idx="46">
                  <c:v>0.15613054983828287</c:v>
                </c:pt>
                <c:pt idx="47">
                  <c:v>8.1278538812785392E-2</c:v>
                </c:pt>
                <c:pt idx="48">
                  <c:v>0.12618841832324978</c:v>
                </c:pt>
                <c:pt idx="49">
                  <c:v>0.16717791411042945</c:v>
                </c:pt>
                <c:pt idx="50">
                  <c:v>0.12880608974358973</c:v>
                </c:pt>
                <c:pt idx="51">
                  <c:v>7.3262366938008763E-2</c:v>
                </c:pt>
                <c:pt idx="52">
                  <c:v>8.7267525035765375E-2</c:v>
                </c:pt>
                <c:pt idx="53">
                  <c:v>5.7318048520394564E-2</c:v>
                </c:pt>
                <c:pt idx="54">
                  <c:v>0.1061185468451238</c:v>
                </c:pt>
                <c:pt idx="55">
                  <c:v>8.7069655724579656E-2</c:v>
                </c:pt>
                <c:pt idx="56">
                  <c:v>0.14911643669813604</c:v>
                </c:pt>
                <c:pt idx="57">
                  <c:v>0.1561014263074485</c:v>
                </c:pt>
                <c:pt idx="58">
                  <c:v>0.13328664799253034</c:v>
                </c:pt>
                <c:pt idx="59">
                  <c:v>9.2224231464737794E-2</c:v>
                </c:pt>
                <c:pt idx="60">
                  <c:v>0.1007843137254902</c:v>
                </c:pt>
                <c:pt idx="61">
                  <c:v>0.18018018018018017</c:v>
                </c:pt>
                <c:pt idx="62">
                  <c:v>0.13286908077994428</c:v>
                </c:pt>
                <c:pt idx="63">
                  <c:v>9.1146589259796504E-2</c:v>
                </c:pt>
                <c:pt idx="64">
                  <c:v>0.11028416779431631</c:v>
                </c:pt>
                <c:pt idx="65">
                  <c:v>9.2473118279569888E-2</c:v>
                </c:pt>
                <c:pt idx="66">
                  <c:v>0.1072851451337507</c:v>
                </c:pt>
                <c:pt idx="67">
                  <c:v>0.10563082133784928</c:v>
                </c:pt>
                <c:pt idx="68">
                  <c:v>0.1093969144460028</c:v>
                </c:pt>
                <c:pt idx="69">
                  <c:v>8.6671192577506231E-2</c:v>
                </c:pt>
                <c:pt idx="70">
                  <c:v>9.964747356051705E-2</c:v>
                </c:pt>
                <c:pt idx="71">
                  <c:v>0.10678642714570857</c:v>
                </c:pt>
                <c:pt idx="72">
                  <c:v>9.4804583267932827E-2</c:v>
                </c:pt>
                <c:pt idx="73">
                  <c:v>6.7164179104477612E-2</c:v>
                </c:pt>
                <c:pt idx="74">
                  <c:v>9.1557440246723201E-2</c:v>
                </c:pt>
                <c:pt idx="75">
                  <c:v>8.7296308613235785E-2</c:v>
                </c:pt>
                <c:pt idx="76">
                  <c:v>9.3584070796460181E-2</c:v>
                </c:pt>
                <c:pt idx="77">
                  <c:v>9.3821510297482827E-2</c:v>
                </c:pt>
                <c:pt idx="78">
                  <c:v>0.1138555633968478</c:v>
                </c:pt>
                <c:pt idx="79">
                  <c:v>0.10333919156414763</c:v>
                </c:pt>
                <c:pt idx="80">
                  <c:v>0.13506640293868324</c:v>
                </c:pt>
                <c:pt idx="81">
                  <c:v>0.11391752577319589</c:v>
                </c:pt>
                <c:pt idx="82">
                  <c:v>0.1287295476419634</c:v>
                </c:pt>
                <c:pt idx="83">
                  <c:v>6.7940169399891864E-2</c:v>
                </c:pt>
                <c:pt idx="84">
                  <c:v>5.9234144395691864E-2</c:v>
                </c:pt>
                <c:pt idx="85">
                  <c:v>9.0119435396308373E-2</c:v>
                </c:pt>
                <c:pt idx="86">
                  <c:v>9.0909090909090912E-2</c:v>
                </c:pt>
                <c:pt idx="87">
                  <c:v>8.0762250453720513E-2</c:v>
                </c:pt>
                <c:pt idx="88">
                  <c:v>0.11587026491705867</c:v>
                </c:pt>
                <c:pt idx="89">
                  <c:v>0.10575996917742247</c:v>
                </c:pt>
                <c:pt idx="90">
                  <c:v>0.13136779249860048</c:v>
                </c:pt>
                <c:pt idx="91">
                  <c:v>9.6919808815719599E-2</c:v>
                </c:pt>
                <c:pt idx="92">
                  <c:v>0.10633772862611654</c:v>
                </c:pt>
                <c:pt idx="93">
                  <c:v>0.10200364298724955</c:v>
                </c:pt>
                <c:pt idx="94">
                  <c:v>7.5018568952711057E-2</c:v>
                </c:pt>
                <c:pt idx="95">
                  <c:v>0.125</c:v>
                </c:pt>
                <c:pt idx="96">
                  <c:v>0.10886625480046752</c:v>
                </c:pt>
                <c:pt idx="97">
                  <c:v>0.16279690419001869</c:v>
                </c:pt>
                <c:pt idx="98">
                  <c:v>8.3599234205488204E-2</c:v>
                </c:pt>
                <c:pt idx="99">
                  <c:v>9.4725793754919962E-2</c:v>
                </c:pt>
                <c:pt idx="100">
                  <c:v>0.10294117647058804</c:v>
                </c:pt>
                <c:pt idx="101">
                  <c:v>0.12979441546486653</c:v>
                </c:pt>
                <c:pt idx="102">
                  <c:v>8.8450454444690768E-2</c:v>
                </c:pt>
                <c:pt idx="103">
                  <c:v>0.11580176873018522</c:v>
                </c:pt>
                <c:pt idx="104">
                  <c:v>8.2979544577383241E-2</c:v>
                </c:pt>
                <c:pt idx="105">
                  <c:v>7.4975074775672973E-2</c:v>
                </c:pt>
                <c:pt idx="106">
                  <c:v>9.6723253059613115E-2</c:v>
                </c:pt>
                <c:pt idx="107">
                  <c:v>9.1158472251529635E-2</c:v>
                </c:pt>
                <c:pt idx="108">
                  <c:v>0.13588538168793349</c:v>
                </c:pt>
                <c:pt idx="109">
                  <c:v>0.14657210401891255</c:v>
                </c:pt>
                <c:pt idx="110">
                  <c:v>6.2273550724637687E-2</c:v>
                </c:pt>
                <c:pt idx="111">
                  <c:v>7.6266804550155123E-2</c:v>
                </c:pt>
                <c:pt idx="112">
                  <c:v>0.11130742049469965</c:v>
                </c:pt>
                <c:pt idx="113">
                  <c:v>9.495896834701055E-2</c:v>
                </c:pt>
                <c:pt idx="114">
                  <c:v>0.11113667740450967</c:v>
                </c:pt>
                <c:pt idx="115">
                  <c:v>0.14152239626270924</c:v>
                </c:pt>
                <c:pt idx="116">
                  <c:v>0.1152073732718894</c:v>
                </c:pt>
                <c:pt idx="117">
                  <c:v>0.11715109829154649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563-48C1-B2FF-35E54108915C}"/>
            </c:ext>
          </c:extLst>
        </c:ser>
        <c:ser>
          <c:idx val="2"/>
          <c:order val="2"/>
          <c:tx>
            <c:v>0.26 - 0.50</c:v>
          </c:tx>
          <c:spPr>
            <a:ln w="28575"/>
          </c:spPr>
          <c:marker>
            <c:symbol val="none"/>
          </c:marker>
          <c:trendline>
            <c:spPr>
              <a:ln w="38100">
                <a:solidFill>
                  <a:schemeClr val="accent3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2140690297799088E-2"/>
                  <c:y val="-5.5459811079410358E-2"/>
                </c:manualLayout>
              </c:layout>
              <c:numFmt formatCode="General" sourceLinked="0"/>
            </c:trendlineLbl>
          </c:trendline>
          <c:xVal>
            <c:numRef>
              <c:f>'[3]Amount of Events'!$A$2:$A$119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'[3]Amount of Events'!$X$2:$X$119</c:f>
              <c:numCache>
                <c:formatCode>General</c:formatCode>
                <c:ptCount val="118"/>
                <c:pt idx="0">
                  <c:v>0.16944365998305566</c:v>
                </c:pt>
                <c:pt idx="1">
                  <c:v>0.14557787633707253</c:v>
                </c:pt>
                <c:pt idx="2">
                  <c:v>0.20442743919103579</c:v>
                </c:pt>
                <c:pt idx="3">
                  <c:v>0.20474982706940259</c:v>
                </c:pt>
                <c:pt idx="4">
                  <c:v>0.17008603573792169</c:v>
                </c:pt>
                <c:pt idx="5">
                  <c:v>0.2656500802568218</c:v>
                </c:pt>
                <c:pt idx="6">
                  <c:v>0.24147982062780043</c:v>
                </c:pt>
                <c:pt idx="7">
                  <c:v>0.12925349512002113</c:v>
                </c:pt>
                <c:pt idx="8">
                  <c:v>0.1910652920962197</c:v>
                </c:pt>
                <c:pt idx="9">
                  <c:v>0.13081650570676032</c:v>
                </c:pt>
                <c:pt idx="10">
                  <c:v>0.14768174012593019</c:v>
                </c:pt>
                <c:pt idx="11">
                  <c:v>0.23611457036114547</c:v>
                </c:pt>
                <c:pt idx="12">
                  <c:v>0.27147335423197494</c:v>
                </c:pt>
                <c:pt idx="13">
                  <c:v>0.22553191489361479</c:v>
                </c:pt>
                <c:pt idx="14">
                  <c:v>0.16670467502850625</c:v>
                </c:pt>
                <c:pt idx="15">
                  <c:v>0.19451728247914182</c:v>
                </c:pt>
                <c:pt idx="16">
                  <c:v>0.25267196492189614</c:v>
                </c:pt>
                <c:pt idx="17">
                  <c:v>0.16277372262773723</c:v>
                </c:pt>
                <c:pt idx="18">
                  <c:v>0.18020400453343408</c:v>
                </c:pt>
                <c:pt idx="19">
                  <c:v>0.20872274143302116</c:v>
                </c:pt>
                <c:pt idx="20">
                  <c:v>0.10135726795096323</c:v>
                </c:pt>
                <c:pt idx="21">
                  <c:v>0.23637406769936892</c:v>
                </c:pt>
                <c:pt idx="22">
                  <c:v>0.2296710117939165</c:v>
                </c:pt>
                <c:pt idx="23">
                  <c:v>0.32466567607726521</c:v>
                </c:pt>
                <c:pt idx="24">
                  <c:v>0.21150639244024461</c:v>
                </c:pt>
                <c:pt idx="25">
                  <c:v>0.16565278427702362</c:v>
                </c:pt>
                <c:pt idx="26">
                  <c:v>0.37759472817133111</c:v>
                </c:pt>
                <c:pt idx="27">
                  <c:v>0.16442816442816444</c:v>
                </c:pt>
                <c:pt idx="28">
                  <c:v>0.14335511982570806</c:v>
                </c:pt>
                <c:pt idx="29">
                  <c:v>0.26764843384759229</c:v>
                </c:pt>
                <c:pt idx="30">
                  <c:v>0.30799886137204668</c:v>
                </c:pt>
                <c:pt idx="31">
                  <c:v>0.29679364209372427</c:v>
                </c:pt>
                <c:pt idx="32">
                  <c:v>0.12725490196078432</c:v>
                </c:pt>
                <c:pt idx="33">
                  <c:v>0.14806629834254145</c:v>
                </c:pt>
                <c:pt idx="34">
                  <c:v>0.10092480900683554</c:v>
                </c:pt>
                <c:pt idx="35">
                  <c:v>0.18874729502284202</c:v>
                </c:pt>
                <c:pt idx="36">
                  <c:v>0.19741026805997272</c:v>
                </c:pt>
                <c:pt idx="37">
                  <c:v>0.12756689483509645</c:v>
                </c:pt>
                <c:pt idx="38">
                  <c:v>0.19409090909090906</c:v>
                </c:pt>
                <c:pt idx="39">
                  <c:v>0.15029425079221323</c:v>
                </c:pt>
                <c:pt idx="40">
                  <c:v>0.13964329144710172</c:v>
                </c:pt>
                <c:pt idx="41">
                  <c:v>0.24177071509648124</c:v>
                </c:pt>
                <c:pt idx="42">
                  <c:v>0.13154150197628459</c:v>
                </c:pt>
                <c:pt idx="43">
                  <c:v>0.19367701509541441</c:v>
                </c:pt>
                <c:pt idx="44">
                  <c:v>0.13601348098218585</c:v>
                </c:pt>
                <c:pt idx="45">
                  <c:v>0.21128170894526035</c:v>
                </c:pt>
                <c:pt idx="46">
                  <c:v>0.21728903263745958</c:v>
                </c:pt>
                <c:pt idx="47">
                  <c:v>0.20073059360730414</c:v>
                </c:pt>
                <c:pt idx="48">
                  <c:v>0.20786516853932582</c:v>
                </c:pt>
                <c:pt idx="49">
                  <c:v>0.2822085889570552</c:v>
                </c:pt>
                <c:pt idx="50">
                  <c:v>0.24439102564102561</c:v>
                </c:pt>
                <c:pt idx="51">
                  <c:v>0.2460864120225402</c:v>
                </c:pt>
                <c:pt idx="52">
                  <c:v>0.1205293276108725</c:v>
                </c:pt>
                <c:pt idx="53">
                  <c:v>0.25966408957611276</c:v>
                </c:pt>
                <c:pt idx="54">
                  <c:v>0.1132887189292543</c:v>
                </c:pt>
                <c:pt idx="55">
                  <c:v>0.16693354683746975</c:v>
                </c:pt>
                <c:pt idx="56">
                  <c:v>0.25296538368433791</c:v>
                </c:pt>
                <c:pt idx="57">
                  <c:v>0.2057580559957739</c:v>
                </c:pt>
                <c:pt idx="58">
                  <c:v>0.18183940242763771</c:v>
                </c:pt>
                <c:pt idx="59">
                  <c:v>0.21880650994575043</c:v>
                </c:pt>
                <c:pt idx="60">
                  <c:v>0.20411764705882354</c:v>
                </c:pt>
                <c:pt idx="61">
                  <c:v>0.26842226842226841</c:v>
                </c:pt>
                <c:pt idx="62">
                  <c:v>0.18161559888579359</c:v>
                </c:pt>
                <c:pt idx="63">
                  <c:v>0.29259796806966615</c:v>
                </c:pt>
                <c:pt idx="64">
                  <c:v>0.23917456021650882</c:v>
                </c:pt>
                <c:pt idx="65">
                  <c:v>0.19692780337941632</c:v>
                </c:pt>
                <c:pt idx="66">
                  <c:v>0.19664200341491178</c:v>
                </c:pt>
                <c:pt idx="67">
                  <c:v>0.13357324301439435</c:v>
                </c:pt>
                <c:pt idx="68">
                  <c:v>0.13557737260402056</c:v>
                </c:pt>
                <c:pt idx="69">
                  <c:v>0.14980764878931885</c:v>
                </c:pt>
                <c:pt idx="70">
                  <c:v>0.18260869565217369</c:v>
                </c:pt>
                <c:pt idx="71">
                  <c:v>0.18862275449101776</c:v>
                </c:pt>
                <c:pt idx="72">
                  <c:v>0.16433840841312197</c:v>
                </c:pt>
                <c:pt idx="73">
                  <c:v>0.1762852404643433</c:v>
                </c:pt>
                <c:pt idx="74">
                  <c:v>0.19178874325366227</c:v>
                </c:pt>
                <c:pt idx="75">
                  <c:v>0.20285999334885102</c:v>
                </c:pt>
                <c:pt idx="76">
                  <c:v>0.18584070796460153</c:v>
                </c:pt>
                <c:pt idx="77">
                  <c:v>0.16850426461410442</c:v>
                </c:pt>
                <c:pt idx="78">
                  <c:v>0.20230533992001881</c:v>
                </c:pt>
                <c:pt idx="79">
                  <c:v>0.16748681898066783</c:v>
                </c:pt>
                <c:pt idx="80">
                  <c:v>0.1542808703023453</c:v>
                </c:pt>
                <c:pt idx="81">
                  <c:v>0.16778350515463919</c:v>
                </c:pt>
                <c:pt idx="82">
                  <c:v>0.12945139557266577</c:v>
                </c:pt>
                <c:pt idx="83">
                  <c:v>0.11389439538655614</c:v>
                </c:pt>
                <c:pt idx="84">
                  <c:v>0.17032309533306739</c:v>
                </c:pt>
                <c:pt idx="85">
                  <c:v>0.1491856677524428</c:v>
                </c:pt>
                <c:pt idx="86">
                  <c:v>0.24115539632781013</c:v>
                </c:pt>
                <c:pt idx="87">
                  <c:v>0.17422867513611615</c:v>
                </c:pt>
                <c:pt idx="88">
                  <c:v>0.19212676405050755</c:v>
                </c:pt>
                <c:pt idx="89">
                  <c:v>0.25081872471585248</c:v>
                </c:pt>
                <c:pt idx="90">
                  <c:v>0.15096100018660177</c:v>
                </c:pt>
                <c:pt idx="91">
                  <c:v>0.21109930961232054</c:v>
                </c:pt>
                <c:pt idx="92">
                  <c:v>0.15971926839642703</c:v>
                </c:pt>
                <c:pt idx="93">
                  <c:v>0.14412568306010928</c:v>
                </c:pt>
                <c:pt idx="94">
                  <c:v>0.16712057439960387</c:v>
                </c:pt>
                <c:pt idx="95">
                  <c:v>0.14362980769230768</c:v>
                </c:pt>
                <c:pt idx="96">
                  <c:v>0.13424611788278509</c:v>
                </c:pt>
                <c:pt idx="97">
                  <c:v>0.12543368027755514</c:v>
                </c:pt>
                <c:pt idx="98">
                  <c:v>0.20389278876834716</c:v>
                </c:pt>
                <c:pt idx="99">
                  <c:v>0.20703227499344004</c:v>
                </c:pt>
                <c:pt idx="100">
                  <c:v>0.15686274509803921</c:v>
                </c:pt>
                <c:pt idx="101">
                  <c:v>0.19054924823565478</c:v>
                </c:pt>
                <c:pt idx="102">
                  <c:v>0.13677676790068721</c:v>
                </c:pt>
                <c:pt idx="103">
                  <c:v>0.16869681294843819</c:v>
                </c:pt>
                <c:pt idx="104">
                  <c:v>0.1572751833269006</c:v>
                </c:pt>
                <c:pt idx="105">
                  <c:v>0.18125623130608176</c:v>
                </c:pt>
                <c:pt idx="106">
                  <c:v>0.17094354520331603</c:v>
                </c:pt>
                <c:pt idx="107">
                  <c:v>0.11648027009917683</c:v>
                </c:pt>
                <c:pt idx="108">
                  <c:v>0.17103201253637787</c:v>
                </c:pt>
                <c:pt idx="109">
                  <c:v>0.22624113475177307</c:v>
                </c:pt>
                <c:pt idx="110">
                  <c:v>0.21625905797101452</c:v>
                </c:pt>
                <c:pt idx="111">
                  <c:v>0.13379007238883142</c:v>
                </c:pt>
                <c:pt idx="112">
                  <c:v>0.19942579505300351</c:v>
                </c:pt>
                <c:pt idx="113">
                  <c:v>0.18522860492379811</c:v>
                </c:pt>
                <c:pt idx="114">
                  <c:v>0.21053842613897839</c:v>
                </c:pt>
                <c:pt idx="115">
                  <c:v>0.1236603462489695</c:v>
                </c:pt>
                <c:pt idx="116">
                  <c:v>0.33870967741935487</c:v>
                </c:pt>
                <c:pt idx="117">
                  <c:v>0.21633015309518527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1563-48C1-B2FF-35E54108915C}"/>
            </c:ext>
          </c:extLst>
        </c:ser>
        <c:ser>
          <c:idx val="3"/>
          <c:order val="3"/>
          <c:tx>
            <c:v>0.51 - 1.00</c:v>
          </c:tx>
          <c:spPr>
            <a:ln w="28575"/>
          </c:spPr>
          <c:marker>
            <c:symbol val="none"/>
          </c:marker>
          <c:trendline>
            <c:spPr>
              <a:ln w="38100">
                <a:solidFill>
                  <a:schemeClr val="accent4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3835615844190701E-2"/>
                  <c:y val="-5.914816004182228E-2"/>
                </c:manualLayout>
              </c:layout>
              <c:numFmt formatCode="General" sourceLinked="0"/>
            </c:trendlineLbl>
          </c:trendline>
          <c:xVal>
            <c:numRef>
              <c:f>'[3]Amount of Events'!$A$2:$A$119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'[3]Amount of Events'!$Y$2:$Y$119</c:f>
              <c:numCache>
                <c:formatCode>General</c:formatCode>
                <c:ptCount val="118"/>
                <c:pt idx="0">
                  <c:v>0.2386331544761367</c:v>
                </c:pt>
                <c:pt idx="1">
                  <c:v>0.25045656144012524</c:v>
                </c:pt>
                <c:pt idx="2">
                  <c:v>0.33779721235310189</c:v>
                </c:pt>
                <c:pt idx="3">
                  <c:v>0.29536545999538855</c:v>
                </c:pt>
                <c:pt idx="4">
                  <c:v>0.36245312155305537</c:v>
                </c:pt>
                <c:pt idx="5">
                  <c:v>0.17817014446227908</c:v>
                </c:pt>
                <c:pt idx="6">
                  <c:v>0.31726457399103136</c:v>
                </c:pt>
                <c:pt idx="7">
                  <c:v>0.20891585333685045</c:v>
                </c:pt>
                <c:pt idx="8">
                  <c:v>0.40412371134020619</c:v>
                </c:pt>
                <c:pt idx="9">
                  <c:v>0.2627304653204543</c:v>
                </c:pt>
                <c:pt idx="10">
                  <c:v>0.36119061247853462</c:v>
                </c:pt>
                <c:pt idx="11">
                  <c:v>0.21469489414694892</c:v>
                </c:pt>
                <c:pt idx="12">
                  <c:v>0.37711598746081193</c:v>
                </c:pt>
                <c:pt idx="13">
                  <c:v>0.32609182530795072</c:v>
                </c:pt>
                <c:pt idx="14">
                  <c:v>0.31972633979475484</c:v>
                </c:pt>
                <c:pt idx="15">
                  <c:v>0.29654350417163289</c:v>
                </c:pt>
                <c:pt idx="16">
                  <c:v>0.29350506988215952</c:v>
                </c:pt>
                <c:pt idx="17">
                  <c:v>0.33430656934306324</c:v>
                </c:pt>
                <c:pt idx="18">
                  <c:v>0.44805440120891576</c:v>
                </c:pt>
                <c:pt idx="19">
                  <c:v>0.59813084112149528</c:v>
                </c:pt>
                <c:pt idx="20">
                  <c:v>0.3266199649737303</c:v>
                </c:pt>
                <c:pt idx="21">
                  <c:v>0.33390705679862309</c:v>
                </c:pt>
                <c:pt idx="22">
                  <c:v>0.3252638112973309</c:v>
                </c:pt>
                <c:pt idx="23">
                  <c:v>0.20728083209509657</c:v>
                </c:pt>
                <c:pt idx="24">
                  <c:v>0.22901612006670374</c:v>
                </c:pt>
                <c:pt idx="25">
                  <c:v>0.42302292934019647</c:v>
                </c:pt>
                <c:pt idx="26">
                  <c:v>0.24481054365733113</c:v>
                </c:pt>
                <c:pt idx="27">
                  <c:v>0.30687830687830486</c:v>
                </c:pt>
                <c:pt idx="28">
                  <c:v>0.31873638344226363</c:v>
                </c:pt>
                <c:pt idx="29">
                  <c:v>0.30177653108929403</c:v>
                </c:pt>
                <c:pt idx="30">
                  <c:v>0.22003985197836576</c:v>
                </c:pt>
                <c:pt idx="31">
                  <c:v>0.26555220608385854</c:v>
                </c:pt>
                <c:pt idx="32">
                  <c:v>0.22333333333333336</c:v>
                </c:pt>
                <c:pt idx="33">
                  <c:v>0.26298342541436465</c:v>
                </c:pt>
                <c:pt idx="34">
                  <c:v>0.23522316043425812</c:v>
                </c:pt>
                <c:pt idx="35">
                  <c:v>0.26568886751622983</c:v>
                </c:pt>
                <c:pt idx="36">
                  <c:v>0.30304407087687185</c:v>
                </c:pt>
                <c:pt idx="37">
                  <c:v>0.23978427712092718</c:v>
                </c:pt>
                <c:pt idx="38">
                  <c:v>0.29568181818181816</c:v>
                </c:pt>
                <c:pt idx="39">
                  <c:v>0.33318243549117249</c:v>
                </c:pt>
                <c:pt idx="40">
                  <c:v>0.40028374543980338</c:v>
                </c:pt>
                <c:pt idx="41">
                  <c:v>0.28234960272417703</c:v>
                </c:pt>
                <c:pt idx="42">
                  <c:v>0.36047430830039529</c:v>
                </c:pt>
                <c:pt idx="43">
                  <c:v>0.3241241811449701</c:v>
                </c:pt>
                <c:pt idx="44">
                  <c:v>0.40009629272989894</c:v>
                </c:pt>
                <c:pt idx="45">
                  <c:v>0.2186248331108144</c:v>
                </c:pt>
                <c:pt idx="46">
                  <c:v>0.31255513084386649</c:v>
                </c:pt>
                <c:pt idx="47">
                  <c:v>0.21369863013698628</c:v>
                </c:pt>
                <c:pt idx="48">
                  <c:v>0.38656006914433882</c:v>
                </c:pt>
                <c:pt idx="49">
                  <c:v>0.37755623721881137</c:v>
                </c:pt>
                <c:pt idx="50">
                  <c:v>0.34675480769230765</c:v>
                </c:pt>
                <c:pt idx="51">
                  <c:v>0.28470048006678983</c:v>
                </c:pt>
                <c:pt idx="52">
                  <c:v>0.21673819742489267</c:v>
                </c:pt>
                <c:pt idx="53">
                  <c:v>0.26552919221540899</c:v>
                </c:pt>
                <c:pt idx="54">
                  <c:v>0.37045889101338431</c:v>
                </c:pt>
                <c:pt idx="55">
                  <c:v>0.12830264211369094</c:v>
                </c:pt>
                <c:pt idx="56">
                  <c:v>0.36189784555797622</c:v>
                </c:pt>
                <c:pt idx="57">
                  <c:v>0.29609086106708932</c:v>
                </c:pt>
                <c:pt idx="58">
                  <c:v>0.32563025210083796</c:v>
                </c:pt>
                <c:pt idx="59">
                  <c:v>0.31916817359855332</c:v>
                </c:pt>
                <c:pt idx="60">
                  <c:v>0.22803921568627253</c:v>
                </c:pt>
                <c:pt idx="61">
                  <c:v>0.36220836220835989</c:v>
                </c:pt>
                <c:pt idx="62">
                  <c:v>0.35793871866294991</c:v>
                </c:pt>
                <c:pt idx="63">
                  <c:v>0.16748911465892596</c:v>
                </c:pt>
                <c:pt idx="64">
                  <c:v>0.32205683355886333</c:v>
                </c:pt>
                <c:pt idx="65">
                  <c:v>0.50384024577572961</c:v>
                </c:pt>
                <c:pt idx="66">
                  <c:v>0.29624359704040981</c:v>
                </c:pt>
                <c:pt idx="67">
                  <c:v>0.3016511430990686</c:v>
                </c:pt>
                <c:pt idx="68">
                  <c:v>0.32071061243571525</c:v>
                </c:pt>
                <c:pt idx="69">
                  <c:v>0.3604887983706721</c:v>
                </c:pt>
                <c:pt idx="70">
                  <c:v>0.47450058754406588</c:v>
                </c:pt>
                <c:pt idx="71">
                  <c:v>0.28562874251497006</c:v>
                </c:pt>
                <c:pt idx="72">
                  <c:v>0.28551247841782917</c:v>
                </c:pt>
                <c:pt idx="73">
                  <c:v>0.25721393034825873</c:v>
                </c:pt>
                <c:pt idx="74">
                  <c:v>0.37239784117193331</c:v>
                </c:pt>
                <c:pt idx="75">
                  <c:v>0.18739607582307782</c:v>
                </c:pt>
                <c:pt idx="76">
                  <c:v>0.43473451327433404</c:v>
                </c:pt>
                <c:pt idx="77">
                  <c:v>0.31183690451425006</c:v>
                </c:pt>
                <c:pt idx="78">
                  <c:v>0.23100446953657966</c:v>
                </c:pt>
                <c:pt idx="79">
                  <c:v>0.24253075571177329</c:v>
                </c:pt>
                <c:pt idx="80">
                  <c:v>0.3181689742865188</c:v>
                </c:pt>
                <c:pt idx="81">
                  <c:v>0.31701030927834795</c:v>
                </c:pt>
                <c:pt idx="82">
                  <c:v>0.28585178055822907</c:v>
                </c:pt>
                <c:pt idx="83">
                  <c:v>0.28779960353216794</c:v>
                </c:pt>
                <c:pt idx="84">
                  <c:v>0.36318308735540489</c:v>
                </c:pt>
                <c:pt idx="85">
                  <c:v>0.24951140065146366</c:v>
                </c:pt>
                <c:pt idx="86">
                  <c:v>0.29377519032691446</c:v>
                </c:pt>
                <c:pt idx="87">
                  <c:v>0.26542649727767692</c:v>
                </c:pt>
                <c:pt idx="88">
                  <c:v>0.31988115870264916</c:v>
                </c:pt>
                <c:pt idx="89">
                  <c:v>0.27643999229435562</c:v>
                </c:pt>
                <c:pt idx="90">
                  <c:v>0.28624743422280274</c:v>
                </c:pt>
                <c:pt idx="91">
                  <c:v>0.34094530005310675</c:v>
                </c:pt>
                <c:pt idx="92">
                  <c:v>0.3341131433432582</c:v>
                </c:pt>
                <c:pt idx="93">
                  <c:v>0.3121584699453529</c:v>
                </c:pt>
                <c:pt idx="94">
                  <c:v>0.34538252042584794</c:v>
                </c:pt>
                <c:pt idx="95">
                  <c:v>0.30018028846153844</c:v>
                </c:pt>
                <c:pt idx="96">
                  <c:v>0.22507931207213225</c:v>
                </c:pt>
                <c:pt idx="97">
                  <c:v>0.3197224446223646</c:v>
                </c:pt>
                <c:pt idx="98">
                  <c:v>0.27600510529674538</c:v>
                </c:pt>
                <c:pt idx="99">
                  <c:v>0.34610338493833637</c:v>
                </c:pt>
                <c:pt idx="100">
                  <c:v>0.29677287581699141</c:v>
                </c:pt>
                <c:pt idx="101">
                  <c:v>0.3258668303160478</c:v>
                </c:pt>
                <c:pt idx="102">
                  <c:v>0.30059853690977389</c:v>
                </c:pt>
                <c:pt idx="103">
                  <c:v>0.17036542633071919</c:v>
                </c:pt>
                <c:pt idx="104">
                  <c:v>0.29621767657275183</c:v>
                </c:pt>
                <c:pt idx="105">
                  <c:v>0.28215353938185245</c:v>
                </c:pt>
                <c:pt idx="106">
                  <c:v>0.28701144887485197</c:v>
                </c:pt>
                <c:pt idx="107">
                  <c:v>0.32538510234226631</c:v>
                </c:pt>
                <c:pt idx="108">
                  <c:v>0.17036042086411438</c:v>
                </c:pt>
                <c:pt idx="109">
                  <c:v>0.39030732860520101</c:v>
                </c:pt>
                <c:pt idx="110">
                  <c:v>0.23618659420289856</c:v>
                </c:pt>
                <c:pt idx="111">
                  <c:v>0.22194932781799381</c:v>
                </c:pt>
                <c:pt idx="112">
                  <c:v>0.36174911660777165</c:v>
                </c:pt>
                <c:pt idx="113">
                  <c:v>0.30128956623681125</c:v>
                </c:pt>
                <c:pt idx="114">
                  <c:v>0.22411412793373217</c:v>
                </c:pt>
                <c:pt idx="115">
                  <c:v>0.39543830722726026</c:v>
                </c:pt>
                <c:pt idx="116">
                  <c:v>0.18087557603686638</c:v>
                </c:pt>
                <c:pt idx="117">
                  <c:v>0.25626802751275568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1563-48C1-B2FF-35E541089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152064"/>
        <c:axId val="120153984"/>
      </c:scatterChart>
      <c:valAx>
        <c:axId val="120152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Year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0153984"/>
        <c:crosses val="autoZero"/>
        <c:crossBetween val="midCat"/>
      </c:valAx>
      <c:valAx>
        <c:axId val="120153984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201520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40000"/>
        <a:lumOff val="60000"/>
      </a:schemeClr>
    </a:solidFill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Sussex: </a:t>
            </a:r>
            <a:r>
              <a:rPr lang="en-US"/>
              <a:t>Total Precip Within </a:t>
            </a:r>
            <a:r>
              <a:rPr lang="en-US" baseline="0"/>
              <a:t>B</a:t>
            </a:r>
            <a:r>
              <a:rPr lang="en-US"/>
              <a:t>ins as a Percentage of Annual Rainfall (Large)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1.01 - 2.00</c:v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5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7.7013546525606158E-2"/>
                  <c:y val="-9.6133876154550057E-3"/>
                </c:manualLayout>
              </c:layout>
              <c:numFmt formatCode="General" sourceLinked="0"/>
            </c:trendlineLbl>
          </c:trendline>
          <c:xVal>
            <c:numRef>
              <c:f>'[3]Amount of Events'!$A$2:$A$119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'[3]Amount of Events'!$AI$2:$AI$119</c:f>
              <c:numCache>
                <c:formatCode>General</c:formatCode>
                <c:ptCount val="118"/>
                <c:pt idx="0">
                  <c:v>0.26404970347359502</c:v>
                </c:pt>
                <c:pt idx="1">
                  <c:v>0.17662405426558805</c:v>
                </c:pt>
                <c:pt idx="2">
                  <c:v>0.27001913091008445</c:v>
                </c:pt>
                <c:pt idx="3">
                  <c:v>0.20774729075397741</c:v>
                </c:pt>
                <c:pt idx="4">
                  <c:v>0.22457533642179575</c:v>
                </c:pt>
                <c:pt idx="5">
                  <c:v>0.3874398073836276</c:v>
                </c:pt>
                <c:pt idx="6">
                  <c:v>0.30044843049327352</c:v>
                </c:pt>
                <c:pt idx="7">
                  <c:v>0.329992086520707</c:v>
                </c:pt>
                <c:pt idx="8">
                  <c:v>0.27995418098510882</c:v>
                </c:pt>
                <c:pt idx="9">
                  <c:v>0.34613696224758561</c:v>
                </c:pt>
                <c:pt idx="10">
                  <c:v>0.35603892386949032</c:v>
                </c:pt>
                <c:pt idx="11">
                  <c:v>0.39900373599003713</c:v>
                </c:pt>
                <c:pt idx="12">
                  <c:v>0.17366771159874608</c:v>
                </c:pt>
                <c:pt idx="13">
                  <c:v>0.21097424412094065</c:v>
                </c:pt>
                <c:pt idx="14">
                  <c:v>0.32976054732041049</c:v>
                </c:pt>
                <c:pt idx="15">
                  <c:v>0.33373063170440975</c:v>
                </c:pt>
                <c:pt idx="16">
                  <c:v>0.29049054535489177</c:v>
                </c:pt>
                <c:pt idx="17">
                  <c:v>0.31070559610705573</c:v>
                </c:pt>
                <c:pt idx="18">
                  <c:v>0.14204760105780129</c:v>
                </c:pt>
                <c:pt idx="19">
                  <c:v>6.4174454828660438E-2</c:v>
                </c:pt>
                <c:pt idx="20">
                  <c:v>0.36974605954465845</c:v>
                </c:pt>
                <c:pt idx="21">
                  <c:v>0.25903614457831325</c:v>
                </c:pt>
                <c:pt idx="22">
                  <c:v>0.30664183736809436</c:v>
                </c:pt>
                <c:pt idx="23">
                  <c:v>0.28008915304606163</c:v>
                </c:pt>
                <c:pt idx="24">
                  <c:v>0.21984435797665372</c:v>
                </c:pt>
                <c:pt idx="25">
                  <c:v>0.28427702386523163</c:v>
                </c:pt>
                <c:pt idx="26">
                  <c:v>0.18912685337726523</c:v>
                </c:pt>
                <c:pt idx="27">
                  <c:v>0.22161172161172141</c:v>
                </c:pt>
                <c:pt idx="28">
                  <c:v>0.28235294117647058</c:v>
                </c:pt>
                <c:pt idx="29">
                  <c:v>0.2445067788686302</c:v>
                </c:pt>
                <c:pt idx="30">
                  <c:v>0.10418445772843724</c:v>
                </c:pt>
                <c:pt idx="31">
                  <c:v>0.24801315428884596</c:v>
                </c:pt>
                <c:pt idx="32">
                  <c:v>0.31764705882352939</c:v>
                </c:pt>
                <c:pt idx="33">
                  <c:v>0.36265193370165749</c:v>
                </c:pt>
                <c:pt idx="34">
                  <c:v>0.378367511057499</c:v>
                </c:pt>
                <c:pt idx="35">
                  <c:v>0.24693435922096632</c:v>
                </c:pt>
                <c:pt idx="36">
                  <c:v>0.34120854157201269</c:v>
                </c:pt>
                <c:pt idx="37">
                  <c:v>0.4150591163658971</c:v>
                </c:pt>
                <c:pt idx="38">
                  <c:v>0.38272727272727275</c:v>
                </c:pt>
                <c:pt idx="39">
                  <c:v>0.30511543684925263</c:v>
                </c:pt>
                <c:pt idx="40">
                  <c:v>0.26813944061613093</c:v>
                </c:pt>
                <c:pt idx="41">
                  <c:v>0.28575482406356412</c:v>
                </c:pt>
                <c:pt idx="42">
                  <c:v>0.25675889328063239</c:v>
                </c:pt>
                <c:pt idx="43">
                  <c:v>0.25719168328111652</c:v>
                </c:pt>
                <c:pt idx="44">
                  <c:v>0.25565719788155994</c:v>
                </c:pt>
                <c:pt idx="45">
                  <c:v>0.27753671562082771</c:v>
                </c:pt>
                <c:pt idx="46">
                  <c:v>0.17259629520729197</c:v>
                </c:pt>
                <c:pt idx="47">
                  <c:v>0.37625570776255707</c:v>
                </c:pt>
                <c:pt idx="48">
                  <c:v>0.1510371650821089</c:v>
                </c:pt>
                <c:pt idx="49">
                  <c:v>0.1196319018404908</c:v>
                </c:pt>
                <c:pt idx="50">
                  <c:v>9.8758012820512817E-2</c:v>
                </c:pt>
                <c:pt idx="51">
                  <c:v>0.27864746399499063</c:v>
                </c:pt>
                <c:pt idx="52">
                  <c:v>0.30507868383404863</c:v>
                </c:pt>
                <c:pt idx="53">
                  <c:v>0.22474006931484941</c:v>
                </c:pt>
                <c:pt idx="54">
                  <c:v>0.1061185468451238</c:v>
                </c:pt>
                <c:pt idx="55">
                  <c:v>0.2375900720576461</c:v>
                </c:pt>
                <c:pt idx="56">
                  <c:v>0.18300653594771241</c:v>
                </c:pt>
                <c:pt idx="57">
                  <c:v>0.22081352350765981</c:v>
                </c:pt>
                <c:pt idx="58">
                  <c:v>0.24906629318394022</c:v>
                </c:pt>
                <c:pt idx="59">
                  <c:v>0.24073236889692584</c:v>
                </c:pt>
                <c:pt idx="60">
                  <c:v>0.32313725490196077</c:v>
                </c:pt>
                <c:pt idx="61">
                  <c:v>0.10695310695310695</c:v>
                </c:pt>
                <c:pt idx="62">
                  <c:v>0.26657381615598885</c:v>
                </c:pt>
                <c:pt idx="63">
                  <c:v>0.35152394775036278</c:v>
                </c:pt>
                <c:pt idx="64">
                  <c:v>0.24560216508795674</c:v>
                </c:pt>
                <c:pt idx="65">
                  <c:v>0.12288786482334871</c:v>
                </c:pt>
                <c:pt idx="66">
                  <c:v>0.31815594763801935</c:v>
                </c:pt>
                <c:pt idx="67">
                  <c:v>0.40622353937341238</c:v>
                </c:pt>
                <c:pt idx="68">
                  <c:v>0.21107994389901824</c:v>
                </c:pt>
                <c:pt idx="69">
                  <c:v>0.2928264313193028</c:v>
                </c:pt>
                <c:pt idx="70">
                  <c:v>0.18378378378378379</c:v>
                </c:pt>
                <c:pt idx="71">
                  <c:v>0.20139720558882235</c:v>
                </c:pt>
                <c:pt idx="72">
                  <c:v>0.32365405744781039</c:v>
                </c:pt>
                <c:pt idx="73">
                  <c:v>0.33565505804311757</c:v>
                </c:pt>
                <c:pt idx="74">
                  <c:v>0.25944487278334616</c:v>
                </c:pt>
                <c:pt idx="75">
                  <c:v>0.36930495510475536</c:v>
                </c:pt>
                <c:pt idx="76">
                  <c:v>0.24734513274336281</c:v>
                </c:pt>
                <c:pt idx="77">
                  <c:v>0.23236946120241314</c:v>
                </c:pt>
                <c:pt idx="78">
                  <c:v>0.34838861444365798</c:v>
                </c:pt>
                <c:pt idx="79">
                  <c:v>0.17592267135325135</c:v>
                </c:pt>
                <c:pt idx="80">
                  <c:v>0.24611472167278892</c:v>
                </c:pt>
                <c:pt idx="81">
                  <c:v>0.27396907216494848</c:v>
                </c:pt>
                <c:pt idx="82">
                  <c:v>0.24254090471607315</c:v>
                </c:pt>
                <c:pt idx="83">
                  <c:v>0.45521715624436832</c:v>
                </c:pt>
                <c:pt idx="84">
                  <c:v>0.25109692859992006</c:v>
                </c:pt>
                <c:pt idx="85">
                  <c:v>0.39326818675352665</c:v>
                </c:pt>
                <c:pt idx="86">
                  <c:v>0.29086430810568742</c:v>
                </c:pt>
                <c:pt idx="87">
                  <c:v>0.35662431941923778</c:v>
                </c:pt>
                <c:pt idx="88">
                  <c:v>0.27234463976231738</c:v>
                </c:pt>
                <c:pt idx="89">
                  <c:v>0.10903486804083992</c:v>
                </c:pt>
                <c:pt idx="90">
                  <c:v>0.31274491509609981</c:v>
                </c:pt>
                <c:pt idx="91">
                  <c:v>0.2177376526818906</c:v>
                </c:pt>
                <c:pt idx="92">
                  <c:v>0.31348362398979113</c:v>
                </c:pt>
                <c:pt idx="93">
                  <c:v>0.38752276867030966</c:v>
                </c:pt>
                <c:pt idx="94">
                  <c:v>0.25501361723198812</c:v>
                </c:pt>
                <c:pt idx="95">
                  <c:v>0.16496394230769232</c:v>
                </c:pt>
                <c:pt idx="96">
                  <c:v>0.24494907330105192</c:v>
                </c:pt>
                <c:pt idx="97">
                  <c:v>0.15799306111555911</c:v>
                </c:pt>
                <c:pt idx="98">
                  <c:v>0.37651563497128271</c:v>
                </c:pt>
                <c:pt idx="99">
                  <c:v>0.14720545788506953</c:v>
                </c:pt>
                <c:pt idx="100">
                  <c:v>0.18545751633986929</c:v>
                </c:pt>
                <c:pt idx="101">
                  <c:v>0.29119361767413282</c:v>
                </c:pt>
                <c:pt idx="102">
                  <c:v>0.35491021946353357</c:v>
                </c:pt>
                <c:pt idx="103">
                  <c:v>0.42466210579008845</c:v>
                </c:pt>
                <c:pt idx="104">
                  <c:v>0.18930914704747201</c:v>
                </c:pt>
                <c:pt idx="105">
                  <c:v>0.2119641076769691</c:v>
                </c:pt>
                <c:pt idx="106">
                  <c:v>0.42341097512830639</c:v>
                </c:pt>
                <c:pt idx="107">
                  <c:v>0.2481536189069424</c:v>
                </c:pt>
                <c:pt idx="108">
                  <c:v>0.44862323707186036</c:v>
                </c:pt>
                <c:pt idx="109">
                  <c:v>0.1822695035460993</c:v>
                </c:pt>
                <c:pt idx="110">
                  <c:v>0.28442028985507251</c:v>
                </c:pt>
                <c:pt idx="111">
                  <c:v>0.20423991726990692</c:v>
                </c:pt>
                <c:pt idx="112">
                  <c:v>0.20097173144876326</c:v>
                </c:pt>
                <c:pt idx="113">
                  <c:v>0.2541617819460727</c:v>
                </c:pt>
                <c:pt idx="114">
                  <c:v>0.26092959042797947</c:v>
                </c:pt>
                <c:pt idx="115">
                  <c:v>0.28469359714207171</c:v>
                </c:pt>
                <c:pt idx="116">
                  <c:v>0.30443548387096775</c:v>
                </c:pt>
                <c:pt idx="117">
                  <c:v>0.27357443976037277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4B4-42CD-9360-D2B78B175855}"/>
            </c:ext>
          </c:extLst>
        </c:ser>
        <c:ser>
          <c:idx val="1"/>
          <c:order val="1"/>
          <c:tx>
            <c:v>2.01+</c:v>
          </c:tx>
          <c:spPr>
            <a:ln w="28575">
              <a:solidFill>
                <a:schemeClr val="accent6"/>
              </a:solidFill>
            </a:ln>
          </c:spPr>
          <c:marker>
            <c:symbol val="none"/>
          </c:marker>
          <c:trendline>
            <c:spPr>
              <a:ln w="38100">
                <a:solidFill>
                  <a:schemeClr val="accent6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4530474594500735E-2"/>
                  <c:y val="-1.8567479079694176E-2"/>
                </c:manualLayout>
              </c:layout>
              <c:numFmt formatCode="General" sourceLinked="0"/>
            </c:trendlineLbl>
          </c:trendline>
          <c:xVal>
            <c:numRef>
              <c:f>'[3]Amount of Events'!$A$2:$A$119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'[3]Amount of Events'!$AJ$2:$AJ$119</c:f>
              <c:numCache>
                <c:formatCode>General</c:formatCode>
                <c:ptCount val="118"/>
                <c:pt idx="0">
                  <c:v>0.21123976277887604</c:v>
                </c:pt>
                <c:pt idx="1">
                  <c:v>0.30889642577615445</c:v>
                </c:pt>
                <c:pt idx="2">
                  <c:v>0</c:v>
                </c:pt>
                <c:pt idx="3">
                  <c:v>0.13304127276919531</c:v>
                </c:pt>
                <c:pt idx="4">
                  <c:v>9.6845356276196781E-2</c:v>
                </c:pt>
                <c:pt idx="5">
                  <c:v>0</c:v>
                </c:pt>
                <c:pt idx="6">
                  <c:v>4.9999999999999996E-2</c:v>
                </c:pt>
                <c:pt idx="7">
                  <c:v>0.13822210498549198</c:v>
                </c:pt>
                <c:pt idx="8">
                  <c:v>0</c:v>
                </c:pt>
                <c:pt idx="9">
                  <c:v>0.10228270412642669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7.0772676371780516E-2</c:v>
                </c:pt>
                <c:pt idx="14">
                  <c:v>4.5838084378563279E-2</c:v>
                </c:pt>
                <c:pt idx="15">
                  <c:v>5.2443384982121574E-2</c:v>
                </c:pt>
                <c:pt idx="16">
                  <c:v>0</c:v>
                </c:pt>
                <c:pt idx="17">
                  <c:v>5.59610705596107E-2</c:v>
                </c:pt>
                <c:pt idx="18">
                  <c:v>9.3313184737438618E-2</c:v>
                </c:pt>
                <c:pt idx="19">
                  <c:v>0</c:v>
                </c:pt>
                <c:pt idx="20">
                  <c:v>9.8073555166374796E-2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0.17787659811006118</c:v>
                </c:pt>
                <c:pt idx="25">
                  <c:v>0</c:v>
                </c:pt>
                <c:pt idx="26">
                  <c:v>0</c:v>
                </c:pt>
                <c:pt idx="27">
                  <c:v>0.1707366707366707</c:v>
                </c:pt>
                <c:pt idx="28">
                  <c:v>0.11089324618736382</c:v>
                </c:pt>
                <c:pt idx="29">
                  <c:v>4.6984572230014017E-2</c:v>
                </c:pt>
                <c:pt idx="30">
                  <c:v>0.21434671221178478</c:v>
                </c:pt>
                <c:pt idx="31">
                  <c:v>5.5083584543710595E-2</c:v>
                </c:pt>
                <c:pt idx="32">
                  <c:v>0.23137254901960766</c:v>
                </c:pt>
                <c:pt idx="33">
                  <c:v>0.11513812154696132</c:v>
                </c:pt>
                <c:pt idx="34">
                  <c:v>0.18315239244069159</c:v>
                </c:pt>
                <c:pt idx="35">
                  <c:v>0.1613368598220726</c:v>
                </c:pt>
                <c:pt idx="36">
                  <c:v>0</c:v>
                </c:pt>
                <c:pt idx="37">
                  <c:v>9.6453018046048528E-2</c:v>
                </c:pt>
                <c:pt idx="38">
                  <c:v>0.18022727272727274</c:v>
                </c:pt>
                <c:pt idx="39">
                  <c:v>0.10502489814395653</c:v>
                </c:pt>
                <c:pt idx="40">
                  <c:v>4.7223348196189702E-2</c:v>
                </c:pt>
                <c:pt idx="41">
                  <c:v>0</c:v>
                </c:pt>
                <c:pt idx="42">
                  <c:v>0.15573122529644268</c:v>
                </c:pt>
                <c:pt idx="43">
                  <c:v>0</c:v>
                </c:pt>
                <c:pt idx="44">
                  <c:v>5.0553683196918636E-2</c:v>
                </c:pt>
                <c:pt idx="45">
                  <c:v>0.15737650200267023</c:v>
                </c:pt>
                <c:pt idx="46">
                  <c:v>7.6448103498970896E-2</c:v>
                </c:pt>
                <c:pt idx="47">
                  <c:v>9.8630136986301381E-2</c:v>
                </c:pt>
                <c:pt idx="48">
                  <c:v>6.482281763180639E-2</c:v>
                </c:pt>
                <c:pt idx="49">
                  <c:v>0</c:v>
                </c:pt>
                <c:pt idx="50">
                  <c:v>0.12520032051282051</c:v>
                </c:pt>
                <c:pt idx="51">
                  <c:v>7.9315383009810059E-2</c:v>
                </c:pt>
                <c:pt idx="52">
                  <c:v>0.23372675250357652</c:v>
                </c:pt>
                <c:pt idx="53">
                  <c:v>0.14742735270594509</c:v>
                </c:pt>
                <c:pt idx="54">
                  <c:v>0.25717017208413001</c:v>
                </c:pt>
                <c:pt idx="55">
                  <c:v>0.33927141713370695</c:v>
                </c:pt>
                <c:pt idx="56">
                  <c:v>0</c:v>
                </c:pt>
                <c:pt idx="57">
                  <c:v>5.9429477020602223E-2</c:v>
                </c:pt>
                <c:pt idx="58">
                  <c:v>5.1353874883286646E-2</c:v>
                </c:pt>
                <c:pt idx="59">
                  <c:v>6.0804701627486434E-2</c:v>
                </c:pt>
                <c:pt idx="60">
                  <c:v>0.10352941176470568</c:v>
                </c:pt>
                <c:pt idx="61">
                  <c:v>4.8048048048048048E-2</c:v>
                </c:pt>
                <c:pt idx="62">
                  <c:v>0</c:v>
                </c:pt>
                <c:pt idx="63">
                  <c:v>5.8635703918722783E-2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0.17391304347826086</c:v>
                </c:pt>
                <c:pt idx="69">
                  <c:v>5.408463453269971E-2</c:v>
                </c:pt>
                <c:pt idx="70">
                  <c:v>0</c:v>
                </c:pt>
                <c:pt idx="71">
                  <c:v>0.17385229540918165</c:v>
                </c:pt>
                <c:pt idx="72">
                  <c:v>9.8571652801757975E-2</c:v>
                </c:pt>
                <c:pt idx="73">
                  <c:v>0.12852404643449419</c:v>
                </c:pt>
                <c:pt idx="74">
                  <c:v>4.4333076329992283E-2</c:v>
                </c:pt>
                <c:pt idx="75">
                  <c:v>0.1145660126371799</c:v>
                </c:pt>
                <c:pt idx="76">
                  <c:v>0</c:v>
                </c:pt>
                <c:pt idx="77">
                  <c:v>0.1470771791137922</c:v>
                </c:pt>
                <c:pt idx="78">
                  <c:v>5.457539402493531E-2</c:v>
                </c:pt>
                <c:pt idx="79">
                  <c:v>0.2769771528998225</c:v>
                </c:pt>
                <c:pt idx="80">
                  <c:v>8.3356880474710376E-2</c:v>
                </c:pt>
                <c:pt idx="81">
                  <c:v>6.8814432989690727E-2</c:v>
                </c:pt>
                <c:pt idx="82">
                  <c:v>0.17492781520692974</c:v>
                </c:pt>
                <c:pt idx="83">
                  <c:v>3.8205081996756173E-2</c:v>
                </c:pt>
                <c:pt idx="84">
                  <c:v>0.1078978859194256</c:v>
                </c:pt>
                <c:pt idx="85">
                  <c:v>5.7328990228013035E-2</c:v>
                </c:pt>
                <c:pt idx="86">
                  <c:v>4.7693685624720109E-2</c:v>
                </c:pt>
                <c:pt idx="87">
                  <c:v>6.102540834845735E-2</c:v>
                </c:pt>
                <c:pt idx="88">
                  <c:v>5.9915820747709826E-2</c:v>
                </c:pt>
                <c:pt idx="89">
                  <c:v>0.19649393180504704</c:v>
                </c:pt>
                <c:pt idx="90">
                  <c:v>7.650681097219629E-2</c:v>
                </c:pt>
                <c:pt idx="91">
                  <c:v>5.7886351566648973E-2</c:v>
                </c:pt>
                <c:pt idx="92">
                  <c:v>4.6150574223734579E-2</c:v>
                </c:pt>
                <c:pt idx="93">
                  <c:v>0</c:v>
                </c:pt>
                <c:pt idx="94">
                  <c:v>0.13245852933894528</c:v>
                </c:pt>
                <c:pt idx="95">
                  <c:v>0.20733173076923075</c:v>
                </c:pt>
                <c:pt idx="96">
                  <c:v>0.24344631825012508</c:v>
                </c:pt>
                <c:pt idx="97">
                  <c:v>0.19749132639444889</c:v>
                </c:pt>
                <c:pt idx="98">
                  <c:v>0</c:v>
                </c:pt>
                <c:pt idx="99">
                  <c:v>0.14773025452637104</c:v>
                </c:pt>
                <c:pt idx="100">
                  <c:v>0.21527777777777779</c:v>
                </c:pt>
                <c:pt idx="101">
                  <c:v>0</c:v>
                </c:pt>
                <c:pt idx="102">
                  <c:v>6.6725781423187761E-2</c:v>
                </c:pt>
                <c:pt idx="103">
                  <c:v>7.6255631570165183E-2</c:v>
                </c:pt>
                <c:pt idx="104">
                  <c:v>0.22713238131995367</c:v>
                </c:pt>
                <c:pt idx="105">
                  <c:v>0.28255234297108678</c:v>
                </c:pt>
                <c:pt idx="106">
                  <c:v>3.9676273193841295E-2</c:v>
                </c:pt>
                <c:pt idx="107">
                  <c:v>0.19096855876767252</c:v>
                </c:pt>
                <c:pt idx="108">
                  <c:v>5.6861428251623013E-2</c:v>
                </c:pt>
                <c:pt idx="109">
                  <c:v>5.5082742316784873E-2</c:v>
                </c:pt>
                <c:pt idx="110">
                  <c:v>0.15874094202898553</c:v>
                </c:pt>
                <c:pt idx="111">
                  <c:v>0.34190796277145813</c:v>
                </c:pt>
                <c:pt idx="112">
                  <c:v>7.5971731448763249E-2</c:v>
                </c:pt>
                <c:pt idx="113">
                  <c:v>0.11817116060961314</c:v>
                </c:pt>
                <c:pt idx="114">
                  <c:v>0.13437643810400368</c:v>
                </c:pt>
                <c:pt idx="115">
                  <c:v>0</c:v>
                </c:pt>
                <c:pt idx="116">
                  <c:v>0</c:v>
                </c:pt>
                <c:pt idx="117">
                  <c:v>8.4313290437097843E-2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4B4-42CD-9360-D2B78B175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182272"/>
        <c:axId val="120184192"/>
      </c:scatterChart>
      <c:valAx>
        <c:axId val="120182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Year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0184192"/>
        <c:crosses val="autoZero"/>
        <c:crossBetween val="midCat"/>
      </c:valAx>
      <c:valAx>
        <c:axId val="120184192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20182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40000"/>
        <a:lumOff val="60000"/>
      </a:schemeClr>
    </a:solidFill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Sussex: </a:t>
            </a:r>
            <a:r>
              <a:rPr lang="en-US"/>
              <a:t>Number of Binned Events (Large)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0.51 - 1.00</c:v>
          </c:tx>
          <c:spPr>
            <a:ln w="28575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trendline>
            <c:spPr>
              <a:ln w="28575">
                <a:solidFill>
                  <a:schemeClr val="accent4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1859830895382216E-2"/>
                  <c:y val="3.4454923802756603E-2"/>
                </c:manualLayout>
              </c:layout>
              <c:numFmt formatCode="General" sourceLinked="0"/>
            </c:trendlineLbl>
          </c:trendline>
          <c:xVal>
            <c:numRef>
              <c:f>'SS NOE'!$A$2:$A$119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'SS NOE'!$F$2:$F$119</c:f>
              <c:numCache>
                <c:formatCode>General</c:formatCode>
                <c:ptCount val="118"/>
                <c:pt idx="0">
                  <c:v>12</c:v>
                </c:pt>
                <c:pt idx="1">
                  <c:v>14</c:v>
                </c:pt>
                <c:pt idx="2">
                  <c:v>16</c:v>
                </c:pt>
                <c:pt idx="3">
                  <c:v>18</c:v>
                </c:pt>
                <c:pt idx="4">
                  <c:v>23</c:v>
                </c:pt>
                <c:pt idx="5">
                  <c:v>13</c:v>
                </c:pt>
                <c:pt idx="6">
                  <c:v>21</c:v>
                </c:pt>
                <c:pt idx="7">
                  <c:v>11</c:v>
                </c:pt>
                <c:pt idx="8">
                  <c:v>24</c:v>
                </c:pt>
                <c:pt idx="9">
                  <c:v>16</c:v>
                </c:pt>
                <c:pt idx="10">
                  <c:v>18</c:v>
                </c:pt>
                <c:pt idx="11">
                  <c:v>12</c:v>
                </c:pt>
                <c:pt idx="12">
                  <c:v>17</c:v>
                </c:pt>
                <c:pt idx="13">
                  <c:v>21</c:v>
                </c:pt>
                <c:pt idx="14">
                  <c:v>20</c:v>
                </c:pt>
                <c:pt idx="15">
                  <c:v>18</c:v>
                </c:pt>
                <c:pt idx="16">
                  <c:v>15</c:v>
                </c:pt>
                <c:pt idx="17">
                  <c:v>20</c:v>
                </c:pt>
                <c:pt idx="18">
                  <c:v>16</c:v>
                </c:pt>
                <c:pt idx="19">
                  <c:v>13</c:v>
                </c:pt>
                <c:pt idx="20">
                  <c:v>20</c:v>
                </c:pt>
                <c:pt idx="21">
                  <c:v>17</c:v>
                </c:pt>
                <c:pt idx="22">
                  <c:v>15</c:v>
                </c:pt>
                <c:pt idx="23">
                  <c:v>5</c:v>
                </c:pt>
                <c:pt idx="24">
                  <c:v>11</c:v>
                </c:pt>
                <c:pt idx="25">
                  <c:v>25</c:v>
                </c:pt>
                <c:pt idx="26">
                  <c:v>10</c:v>
                </c:pt>
                <c:pt idx="27">
                  <c:v>23</c:v>
                </c:pt>
                <c:pt idx="28">
                  <c:v>21</c:v>
                </c:pt>
                <c:pt idx="29">
                  <c:v>20</c:v>
                </c:pt>
                <c:pt idx="30">
                  <c:v>12</c:v>
                </c:pt>
                <c:pt idx="31">
                  <c:v>15</c:v>
                </c:pt>
                <c:pt idx="32">
                  <c:v>16</c:v>
                </c:pt>
                <c:pt idx="33">
                  <c:v>18</c:v>
                </c:pt>
                <c:pt idx="34">
                  <c:v>17</c:v>
                </c:pt>
                <c:pt idx="35">
                  <c:v>16</c:v>
                </c:pt>
                <c:pt idx="36">
                  <c:v>20</c:v>
                </c:pt>
                <c:pt idx="37">
                  <c:v>17</c:v>
                </c:pt>
                <c:pt idx="38">
                  <c:v>18</c:v>
                </c:pt>
                <c:pt idx="39">
                  <c:v>10</c:v>
                </c:pt>
                <c:pt idx="40">
                  <c:v>26</c:v>
                </c:pt>
                <c:pt idx="41">
                  <c:v>14</c:v>
                </c:pt>
                <c:pt idx="42">
                  <c:v>29</c:v>
                </c:pt>
                <c:pt idx="43">
                  <c:v>16</c:v>
                </c:pt>
                <c:pt idx="44">
                  <c:v>23</c:v>
                </c:pt>
                <c:pt idx="45">
                  <c:v>19</c:v>
                </c:pt>
                <c:pt idx="46">
                  <c:v>15</c:v>
                </c:pt>
                <c:pt idx="47">
                  <c:v>17</c:v>
                </c:pt>
                <c:pt idx="48">
                  <c:v>25</c:v>
                </c:pt>
                <c:pt idx="49">
                  <c:v>21</c:v>
                </c:pt>
                <c:pt idx="50">
                  <c:v>23</c:v>
                </c:pt>
                <c:pt idx="51">
                  <c:v>18</c:v>
                </c:pt>
                <c:pt idx="52">
                  <c:v>17</c:v>
                </c:pt>
                <c:pt idx="53">
                  <c:v>14</c:v>
                </c:pt>
                <c:pt idx="54">
                  <c:v>11</c:v>
                </c:pt>
                <c:pt idx="55">
                  <c:v>10</c:v>
                </c:pt>
                <c:pt idx="56">
                  <c:v>22</c:v>
                </c:pt>
                <c:pt idx="57">
                  <c:v>16</c:v>
                </c:pt>
                <c:pt idx="58">
                  <c:v>19</c:v>
                </c:pt>
                <c:pt idx="59">
                  <c:v>20</c:v>
                </c:pt>
                <c:pt idx="60">
                  <c:v>15</c:v>
                </c:pt>
                <c:pt idx="61">
                  <c:v>21</c:v>
                </c:pt>
                <c:pt idx="62">
                  <c:v>18</c:v>
                </c:pt>
                <c:pt idx="63">
                  <c:v>8</c:v>
                </c:pt>
                <c:pt idx="64">
                  <c:v>13</c:v>
                </c:pt>
                <c:pt idx="65">
                  <c:v>23</c:v>
                </c:pt>
                <c:pt idx="66">
                  <c:v>15</c:v>
                </c:pt>
                <c:pt idx="67">
                  <c:v>20</c:v>
                </c:pt>
                <c:pt idx="68">
                  <c:v>18</c:v>
                </c:pt>
                <c:pt idx="69">
                  <c:v>22</c:v>
                </c:pt>
                <c:pt idx="70">
                  <c:v>27</c:v>
                </c:pt>
                <c:pt idx="71">
                  <c:v>18</c:v>
                </c:pt>
                <c:pt idx="72">
                  <c:v>26</c:v>
                </c:pt>
                <c:pt idx="73">
                  <c:v>21</c:v>
                </c:pt>
                <c:pt idx="74">
                  <c:v>26</c:v>
                </c:pt>
                <c:pt idx="75">
                  <c:v>16</c:v>
                </c:pt>
                <c:pt idx="76">
                  <c:v>26</c:v>
                </c:pt>
                <c:pt idx="77">
                  <c:v>21</c:v>
                </c:pt>
                <c:pt idx="78">
                  <c:v>14</c:v>
                </c:pt>
                <c:pt idx="79">
                  <c:v>20</c:v>
                </c:pt>
                <c:pt idx="80">
                  <c:v>15</c:v>
                </c:pt>
                <c:pt idx="81">
                  <c:v>18</c:v>
                </c:pt>
                <c:pt idx="82">
                  <c:v>16</c:v>
                </c:pt>
                <c:pt idx="83">
                  <c:v>22</c:v>
                </c:pt>
                <c:pt idx="84">
                  <c:v>26</c:v>
                </c:pt>
                <c:pt idx="85">
                  <c:v>17</c:v>
                </c:pt>
                <c:pt idx="86">
                  <c:v>18</c:v>
                </c:pt>
                <c:pt idx="87">
                  <c:v>18</c:v>
                </c:pt>
                <c:pt idx="88">
                  <c:v>18</c:v>
                </c:pt>
                <c:pt idx="89">
                  <c:v>19</c:v>
                </c:pt>
                <c:pt idx="90">
                  <c:v>22</c:v>
                </c:pt>
                <c:pt idx="91">
                  <c:v>18</c:v>
                </c:pt>
                <c:pt idx="92">
                  <c:v>20</c:v>
                </c:pt>
                <c:pt idx="93">
                  <c:v>19</c:v>
                </c:pt>
                <c:pt idx="94">
                  <c:v>19</c:v>
                </c:pt>
                <c:pt idx="95">
                  <c:v>13</c:v>
                </c:pt>
                <c:pt idx="96">
                  <c:v>17</c:v>
                </c:pt>
                <c:pt idx="97">
                  <c:v>18</c:v>
                </c:pt>
                <c:pt idx="98">
                  <c:v>12</c:v>
                </c:pt>
                <c:pt idx="99">
                  <c:v>19</c:v>
                </c:pt>
                <c:pt idx="100">
                  <c:v>21</c:v>
                </c:pt>
                <c:pt idx="101">
                  <c:v>16</c:v>
                </c:pt>
                <c:pt idx="102">
                  <c:v>19</c:v>
                </c:pt>
                <c:pt idx="103">
                  <c:v>13</c:v>
                </c:pt>
                <c:pt idx="104">
                  <c:v>22</c:v>
                </c:pt>
                <c:pt idx="105">
                  <c:v>20</c:v>
                </c:pt>
                <c:pt idx="106">
                  <c:v>21</c:v>
                </c:pt>
                <c:pt idx="107">
                  <c:v>22</c:v>
                </c:pt>
                <c:pt idx="108">
                  <c:v>11</c:v>
                </c:pt>
                <c:pt idx="109">
                  <c:v>23</c:v>
                </c:pt>
                <c:pt idx="110">
                  <c:v>15</c:v>
                </c:pt>
                <c:pt idx="111">
                  <c:v>25</c:v>
                </c:pt>
                <c:pt idx="112">
                  <c:v>23</c:v>
                </c:pt>
                <c:pt idx="113">
                  <c:v>18</c:v>
                </c:pt>
                <c:pt idx="114">
                  <c:v>14</c:v>
                </c:pt>
                <c:pt idx="115">
                  <c:v>20</c:v>
                </c:pt>
                <c:pt idx="116">
                  <c:v>9</c:v>
                </c:pt>
                <c:pt idx="117">
                  <c:v>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932-481E-918E-01DC564E0CE2}"/>
            </c:ext>
          </c:extLst>
        </c:ser>
        <c:ser>
          <c:idx val="4"/>
          <c:order val="1"/>
          <c:tx>
            <c:v>1.01 - 2.00</c:v>
          </c:tx>
          <c:spPr>
            <a:ln w="28575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none"/>
          </c:marker>
          <c:trendline>
            <c:spPr>
              <a:ln w="28575">
                <a:solidFill>
                  <a:schemeClr val="accent1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0226206817128202E-2"/>
                  <c:y val="5.0489224699116879E-4"/>
                </c:manualLayout>
              </c:layout>
              <c:numFmt formatCode="General" sourceLinked="0"/>
            </c:trendlineLbl>
          </c:trendline>
          <c:xVal>
            <c:numRef>
              <c:f>'SS NOE'!$A$2:$A$119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'SS NOE'!$P$2:$P$119</c:f>
              <c:numCache>
                <c:formatCode>General</c:formatCode>
                <c:ptCount val="118"/>
                <c:pt idx="0">
                  <c:v>8</c:v>
                </c:pt>
                <c:pt idx="1">
                  <c:v>5</c:v>
                </c:pt>
                <c:pt idx="2">
                  <c:v>8</c:v>
                </c:pt>
                <c:pt idx="3">
                  <c:v>7</c:v>
                </c:pt>
                <c:pt idx="4">
                  <c:v>7</c:v>
                </c:pt>
                <c:pt idx="5">
                  <c:v>14</c:v>
                </c:pt>
                <c:pt idx="6">
                  <c:v>10</c:v>
                </c:pt>
                <c:pt idx="7">
                  <c:v>10</c:v>
                </c:pt>
                <c:pt idx="8">
                  <c:v>9</c:v>
                </c:pt>
                <c:pt idx="9">
                  <c:v>11</c:v>
                </c:pt>
                <c:pt idx="10">
                  <c:v>9</c:v>
                </c:pt>
                <c:pt idx="11">
                  <c:v>12</c:v>
                </c:pt>
                <c:pt idx="12">
                  <c:v>4</c:v>
                </c:pt>
                <c:pt idx="13">
                  <c:v>7</c:v>
                </c:pt>
                <c:pt idx="14">
                  <c:v>11</c:v>
                </c:pt>
                <c:pt idx="15">
                  <c:v>10</c:v>
                </c:pt>
                <c:pt idx="16">
                  <c:v>8</c:v>
                </c:pt>
                <c:pt idx="17">
                  <c:v>9</c:v>
                </c:pt>
                <c:pt idx="18">
                  <c:v>3</c:v>
                </c:pt>
                <c:pt idx="19">
                  <c:v>1</c:v>
                </c:pt>
                <c:pt idx="20">
                  <c:v>13</c:v>
                </c:pt>
                <c:pt idx="21">
                  <c:v>7</c:v>
                </c:pt>
                <c:pt idx="22">
                  <c:v>8</c:v>
                </c:pt>
                <c:pt idx="23">
                  <c:v>3</c:v>
                </c:pt>
                <c:pt idx="24">
                  <c:v>6</c:v>
                </c:pt>
                <c:pt idx="25">
                  <c:v>8</c:v>
                </c:pt>
                <c:pt idx="26">
                  <c:v>4</c:v>
                </c:pt>
                <c:pt idx="27">
                  <c:v>8</c:v>
                </c:pt>
                <c:pt idx="28">
                  <c:v>10</c:v>
                </c:pt>
                <c:pt idx="29">
                  <c:v>7</c:v>
                </c:pt>
                <c:pt idx="30">
                  <c:v>3</c:v>
                </c:pt>
                <c:pt idx="31">
                  <c:v>7</c:v>
                </c:pt>
                <c:pt idx="32">
                  <c:v>11</c:v>
                </c:pt>
                <c:pt idx="33">
                  <c:v>13</c:v>
                </c:pt>
                <c:pt idx="34">
                  <c:v>12</c:v>
                </c:pt>
                <c:pt idx="35">
                  <c:v>6</c:v>
                </c:pt>
                <c:pt idx="36">
                  <c:v>10</c:v>
                </c:pt>
                <c:pt idx="37">
                  <c:v>15</c:v>
                </c:pt>
                <c:pt idx="38">
                  <c:v>12</c:v>
                </c:pt>
                <c:pt idx="39">
                  <c:v>6</c:v>
                </c:pt>
                <c:pt idx="40">
                  <c:v>10</c:v>
                </c:pt>
                <c:pt idx="41">
                  <c:v>7</c:v>
                </c:pt>
                <c:pt idx="42">
                  <c:v>11</c:v>
                </c:pt>
                <c:pt idx="43">
                  <c:v>6</c:v>
                </c:pt>
                <c:pt idx="44">
                  <c:v>8</c:v>
                </c:pt>
                <c:pt idx="45">
                  <c:v>12</c:v>
                </c:pt>
                <c:pt idx="46">
                  <c:v>4</c:v>
                </c:pt>
                <c:pt idx="47">
                  <c:v>15</c:v>
                </c:pt>
                <c:pt idx="48">
                  <c:v>6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6</c:v>
                </c:pt>
                <c:pt idx="54">
                  <c:v>2</c:v>
                </c:pt>
                <c:pt idx="55">
                  <c:v>9</c:v>
                </c:pt>
                <c:pt idx="56">
                  <c:v>6</c:v>
                </c:pt>
                <c:pt idx="57">
                  <c:v>6</c:v>
                </c:pt>
                <c:pt idx="58">
                  <c:v>8</c:v>
                </c:pt>
                <c:pt idx="59">
                  <c:v>8</c:v>
                </c:pt>
                <c:pt idx="60">
                  <c:v>11</c:v>
                </c:pt>
                <c:pt idx="61">
                  <c:v>4</c:v>
                </c:pt>
                <c:pt idx="62">
                  <c:v>8</c:v>
                </c:pt>
                <c:pt idx="63">
                  <c:v>9</c:v>
                </c:pt>
                <c:pt idx="64">
                  <c:v>5</c:v>
                </c:pt>
                <c:pt idx="65">
                  <c:v>3</c:v>
                </c:pt>
                <c:pt idx="66">
                  <c:v>9</c:v>
                </c:pt>
                <c:pt idx="67">
                  <c:v>14</c:v>
                </c:pt>
                <c:pt idx="68">
                  <c:v>7</c:v>
                </c:pt>
                <c:pt idx="69">
                  <c:v>10</c:v>
                </c:pt>
                <c:pt idx="70">
                  <c:v>5</c:v>
                </c:pt>
                <c:pt idx="71">
                  <c:v>9</c:v>
                </c:pt>
                <c:pt idx="72">
                  <c:v>15</c:v>
                </c:pt>
                <c:pt idx="73">
                  <c:v>15</c:v>
                </c:pt>
                <c:pt idx="74">
                  <c:v>10</c:v>
                </c:pt>
                <c:pt idx="75">
                  <c:v>16</c:v>
                </c:pt>
                <c:pt idx="76">
                  <c:v>8</c:v>
                </c:pt>
                <c:pt idx="77">
                  <c:v>8</c:v>
                </c:pt>
                <c:pt idx="78">
                  <c:v>12</c:v>
                </c:pt>
                <c:pt idx="79">
                  <c:v>8</c:v>
                </c:pt>
                <c:pt idx="80">
                  <c:v>6</c:v>
                </c:pt>
                <c:pt idx="81">
                  <c:v>8</c:v>
                </c:pt>
                <c:pt idx="82">
                  <c:v>8</c:v>
                </c:pt>
                <c:pt idx="83">
                  <c:v>18</c:v>
                </c:pt>
                <c:pt idx="84">
                  <c:v>8</c:v>
                </c:pt>
                <c:pt idx="85">
                  <c:v>13</c:v>
                </c:pt>
                <c:pt idx="86">
                  <c:v>9</c:v>
                </c:pt>
                <c:pt idx="87">
                  <c:v>12</c:v>
                </c:pt>
                <c:pt idx="88">
                  <c:v>8</c:v>
                </c:pt>
                <c:pt idx="89">
                  <c:v>4</c:v>
                </c:pt>
                <c:pt idx="90">
                  <c:v>12</c:v>
                </c:pt>
                <c:pt idx="91">
                  <c:v>6</c:v>
                </c:pt>
                <c:pt idx="92">
                  <c:v>11</c:v>
                </c:pt>
                <c:pt idx="93">
                  <c:v>12</c:v>
                </c:pt>
                <c:pt idx="94">
                  <c:v>7</c:v>
                </c:pt>
                <c:pt idx="95">
                  <c:v>4</c:v>
                </c:pt>
                <c:pt idx="96">
                  <c:v>10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7</c:v>
                </c:pt>
                <c:pt idx="101">
                  <c:v>8</c:v>
                </c:pt>
                <c:pt idx="102">
                  <c:v>12</c:v>
                </c:pt>
                <c:pt idx="103">
                  <c:v>18</c:v>
                </c:pt>
                <c:pt idx="104">
                  <c:v>7</c:v>
                </c:pt>
                <c:pt idx="105">
                  <c:v>8</c:v>
                </c:pt>
                <c:pt idx="106">
                  <c:v>16</c:v>
                </c:pt>
                <c:pt idx="107">
                  <c:v>9</c:v>
                </c:pt>
                <c:pt idx="108">
                  <c:v>14</c:v>
                </c:pt>
                <c:pt idx="109">
                  <c:v>6</c:v>
                </c:pt>
                <c:pt idx="110">
                  <c:v>10</c:v>
                </c:pt>
                <c:pt idx="111">
                  <c:v>11</c:v>
                </c:pt>
                <c:pt idx="112">
                  <c:v>7</c:v>
                </c:pt>
                <c:pt idx="113">
                  <c:v>7</c:v>
                </c:pt>
                <c:pt idx="114">
                  <c:v>8</c:v>
                </c:pt>
                <c:pt idx="115">
                  <c:v>7</c:v>
                </c:pt>
                <c:pt idx="116">
                  <c:v>8</c:v>
                </c:pt>
                <c:pt idx="117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932-481E-918E-01DC564E0CE2}"/>
            </c:ext>
          </c:extLst>
        </c:ser>
        <c:ser>
          <c:idx val="5"/>
          <c:order val="2"/>
          <c:tx>
            <c:v>2.01+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trendline>
            <c:spPr>
              <a:ln w="28575">
                <a:solidFill>
                  <a:schemeClr val="accent6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8.8533401187736407E-2"/>
                  <c:y val="5.165215395682818E-3"/>
                </c:manualLayout>
              </c:layout>
              <c:numFmt formatCode="General" sourceLinked="0"/>
            </c:trendlineLbl>
          </c:trendline>
          <c:xVal>
            <c:numRef>
              <c:f>'SS NOE'!$A$2:$A$119</c:f>
              <c:numCache>
                <c:formatCode>General</c:formatCode>
                <c:ptCount val="118"/>
                <c:pt idx="0">
                  <c:v>1893</c:v>
                </c:pt>
                <c:pt idx="1">
                  <c:v>1894</c:v>
                </c:pt>
                <c:pt idx="2">
                  <c:v>1895</c:v>
                </c:pt>
                <c:pt idx="3">
                  <c:v>1896</c:v>
                </c:pt>
                <c:pt idx="4">
                  <c:v>1897</c:v>
                </c:pt>
                <c:pt idx="5">
                  <c:v>1898</c:v>
                </c:pt>
                <c:pt idx="6">
                  <c:v>1899</c:v>
                </c:pt>
                <c:pt idx="7">
                  <c:v>1905</c:v>
                </c:pt>
                <c:pt idx="8">
                  <c:v>1906</c:v>
                </c:pt>
                <c:pt idx="9">
                  <c:v>1907</c:v>
                </c:pt>
                <c:pt idx="10">
                  <c:v>1908</c:v>
                </c:pt>
                <c:pt idx="11">
                  <c:v>1909</c:v>
                </c:pt>
                <c:pt idx="12">
                  <c:v>1910</c:v>
                </c:pt>
                <c:pt idx="13">
                  <c:v>1911</c:v>
                </c:pt>
                <c:pt idx="14">
                  <c:v>1912</c:v>
                </c:pt>
                <c:pt idx="15">
                  <c:v>1913</c:v>
                </c:pt>
                <c:pt idx="16">
                  <c:v>1914</c:v>
                </c:pt>
                <c:pt idx="17">
                  <c:v>1915</c:v>
                </c:pt>
                <c:pt idx="18">
                  <c:v>1916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  <c:pt idx="116">
                  <c:v>2016</c:v>
                </c:pt>
                <c:pt idx="117">
                  <c:v>2017</c:v>
                </c:pt>
              </c:numCache>
            </c:numRef>
          </c:xVal>
          <c:yVal>
            <c:numRef>
              <c:f>'SS NOE'!$Q$2:$Q$119</c:f>
              <c:numCache>
                <c:formatCode>General</c:formatCode>
                <c:ptCount val="118"/>
                <c:pt idx="0">
                  <c:v>2</c:v>
                </c:pt>
                <c:pt idx="1">
                  <c:v>4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3</c:v>
                </c:pt>
                <c:pt idx="31">
                  <c:v>1</c:v>
                </c:pt>
                <c:pt idx="32">
                  <c:v>5</c:v>
                </c:pt>
                <c:pt idx="33">
                  <c:v>2</c:v>
                </c:pt>
                <c:pt idx="34">
                  <c:v>4</c:v>
                </c:pt>
                <c:pt idx="35">
                  <c:v>3</c:v>
                </c:pt>
                <c:pt idx="36">
                  <c:v>0</c:v>
                </c:pt>
                <c:pt idx="37">
                  <c:v>2</c:v>
                </c:pt>
                <c:pt idx="38">
                  <c:v>3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3</c:v>
                </c:pt>
                <c:pt idx="43">
                  <c:v>0</c:v>
                </c:pt>
                <c:pt idx="44">
                  <c:v>1</c:v>
                </c:pt>
                <c:pt idx="45">
                  <c:v>4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0</c:v>
                </c:pt>
                <c:pt idx="50">
                  <c:v>2</c:v>
                </c:pt>
                <c:pt idx="51">
                  <c:v>1</c:v>
                </c:pt>
                <c:pt idx="52">
                  <c:v>4</c:v>
                </c:pt>
                <c:pt idx="53">
                  <c:v>2</c:v>
                </c:pt>
                <c:pt idx="54">
                  <c:v>2</c:v>
                </c:pt>
                <c:pt idx="55">
                  <c:v>5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3</c:v>
                </c:pt>
                <c:pt idx="69">
                  <c:v>1</c:v>
                </c:pt>
                <c:pt idx="70">
                  <c:v>0</c:v>
                </c:pt>
                <c:pt idx="71">
                  <c:v>2</c:v>
                </c:pt>
                <c:pt idx="72">
                  <c:v>2</c:v>
                </c:pt>
                <c:pt idx="73">
                  <c:v>3</c:v>
                </c:pt>
                <c:pt idx="74">
                  <c:v>1</c:v>
                </c:pt>
                <c:pt idx="75">
                  <c:v>3</c:v>
                </c:pt>
                <c:pt idx="76">
                  <c:v>0</c:v>
                </c:pt>
                <c:pt idx="77">
                  <c:v>3</c:v>
                </c:pt>
                <c:pt idx="78">
                  <c:v>1</c:v>
                </c:pt>
                <c:pt idx="79">
                  <c:v>7</c:v>
                </c:pt>
                <c:pt idx="80">
                  <c:v>1</c:v>
                </c:pt>
                <c:pt idx="81">
                  <c:v>1</c:v>
                </c:pt>
                <c:pt idx="82">
                  <c:v>3</c:v>
                </c:pt>
                <c:pt idx="83">
                  <c:v>1</c:v>
                </c:pt>
                <c:pt idx="84">
                  <c:v>2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4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2</c:v>
                </c:pt>
                <c:pt idx="95">
                  <c:v>2</c:v>
                </c:pt>
                <c:pt idx="96">
                  <c:v>5</c:v>
                </c:pt>
                <c:pt idx="97">
                  <c:v>2</c:v>
                </c:pt>
                <c:pt idx="98">
                  <c:v>0</c:v>
                </c:pt>
                <c:pt idx="99">
                  <c:v>1</c:v>
                </c:pt>
                <c:pt idx="100">
                  <c:v>4</c:v>
                </c:pt>
                <c:pt idx="101">
                  <c:v>0</c:v>
                </c:pt>
                <c:pt idx="102">
                  <c:v>1</c:v>
                </c:pt>
                <c:pt idx="103">
                  <c:v>2</c:v>
                </c:pt>
                <c:pt idx="104">
                  <c:v>4</c:v>
                </c:pt>
                <c:pt idx="105">
                  <c:v>4</c:v>
                </c:pt>
                <c:pt idx="106">
                  <c:v>1</c:v>
                </c:pt>
                <c:pt idx="107">
                  <c:v>3</c:v>
                </c:pt>
                <c:pt idx="108">
                  <c:v>1</c:v>
                </c:pt>
                <c:pt idx="109">
                  <c:v>1</c:v>
                </c:pt>
                <c:pt idx="110">
                  <c:v>2</c:v>
                </c:pt>
                <c:pt idx="111">
                  <c:v>9</c:v>
                </c:pt>
                <c:pt idx="112">
                  <c:v>1</c:v>
                </c:pt>
                <c:pt idx="113">
                  <c:v>2</c:v>
                </c:pt>
                <c:pt idx="114">
                  <c:v>2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932-481E-918E-01DC564E0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22400"/>
        <c:axId val="122424320"/>
      </c:scatterChart>
      <c:valAx>
        <c:axId val="122422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Year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424320"/>
        <c:crosses val="autoZero"/>
        <c:crossBetween val="midCat"/>
      </c:valAx>
      <c:valAx>
        <c:axId val="122424320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Events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4224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tx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Indian Mills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277599824221789"/>
          <c:y val="0.1267295527688381"/>
          <c:w val="0.85780699114904457"/>
          <c:h val="0.78455869196496564"/>
        </c:manualLayout>
      </c:layout>
      <c:barChart>
        <c:barDir val="col"/>
        <c:grouping val="clustered"/>
        <c:varyColors val="0"/>
        <c:ser>
          <c:idx val="1"/>
          <c:order val="0"/>
          <c:tx>
            <c:v>POR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'IM NOE'!$B$120:$Q$120</c:f>
              <c:numCache>
                <c:formatCode>0.00</c:formatCode>
                <c:ptCount val="6"/>
                <c:pt idx="0">
                  <c:v>28.372093023255815</c:v>
                </c:pt>
                <c:pt idx="1">
                  <c:v>24.488372093023255</c:v>
                </c:pt>
                <c:pt idx="2">
                  <c:v>21.151162790697676</c:v>
                </c:pt>
                <c:pt idx="3">
                  <c:v>18.511627906976745</c:v>
                </c:pt>
                <c:pt idx="4">
                  <c:v>9.4767441860465116</c:v>
                </c:pt>
                <c:pt idx="5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D1F-4310-8198-E992D2C4A281}"/>
            </c:ext>
          </c:extLst>
        </c:ser>
        <c:ser>
          <c:idx val="0"/>
          <c:order val="1"/>
          <c:tx>
            <c:v>1981 - 2010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'IM NOE'!$B$119:$Q$119</c:f>
              <c:numCache>
                <c:formatCode>0.00</c:formatCode>
                <c:ptCount val="6"/>
                <c:pt idx="0">
                  <c:v>17.033333333333335</c:v>
                </c:pt>
                <c:pt idx="1">
                  <c:v>23.4</c:v>
                </c:pt>
                <c:pt idx="2">
                  <c:v>20.866666666666667</c:v>
                </c:pt>
                <c:pt idx="3">
                  <c:v>19.899999999999999</c:v>
                </c:pt>
                <c:pt idx="4">
                  <c:v>10.366666666666667</c:v>
                </c:pt>
                <c:pt idx="5">
                  <c:v>2.9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D1F-4310-8198-E992D2C4A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558336"/>
        <c:axId val="122559872"/>
      </c:barChart>
      <c:catAx>
        <c:axId val="122558336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22559872"/>
        <c:crosses val="autoZero"/>
        <c:auto val="1"/>
        <c:lblAlgn val="ctr"/>
        <c:lblOffset val="100"/>
        <c:noMultiLvlLbl val="0"/>
      </c:catAx>
      <c:valAx>
        <c:axId val="122559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Binned Events (in)</a:t>
                </a:r>
              </a:p>
            </c:rich>
          </c:tx>
          <c:layout/>
          <c:overlay val="0"/>
        </c:title>
        <c:numFmt formatCode="0" sourceLinked="0"/>
        <c:majorTickMark val="none"/>
        <c:minorTickMark val="none"/>
        <c:tickLblPos val="nextTo"/>
        <c:spPr>
          <a:ln w="9525">
            <a:noFill/>
          </a:ln>
        </c:spPr>
        <c:crossAx val="12255833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v>POR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'IM AOE'!$C$121:$R$121</c:f>
              <c:numCache>
                <c:formatCode>0.00</c:formatCode>
                <c:ptCount val="6"/>
                <c:pt idx="0">
                  <c:v>1.7286046511627906</c:v>
                </c:pt>
                <c:pt idx="1">
                  <c:v>4.2554651162790664</c:v>
                </c:pt>
                <c:pt idx="2">
                  <c:v>7.8515116279069721</c:v>
                </c:pt>
                <c:pt idx="3">
                  <c:v>13.299651162790665</c:v>
                </c:pt>
                <c:pt idx="4">
                  <c:v>12.891046511627895</c:v>
                </c:pt>
                <c:pt idx="5">
                  <c:v>5.6490697674418602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C32-4B7B-938B-3FE67AE8E55D}"/>
            </c:ext>
          </c:extLst>
        </c:ser>
        <c:ser>
          <c:idx val="0"/>
          <c:order val="1"/>
          <c:tx>
            <c:v>1981 - 2010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'IM AOE'!$C$120:$R$120</c:f>
              <c:numCache>
                <c:formatCode>0.00</c:formatCode>
                <c:ptCount val="6"/>
                <c:pt idx="0">
                  <c:v>1.0856666666666663</c:v>
                </c:pt>
                <c:pt idx="1">
                  <c:v>3.9319999999999991</c:v>
                </c:pt>
                <c:pt idx="2">
                  <c:v>7.5963333333333285</c:v>
                </c:pt>
                <c:pt idx="3">
                  <c:v>14.049666666666649</c:v>
                </c:pt>
                <c:pt idx="4">
                  <c:v>13.862333333333323</c:v>
                </c:pt>
                <c:pt idx="5">
                  <c:v>7.7969999999999935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C32-4B7B-938B-3FE67AE8E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590336"/>
        <c:axId val="122591872"/>
      </c:barChart>
      <c:catAx>
        <c:axId val="122590336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22591872"/>
        <c:crosses val="autoZero"/>
        <c:auto val="1"/>
        <c:lblAlgn val="ctr"/>
        <c:lblOffset val="100"/>
        <c:noMultiLvlLbl val="0"/>
      </c:catAx>
      <c:valAx>
        <c:axId val="1225918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Contribution from Binned Events (in)</a:t>
                </a:r>
              </a:p>
            </c:rich>
          </c:tx>
          <c:layout/>
          <c:overlay val="0"/>
        </c:title>
        <c:numFmt formatCode="0" sourceLinked="0"/>
        <c:majorTickMark val="none"/>
        <c:minorTickMark val="none"/>
        <c:tickLblPos val="nextTo"/>
        <c:crossAx val="12259033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v>POR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'IM AOE'!$W$121:$AL$121</c:f>
              <c:numCache>
                <c:formatCode>0.0%</c:formatCode>
                <c:ptCount val="6"/>
                <c:pt idx="0">
                  <c:v>3.8667210301678689E-2</c:v>
                </c:pt>
                <c:pt idx="1">
                  <c:v>9.4338361144258295E-2</c:v>
                </c:pt>
                <c:pt idx="2">
                  <c:v>0.17488875495334102</c:v>
                </c:pt>
                <c:pt idx="3">
                  <c:v>0.29078522415981717</c:v>
                </c:pt>
                <c:pt idx="4">
                  <c:v>0.27891079411377895</c:v>
                </c:pt>
                <c:pt idx="5">
                  <c:v>0.11997311081211121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395-424D-B99F-D732E5D59D97}"/>
            </c:ext>
          </c:extLst>
        </c:ser>
        <c:ser>
          <c:idx val="0"/>
          <c:order val="1"/>
          <c:tx>
            <c:v>1981 - 2010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'IM AOE'!$W$120:$AL$120</c:f>
              <c:numCache>
                <c:formatCode>0.0%</c:formatCode>
                <c:ptCount val="6"/>
                <c:pt idx="0">
                  <c:v>2.2805418226556271E-2</c:v>
                </c:pt>
                <c:pt idx="1">
                  <c:v>8.3101869703142303E-2</c:v>
                </c:pt>
                <c:pt idx="2">
                  <c:v>0.15776174018045797</c:v>
                </c:pt>
                <c:pt idx="3">
                  <c:v>0.29380593170963804</c:v>
                </c:pt>
                <c:pt idx="4">
                  <c:v>0.28830205751482701</c:v>
                </c:pt>
                <c:pt idx="5">
                  <c:v>0.15493444426012029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395-424D-B99F-D732E5D59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061888"/>
        <c:axId val="113063424"/>
      </c:barChart>
      <c:catAx>
        <c:axId val="113061888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13063424"/>
        <c:crosses val="autoZero"/>
        <c:auto val="1"/>
        <c:lblAlgn val="ctr"/>
        <c:lblOffset val="100"/>
        <c:noMultiLvlLbl val="0"/>
      </c:catAx>
      <c:valAx>
        <c:axId val="113063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Contribution from Binned Events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1306188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Atlantic City Marina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POR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'ACM NOE'!$C$148:$S$148</c:f>
              <c:numCache>
                <c:formatCode>0.00</c:formatCode>
                <c:ptCount val="6"/>
                <c:pt idx="0">
                  <c:v>29.403508771929825</c:v>
                </c:pt>
                <c:pt idx="1">
                  <c:v>23.578947368421051</c:v>
                </c:pt>
                <c:pt idx="2">
                  <c:v>20.403508771929825</c:v>
                </c:pt>
                <c:pt idx="3">
                  <c:v>17.140350877192983</c:v>
                </c:pt>
                <c:pt idx="4">
                  <c:v>7.3596491228070171</c:v>
                </c:pt>
                <c:pt idx="5">
                  <c:v>1.6491228070175439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233-47F7-A164-570A8EB7233E}"/>
            </c:ext>
          </c:extLst>
        </c:ser>
        <c:ser>
          <c:idx val="0"/>
          <c:order val="1"/>
          <c:tx>
            <c:v>1981 - 2010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'ACM NOE'!$C$147:$S$147</c:f>
              <c:numCache>
                <c:formatCode>0.00</c:formatCode>
                <c:ptCount val="6"/>
                <c:pt idx="0">
                  <c:v>25.166666666666668</c:v>
                </c:pt>
                <c:pt idx="1">
                  <c:v>20.233333333333334</c:v>
                </c:pt>
                <c:pt idx="2">
                  <c:v>17.066666666666666</c:v>
                </c:pt>
                <c:pt idx="3">
                  <c:v>15.566666666666666</c:v>
                </c:pt>
                <c:pt idx="4">
                  <c:v>9.1</c:v>
                </c:pt>
                <c:pt idx="5">
                  <c:v>2.3333333333333335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233-47F7-A164-570A8EB72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097344"/>
        <c:axId val="113103232"/>
      </c:barChart>
      <c:catAx>
        <c:axId val="113097344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13103232"/>
        <c:crosses val="autoZero"/>
        <c:auto val="1"/>
        <c:lblAlgn val="ctr"/>
        <c:lblOffset val="100"/>
        <c:noMultiLvlLbl val="0"/>
      </c:catAx>
      <c:valAx>
        <c:axId val="1131032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Binned Events (in)</a:t>
                </a:r>
              </a:p>
            </c:rich>
          </c:tx>
          <c:layout/>
          <c:overlay val="0"/>
        </c:title>
        <c:numFmt formatCode="0" sourceLinked="0"/>
        <c:majorTickMark val="none"/>
        <c:minorTickMark val="none"/>
        <c:tickLblPos val="nextTo"/>
        <c:crossAx val="11309734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v>POR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'ACM AOE'!$C$148:$S$148</c:f>
              <c:numCache>
                <c:formatCode>0.00</c:formatCode>
                <c:ptCount val="6"/>
                <c:pt idx="0">
                  <c:v>1.7239473684210513</c:v>
                </c:pt>
                <c:pt idx="1">
                  <c:v>4.0545614035087718</c:v>
                </c:pt>
                <c:pt idx="2">
                  <c:v>7.4622807017543762</c:v>
                </c:pt>
                <c:pt idx="3">
                  <c:v>12.171140350877165</c:v>
                </c:pt>
                <c:pt idx="4">
                  <c:v>9.8207894736842043</c:v>
                </c:pt>
                <c:pt idx="5">
                  <c:v>4.8555263157894721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F3C-4A69-B184-7A85C0C18EAB}"/>
            </c:ext>
          </c:extLst>
        </c:ser>
        <c:ser>
          <c:idx val="0"/>
          <c:order val="1"/>
          <c:tx>
            <c:v>1981 - 2010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'ACM AOE'!$C$147:$S$147</c:f>
              <c:numCache>
                <c:formatCode>0.00</c:formatCode>
                <c:ptCount val="6"/>
                <c:pt idx="0">
                  <c:v>1.4709999999999996</c:v>
                </c:pt>
                <c:pt idx="1">
                  <c:v>3.4696666666666656</c:v>
                </c:pt>
                <c:pt idx="2">
                  <c:v>6.2499999999999973</c:v>
                </c:pt>
                <c:pt idx="3">
                  <c:v>11.123333333333306</c:v>
                </c:pt>
                <c:pt idx="4">
                  <c:v>12.277666666666654</c:v>
                </c:pt>
                <c:pt idx="5">
                  <c:v>6.4713333333333329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F3C-4A69-B184-7A85C0C18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270976"/>
        <c:axId val="116272512"/>
      </c:barChart>
      <c:catAx>
        <c:axId val="116270976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16272512"/>
        <c:crosses val="autoZero"/>
        <c:auto val="1"/>
        <c:lblAlgn val="ctr"/>
        <c:lblOffset val="100"/>
        <c:noMultiLvlLbl val="0"/>
      </c:catAx>
      <c:valAx>
        <c:axId val="116272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Contribution from Binned Events (in)</a:t>
                </a:r>
              </a:p>
            </c:rich>
          </c:tx>
          <c:layout/>
          <c:overlay val="0"/>
        </c:title>
        <c:numFmt formatCode="0" sourceLinked="0"/>
        <c:majorTickMark val="none"/>
        <c:minorTickMark val="none"/>
        <c:tickLblPos val="nextTo"/>
        <c:crossAx val="11627097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v>POR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'ACM AOE'!$X$148:$AN$148</c:f>
              <c:numCache>
                <c:formatCode>0.0%</c:formatCode>
                <c:ptCount val="6"/>
                <c:pt idx="0">
                  <c:v>4.3883832260967363E-2</c:v>
                </c:pt>
                <c:pt idx="1">
                  <c:v>0.10327144016381261</c:v>
                </c:pt>
                <c:pt idx="2">
                  <c:v>0.18934917083750022</c:v>
                </c:pt>
                <c:pt idx="3">
                  <c:v>0.30481223099677163</c:v>
                </c:pt>
                <c:pt idx="4">
                  <c:v>0.24054405302761117</c:v>
                </c:pt>
                <c:pt idx="5">
                  <c:v>0.11102802606605319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A12-41AB-B58E-9DCBCA5BC0C7}"/>
            </c:ext>
          </c:extLst>
        </c:ser>
        <c:ser>
          <c:idx val="0"/>
          <c:order val="1"/>
          <c:tx>
            <c:v>1981 - 2010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'ACM AOE'!$X$147:$AN$147</c:f>
              <c:numCache>
                <c:formatCode>0.0%</c:formatCode>
                <c:ptCount val="6"/>
                <c:pt idx="0">
                  <c:v>3.5826932322453695E-2</c:v>
                </c:pt>
                <c:pt idx="1">
                  <c:v>8.5398489154813448E-2</c:v>
                </c:pt>
                <c:pt idx="2">
                  <c:v>0.15362837046957481</c:v>
                </c:pt>
                <c:pt idx="3">
                  <c:v>0.27476925900798199</c:v>
                </c:pt>
                <c:pt idx="4">
                  <c:v>0.29220658612235634</c:v>
                </c:pt>
                <c:pt idx="5">
                  <c:v>0.15194602454046832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A12-41AB-B58E-9DCBCA5BC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314880"/>
        <c:axId val="116316416"/>
      </c:barChart>
      <c:catAx>
        <c:axId val="116314880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16316416"/>
        <c:crosses val="autoZero"/>
        <c:auto val="1"/>
        <c:lblAlgn val="ctr"/>
        <c:lblOffset val="100"/>
        <c:noMultiLvlLbl val="0"/>
      </c:catAx>
      <c:valAx>
        <c:axId val="116316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Contribution from Binned Events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1631488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New Brunswick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POR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'NB NOE'!$C$126:$S$126</c:f>
              <c:numCache>
                <c:formatCode>General</c:formatCode>
                <c:ptCount val="6"/>
                <c:pt idx="0">
                  <c:v>29.163043478260871</c:v>
                </c:pt>
                <c:pt idx="1">
                  <c:v>23.793478260869566</c:v>
                </c:pt>
                <c:pt idx="2">
                  <c:v>20.239130434782609</c:v>
                </c:pt>
                <c:pt idx="3">
                  <c:v>18.619565217391305</c:v>
                </c:pt>
                <c:pt idx="4">
                  <c:v>9.445652173913043</c:v>
                </c:pt>
                <c:pt idx="5">
                  <c:v>1.8913043478260869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966-4DE8-9FE3-EAC770A011E2}"/>
            </c:ext>
          </c:extLst>
        </c:ser>
        <c:ser>
          <c:idx val="0"/>
          <c:order val="1"/>
          <c:tx>
            <c:v>1981 - 2010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'NB NOE'!$C$125:$S$125</c:f>
              <c:numCache>
                <c:formatCode>General</c:formatCode>
                <c:ptCount val="6"/>
                <c:pt idx="0">
                  <c:v>29.833333333333332</c:v>
                </c:pt>
                <c:pt idx="1">
                  <c:v>22.666666666666668</c:v>
                </c:pt>
                <c:pt idx="2">
                  <c:v>21.533333333333335</c:v>
                </c:pt>
                <c:pt idx="3">
                  <c:v>19.833333333333332</c:v>
                </c:pt>
                <c:pt idx="4">
                  <c:v>10.333333333333334</c:v>
                </c:pt>
                <c:pt idx="5">
                  <c:v>2.2333333333333334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966-4DE8-9FE3-EAC770A01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338688"/>
        <c:axId val="116340224"/>
      </c:barChart>
      <c:catAx>
        <c:axId val="116338688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16340224"/>
        <c:crosses val="autoZero"/>
        <c:auto val="1"/>
        <c:lblAlgn val="ctr"/>
        <c:lblOffset val="100"/>
        <c:noMultiLvlLbl val="0"/>
      </c:catAx>
      <c:valAx>
        <c:axId val="116340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Binned Events (in)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1633868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v>POR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'NB AOE'!$C$126:$S$126</c:f>
              <c:numCache>
                <c:formatCode>0.00</c:formatCode>
                <c:ptCount val="6"/>
                <c:pt idx="0">
                  <c:v>1.751739130434782</c:v>
                </c:pt>
                <c:pt idx="1">
                  <c:v>4.0971739130434779</c:v>
                </c:pt>
                <c:pt idx="2">
                  <c:v>7.4497826086956476</c:v>
                </c:pt>
                <c:pt idx="3">
                  <c:v>13.246521739130413</c:v>
                </c:pt>
                <c:pt idx="4">
                  <c:v>12.87793478260868</c:v>
                </c:pt>
                <c:pt idx="5">
                  <c:v>5.2752173913043467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4DC-4EDF-984E-D25DC22179B4}"/>
            </c:ext>
          </c:extLst>
        </c:ser>
        <c:ser>
          <c:idx val="0"/>
          <c:order val="1"/>
          <c:tx>
            <c:v>1981 - 2010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'NB AOE'!$C$125:$S$125</c:f>
              <c:numCache>
                <c:formatCode>0.00</c:formatCode>
                <c:ptCount val="6"/>
                <c:pt idx="0">
                  <c:v>1.7483333333333335</c:v>
                </c:pt>
                <c:pt idx="1">
                  <c:v>3.8656666666666664</c:v>
                </c:pt>
                <c:pt idx="2">
                  <c:v>7.8906666666666627</c:v>
                </c:pt>
                <c:pt idx="3">
                  <c:v>14.246333333333313</c:v>
                </c:pt>
                <c:pt idx="4">
                  <c:v>14.296333333333321</c:v>
                </c:pt>
                <c:pt idx="5">
                  <c:v>6.6396666666666659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4DC-4EDF-984E-D25DC2217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386816"/>
        <c:axId val="122618624"/>
      </c:barChart>
      <c:catAx>
        <c:axId val="116386816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22618624"/>
        <c:crosses val="autoZero"/>
        <c:auto val="1"/>
        <c:lblAlgn val="ctr"/>
        <c:lblOffset val="100"/>
        <c:noMultiLvlLbl val="0"/>
      </c:catAx>
      <c:valAx>
        <c:axId val="122618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Contribution from Binned Events (in)</a:t>
                </a:r>
              </a:p>
            </c:rich>
          </c:tx>
          <c:layout/>
          <c:overlay val="0"/>
        </c:title>
        <c:numFmt formatCode="0" sourceLinked="0"/>
        <c:majorTickMark val="none"/>
        <c:minorTickMark val="none"/>
        <c:tickLblPos val="nextTo"/>
        <c:crossAx val="11638681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v>POR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'NB AOE'!$U$126:$AK$126</c:f>
              <c:numCache>
                <c:formatCode>0.00%</c:formatCode>
                <c:ptCount val="6"/>
                <c:pt idx="0">
                  <c:v>3.9952002984949352E-2</c:v>
                </c:pt>
                <c:pt idx="1">
                  <c:v>9.3069375960475834E-2</c:v>
                </c:pt>
                <c:pt idx="2">
                  <c:v>0.16879574004951287</c:v>
                </c:pt>
                <c:pt idx="3">
                  <c:v>0.29643238605022437</c:v>
                </c:pt>
                <c:pt idx="4">
                  <c:v>0.28411516349731708</c:v>
                </c:pt>
                <c:pt idx="5">
                  <c:v>0.11317426611449947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D7-4251-B02E-1557D432A334}"/>
            </c:ext>
          </c:extLst>
        </c:ser>
        <c:ser>
          <c:idx val="0"/>
          <c:order val="1"/>
          <c:tx>
            <c:v>1981 - 2010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'NB AOE'!$U$125:$AK$125</c:f>
              <c:numCache>
                <c:formatCode>0.00%</c:formatCode>
                <c:ptCount val="6"/>
                <c:pt idx="0">
                  <c:v>3.6207689783829024E-2</c:v>
                </c:pt>
                <c:pt idx="1">
                  <c:v>8.0252306524770514E-2</c:v>
                </c:pt>
                <c:pt idx="2">
                  <c:v>0.16283720520385919</c:v>
                </c:pt>
                <c:pt idx="3">
                  <c:v>0.29381935111312224</c:v>
                </c:pt>
                <c:pt idx="4">
                  <c:v>0.29295211143430955</c:v>
                </c:pt>
                <c:pt idx="5">
                  <c:v>0.12850272591704354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D7-4251-B02E-1557D432A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644352"/>
        <c:axId val="122645888"/>
      </c:barChart>
      <c:catAx>
        <c:axId val="122644352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22645888"/>
        <c:crosses val="autoZero"/>
        <c:auto val="1"/>
        <c:lblAlgn val="ctr"/>
        <c:lblOffset val="100"/>
        <c:noMultiLvlLbl val="0"/>
      </c:catAx>
      <c:valAx>
        <c:axId val="12264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Contribution</a:t>
                </a:r>
                <a:r>
                  <a:rPr lang="en-US" baseline="0"/>
                  <a:t> from Binned Events (%)</a:t>
                </a:r>
                <a:endParaRPr lang="en-US"/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2264435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Sussex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POR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'SS NOE'!$C$122:$Q$122</c:f>
              <c:numCache>
                <c:formatCode>0.00</c:formatCode>
                <c:ptCount val="6"/>
                <c:pt idx="0">
                  <c:v>28.579545454545453</c:v>
                </c:pt>
                <c:pt idx="1">
                  <c:v>24.704545454545453</c:v>
                </c:pt>
                <c:pt idx="2">
                  <c:v>21.795454545454547</c:v>
                </c:pt>
                <c:pt idx="3">
                  <c:v>17.920454545454547</c:v>
                </c:pt>
                <c:pt idx="4">
                  <c:v>8.5909090909090917</c:v>
                </c:pt>
                <c:pt idx="5">
                  <c:v>1.4431818181818181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A57-4705-897F-8070A4737F8A}"/>
            </c:ext>
          </c:extLst>
        </c:ser>
        <c:ser>
          <c:idx val="0"/>
          <c:order val="1"/>
          <c:tx>
            <c:v>1981 - 2010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'SS NOE'!$C$121:$Q$121</c:f>
              <c:numCache>
                <c:formatCode>0.00</c:formatCode>
                <c:ptCount val="6"/>
                <c:pt idx="0">
                  <c:v>31.766666666666666</c:v>
                </c:pt>
                <c:pt idx="1">
                  <c:v>27.933333333333334</c:v>
                </c:pt>
                <c:pt idx="2">
                  <c:v>21.966666666666665</c:v>
                </c:pt>
                <c:pt idx="3">
                  <c:v>18.066666666666666</c:v>
                </c:pt>
                <c:pt idx="4">
                  <c:v>8.7333333333333325</c:v>
                </c:pt>
                <c:pt idx="5">
                  <c:v>1.9666666666666666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A57-4705-897F-8070A4737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749696"/>
        <c:axId val="122751232"/>
      </c:barChart>
      <c:catAx>
        <c:axId val="122749696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22751232"/>
        <c:crosses val="autoZero"/>
        <c:auto val="1"/>
        <c:lblAlgn val="ctr"/>
        <c:lblOffset val="100"/>
        <c:noMultiLvlLbl val="0"/>
      </c:catAx>
      <c:valAx>
        <c:axId val="1227512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Binned Events (in)</a:t>
                </a:r>
              </a:p>
            </c:rich>
          </c:tx>
          <c:layout/>
          <c:overlay val="0"/>
        </c:title>
        <c:numFmt formatCode="0" sourceLinked="0"/>
        <c:majorTickMark val="none"/>
        <c:minorTickMark val="none"/>
        <c:tickLblPos val="nextTo"/>
        <c:crossAx val="12274969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v>POR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'SS AOE'!$B$122:$P$122</c:f>
              <c:numCache>
                <c:formatCode>0.00</c:formatCode>
                <c:ptCount val="6"/>
                <c:pt idx="0">
                  <c:v>1.7162499999999994</c:v>
                </c:pt>
                <c:pt idx="1">
                  <c:v>4.3365909090909076</c:v>
                </c:pt>
                <c:pt idx="2">
                  <c:v>8.0476136363636286</c:v>
                </c:pt>
                <c:pt idx="3">
                  <c:v>12.778295454545431</c:v>
                </c:pt>
                <c:pt idx="4">
                  <c:v>11.616931818181811</c:v>
                </c:pt>
                <c:pt idx="5">
                  <c:v>3.7998863636363613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3C1-49F7-86DE-175C00196D34}"/>
            </c:ext>
          </c:extLst>
        </c:ser>
        <c:ser>
          <c:idx val="0"/>
          <c:order val="1"/>
          <c:tx>
            <c:v>1981 - 2010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'SS AOE'!$B$121:$P$121</c:f>
              <c:numCache>
                <c:formatCode>0.00</c:formatCode>
                <c:ptCount val="6"/>
                <c:pt idx="0">
                  <c:v>1.8759999999999997</c:v>
                </c:pt>
                <c:pt idx="1">
                  <c:v>4.770999999999999</c:v>
                </c:pt>
                <c:pt idx="2">
                  <c:v>7.9999999999999893</c:v>
                </c:pt>
                <c:pt idx="3">
                  <c:v>12.913333333333311</c:v>
                </c:pt>
                <c:pt idx="4">
                  <c:v>12.049999999999995</c:v>
                </c:pt>
                <c:pt idx="5">
                  <c:v>5.75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3C1-49F7-86DE-175C00196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789248"/>
        <c:axId val="122791040"/>
      </c:barChart>
      <c:catAx>
        <c:axId val="122789248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22791040"/>
        <c:crosses val="autoZero"/>
        <c:auto val="1"/>
        <c:lblAlgn val="ctr"/>
        <c:lblOffset val="100"/>
        <c:noMultiLvlLbl val="0"/>
      </c:catAx>
      <c:valAx>
        <c:axId val="12279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Contribution from Binned Events (in)</a:t>
                </a:r>
              </a:p>
            </c:rich>
          </c:tx>
          <c:layout/>
          <c:overlay val="0"/>
        </c:title>
        <c:numFmt formatCode="0" sourceLinked="0"/>
        <c:majorTickMark val="none"/>
        <c:minorTickMark val="none"/>
        <c:tickLblPos val="nextTo"/>
        <c:crossAx val="12278924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v>POR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'SS AOE'!$U$122:$AI$122</c:f>
              <c:numCache>
                <c:formatCode>0.0%</c:formatCode>
                <c:ptCount val="6"/>
                <c:pt idx="0">
                  <c:v>4.1040560034988099E-2</c:v>
                </c:pt>
                <c:pt idx="1">
                  <c:v>0.10447412089389164</c:v>
                </c:pt>
                <c:pt idx="2">
                  <c:v>0.19388672081510264</c:v>
                </c:pt>
                <c:pt idx="3">
                  <c:v>0.30639591348319017</c:v>
                </c:pt>
                <c:pt idx="4">
                  <c:v>0.26765635809396932</c:v>
                </c:pt>
                <c:pt idx="5">
                  <c:v>8.4386127035765993E-2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849-4369-A13E-6DD9D1F4C206}"/>
            </c:ext>
          </c:extLst>
        </c:ser>
        <c:ser>
          <c:idx val="0"/>
          <c:order val="1"/>
          <c:tx>
            <c:v>1981 - 2010 Climatology</c:v>
          </c:tx>
          <c:invertIfNegative val="0"/>
          <c:cat>
            <c:strRef>
              <c:f>'IM NOE'!$U$104:$U$109</c:f>
              <c:strCache>
                <c:ptCount val="6"/>
                <c:pt idx="0">
                  <c:v>0.03 - 0.10</c:v>
                </c:pt>
                <c:pt idx="1">
                  <c:v>0.11 - 0.25</c:v>
                </c:pt>
                <c:pt idx="2">
                  <c:v>0.26 - 0.50</c:v>
                </c:pt>
                <c:pt idx="3">
                  <c:v>0.51 - 1.00</c:v>
                </c:pt>
                <c:pt idx="4">
                  <c:v>1.01 - 2.00</c:v>
                </c:pt>
                <c:pt idx="5">
                  <c:v>2.01+</c:v>
                </c:pt>
              </c:strCache>
            </c:strRef>
          </c:cat>
          <c:val>
            <c:numRef>
              <c:f>'SS AOE'!$U$121:$AI$121</c:f>
              <c:numCache>
                <c:formatCode>0.0%</c:formatCode>
                <c:ptCount val="6"/>
                <c:pt idx="0">
                  <c:v>4.2654363111030637E-2</c:v>
                </c:pt>
                <c:pt idx="1">
                  <c:v>0.10677906325847687</c:v>
                </c:pt>
                <c:pt idx="2">
                  <c:v>0.17967540262271461</c:v>
                </c:pt>
                <c:pt idx="3">
                  <c:v>0.29017227946563828</c:v>
                </c:pt>
                <c:pt idx="4">
                  <c:v>0.26622967118067908</c:v>
                </c:pt>
                <c:pt idx="5">
                  <c:v>0.1163142030528824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849-4369-A13E-6DD9D1F4C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873536"/>
        <c:axId val="123879424"/>
      </c:barChart>
      <c:catAx>
        <c:axId val="123873536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crossAx val="123879424"/>
        <c:crosses val="autoZero"/>
        <c:auto val="1"/>
        <c:lblAlgn val="ctr"/>
        <c:lblOffset val="100"/>
        <c:noMultiLvlLbl val="0"/>
      </c:catAx>
      <c:valAx>
        <c:axId val="123879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Contribution from Binned Events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2387353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7" Type="http://schemas.openxmlformats.org/officeDocument/2006/relationships/chart" Target="../charts/chart40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5" Type="http://schemas.openxmlformats.org/officeDocument/2006/relationships/chart" Target="../charts/chart38.xml"/><Relationship Id="rId4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8.xml"/><Relationship Id="rId3" Type="http://schemas.openxmlformats.org/officeDocument/2006/relationships/chart" Target="../charts/chart43.xml"/><Relationship Id="rId7" Type="http://schemas.openxmlformats.org/officeDocument/2006/relationships/chart" Target="../charts/chart47.xml"/><Relationship Id="rId12" Type="http://schemas.openxmlformats.org/officeDocument/2006/relationships/chart" Target="../charts/chart52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11" Type="http://schemas.openxmlformats.org/officeDocument/2006/relationships/chart" Target="../charts/chart51.xml"/><Relationship Id="rId5" Type="http://schemas.openxmlformats.org/officeDocument/2006/relationships/chart" Target="../charts/chart45.xml"/><Relationship Id="rId10" Type="http://schemas.openxmlformats.org/officeDocument/2006/relationships/chart" Target="../charts/chart50.xml"/><Relationship Id="rId4" Type="http://schemas.openxmlformats.org/officeDocument/2006/relationships/chart" Target="../charts/chart44.xml"/><Relationship Id="rId9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244929</xdr:colOff>
      <xdr:row>122</xdr:row>
      <xdr:rowOff>50345</xdr:rowOff>
    </xdr:from>
    <xdr:to>
      <xdr:col>19</xdr:col>
      <xdr:colOff>1578428</xdr:colOff>
      <xdr:row>143</xdr:row>
      <xdr:rowOff>108856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124</xdr:row>
      <xdr:rowOff>0</xdr:rowOff>
    </xdr:from>
    <xdr:to>
      <xdr:col>21</xdr:col>
      <xdr:colOff>312965</xdr:colOff>
      <xdr:row>142</xdr:row>
      <xdr:rowOff>72118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258536</xdr:colOff>
      <xdr:row>124</xdr:row>
      <xdr:rowOff>0</xdr:rowOff>
    </xdr:from>
    <xdr:to>
      <xdr:col>43</xdr:col>
      <xdr:colOff>544287</xdr:colOff>
      <xdr:row>142</xdr:row>
      <xdr:rowOff>72118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150</xdr:row>
      <xdr:rowOff>0</xdr:rowOff>
    </xdr:from>
    <xdr:to>
      <xdr:col>23</xdr:col>
      <xdr:colOff>190501</xdr:colOff>
      <xdr:row>168</xdr:row>
      <xdr:rowOff>72118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150</xdr:row>
      <xdr:rowOff>0</xdr:rowOff>
    </xdr:from>
    <xdr:to>
      <xdr:col>23</xdr:col>
      <xdr:colOff>68037</xdr:colOff>
      <xdr:row>167</xdr:row>
      <xdr:rowOff>99332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299357</xdr:colOff>
      <xdr:row>150</xdr:row>
      <xdr:rowOff>13607</xdr:rowOff>
    </xdr:from>
    <xdr:to>
      <xdr:col>44</xdr:col>
      <xdr:colOff>585109</xdr:colOff>
      <xdr:row>167</xdr:row>
      <xdr:rowOff>112939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830036</xdr:colOff>
      <xdr:row>127</xdr:row>
      <xdr:rowOff>13607</xdr:rowOff>
    </xdr:from>
    <xdr:to>
      <xdr:col>23</xdr:col>
      <xdr:colOff>132871</xdr:colOff>
      <xdr:row>145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258537</xdr:colOff>
      <xdr:row>128</xdr:row>
      <xdr:rowOff>40822</xdr:rowOff>
    </xdr:from>
    <xdr:to>
      <xdr:col>21</xdr:col>
      <xdr:colOff>272143</xdr:colOff>
      <xdr:row>143</xdr:row>
      <xdr:rowOff>28096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648341</xdr:colOff>
      <xdr:row>128</xdr:row>
      <xdr:rowOff>27214</xdr:rowOff>
    </xdr:from>
    <xdr:to>
      <xdr:col>41</xdr:col>
      <xdr:colOff>244927</xdr:colOff>
      <xdr:row>143</xdr:row>
      <xdr:rowOff>14488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843642</xdr:colOff>
      <xdr:row>124</xdr:row>
      <xdr:rowOff>27214</xdr:rowOff>
    </xdr:from>
    <xdr:to>
      <xdr:col>20</xdr:col>
      <xdr:colOff>622727</xdr:colOff>
      <xdr:row>142</xdr:row>
      <xdr:rowOff>99332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394607</xdr:colOff>
      <xdr:row>124</xdr:row>
      <xdr:rowOff>27215</xdr:rowOff>
    </xdr:from>
    <xdr:to>
      <xdr:col>19</xdr:col>
      <xdr:colOff>530677</xdr:colOff>
      <xdr:row>142</xdr:row>
      <xdr:rowOff>41703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906875</xdr:colOff>
      <xdr:row>124</xdr:row>
      <xdr:rowOff>13607</xdr:rowOff>
    </xdr:from>
    <xdr:to>
      <xdr:col>38</xdr:col>
      <xdr:colOff>81640</xdr:colOff>
      <xdr:row>142</xdr:row>
      <xdr:rowOff>28095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4482</xdr:rowOff>
    </xdr:from>
    <xdr:to>
      <xdr:col>25</xdr:col>
      <xdr:colOff>436709</xdr:colOff>
      <xdr:row>64</xdr:row>
      <xdr:rowOff>104592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22412</xdr:colOff>
      <xdr:row>1</xdr:row>
      <xdr:rowOff>0</xdr:rowOff>
    </xdr:from>
    <xdr:to>
      <xdr:col>25</xdr:col>
      <xdr:colOff>396688</xdr:colOff>
      <xdr:row>24</xdr:row>
      <xdr:rowOff>150160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78441</xdr:colOff>
      <xdr:row>110</xdr:row>
      <xdr:rowOff>0</xdr:rowOff>
    </xdr:from>
    <xdr:to>
      <xdr:col>25</xdr:col>
      <xdr:colOff>452717</xdr:colOff>
      <xdr:row>142</xdr:row>
      <xdr:rowOff>56029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179</xdr:row>
      <xdr:rowOff>122444</xdr:rowOff>
    </xdr:from>
    <xdr:to>
      <xdr:col>25</xdr:col>
      <xdr:colOff>419100</xdr:colOff>
      <xdr:row>212</xdr:row>
      <xdr:rowOff>10385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214</xdr:row>
      <xdr:rowOff>88828</xdr:rowOff>
    </xdr:from>
    <xdr:to>
      <xdr:col>25</xdr:col>
      <xdr:colOff>419100</xdr:colOff>
      <xdr:row>246</xdr:row>
      <xdr:rowOff>167269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144</xdr:row>
      <xdr:rowOff>152400</xdr:rowOff>
    </xdr:from>
    <xdr:to>
      <xdr:col>25</xdr:col>
      <xdr:colOff>503464</xdr:colOff>
      <xdr:row>177</xdr:row>
      <xdr:rowOff>17929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67</xdr:row>
      <xdr:rowOff>0</xdr:rowOff>
    </xdr:from>
    <xdr:to>
      <xdr:col>25</xdr:col>
      <xdr:colOff>436709</xdr:colOff>
      <xdr:row>105</xdr:row>
      <xdr:rowOff>100110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11205</xdr:rowOff>
    </xdr:from>
    <xdr:to>
      <xdr:col>25</xdr:col>
      <xdr:colOff>544286</xdr:colOff>
      <xdr:row>64</xdr:row>
      <xdr:rowOff>111315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22412</xdr:colOff>
      <xdr:row>1</xdr:row>
      <xdr:rowOff>6723</xdr:rowOff>
    </xdr:from>
    <xdr:to>
      <xdr:col>25</xdr:col>
      <xdr:colOff>504265</xdr:colOff>
      <xdr:row>24</xdr:row>
      <xdr:rowOff>156883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9169</xdr:colOff>
      <xdr:row>108</xdr:row>
      <xdr:rowOff>86591</xdr:rowOff>
    </xdr:from>
    <xdr:to>
      <xdr:col>25</xdr:col>
      <xdr:colOff>491021</xdr:colOff>
      <xdr:row>140</xdr:row>
      <xdr:rowOff>142620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34638</xdr:colOff>
      <xdr:row>177</xdr:row>
      <xdr:rowOff>34636</xdr:rowOff>
    </xdr:from>
    <xdr:to>
      <xdr:col>25</xdr:col>
      <xdr:colOff>561314</xdr:colOff>
      <xdr:row>209</xdr:row>
      <xdr:rowOff>113077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51956</xdr:colOff>
      <xdr:row>212</xdr:row>
      <xdr:rowOff>1021</xdr:rowOff>
    </xdr:from>
    <xdr:to>
      <xdr:col>25</xdr:col>
      <xdr:colOff>578632</xdr:colOff>
      <xdr:row>244</xdr:row>
      <xdr:rowOff>79462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143</xdr:row>
      <xdr:rowOff>0</xdr:rowOff>
    </xdr:from>
    <xdr:to>
      <xdr:col>25</xdr:col>
      <xdr:colOff>481852</xdr:colOff>
      <xdr:row>175</xdr:row>
      <xdr:rowOff>56029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66</xdr:row>
      <xdr:rowOff>0</xdr:rowOff>
    </xdr:from>
    <xdr:to>
      <xdr:col>25</xdr:col>
      <xdr:colOff>544286</xdr:colOff>
      <xdr:row>104</xdr:row>
      <xdr:rowOff>100110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4482</xdr:rowOff>
    </xdr:from>
    <xdr:to>
      <xdr:col>24</xdr:col>
      <xdr:colOff>235003</xdr:colOff>
      <xdr:row>64</xdr:row>
      <xdr:rowOff>104592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22412</xdr:colOff>
      <xdr:row>1</xdr:row>
      <xdr:rowOff>0</xdr:rowOff>
    </xdr:from>
    <xdr:to>
      <xdr:col>24</xdr:col>
      <xdr:colOff>194982</xdr:colOff>
      <xdr:row>24</xdr:row>
      <xdr:rowOff>150160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78441</xdr:colOff>
      <xdr:row>105</xdr:row>
      <xdr:rowOff>0</xdr:rowOff>
    </xdr:from>
    <xdr:to>
      <xdr:col>24</xdr:col>
      <xdr:colOff>251011</xdr:colOff>
      <xdr:row>137</xdr:row>
      <xdr:rowOff>56029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585107</xdr:colOff>
      <xdr:row>174</xdr:row>
      <xdr:rowOff>176873</xdr:rowOff>
    </xdr:from>
    <xdr:to>
      <xdr:col>24</xdr:col>
      <xdr:colOff>190180</xdr:colOff>
      <xdr:row>207</xdr:row>
      <xdr:rowOff>64814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209</xdr:row>
      <xdr:rowOff>88828</xdr:rowOff>
    </xdr:from>
    <xdr:to>
      <xdr:col>24</xdr:col>
      <xdr:colOff>217394</xdr:colOff>
      <xdr:row>241</xdr:row>
      <xdr:rowOff>167269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139</xdr:row>
      <xdr:rowOff>152400</xdr:rowOff>
    </xdr:from>
    <xdr:to>
      <xdr:col>24</xdr:col>
      <xdr:colOff>172570</xdr:colOff>
      <xdr:row>172</xdr:row>
      <xdr:rowOff>17929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68</xdr:row>
      <xdr:rowOff>0</xdr:rowOff>
    </xdr:from>
    <xdr:to>
      <xdr:col>24</xdr:col>
      <xdr:colOff>235003</xdr:colOff>
      <xdr:row>102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25</xdr:col>
      <xdr:colOff>290194</xdr:colOff>
      <xdr:row>25</xdr:row>
      <xdr:rowOff>64764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25</xdr:col>
      <xdr:colOff>290194</xdr:colOff>
      <xdr:row>51</xdr:row>
      <xdr:rowOff>64764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25</xdr:col>
      <xdr:colOff>290194</xdr:colOff>
      <xdr:row>104</xdr:row>
      <xdr:rowOff>64764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106</xdr:row>
      <xdr:rowOff>0</xdr:rowOff>
    </xdr:from>
    <xdr:to>
      <xdr:col>25</xdr:col>
      <xdr:colOff>290194</xdr:colOff>
      <xdr:row>130</xdr:row>
      <xdr:rowOff>64763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0</xdr:rowOff>
    </xdr:from>
    <xdr:to>
      <xdr:col>25</xdr:col>
      <xdr:colOff>290194</xdr:colOff>
      <xdr:row>156</xdr:row>
      <xdr:rowOff>64763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158</xdr:row>
      <xdr:rowOff>0</xdr:rowOff>
    </xdr:from>
    <xdr:to>
      <xdr:col>25</xdr:col>
      <xdr:colOff>290194</xdr:colOff>
      <xdr:row>182</xdr:row>
      <xdr:rowOff>64763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54</xdr:row>
      <xdr:rowOff>0</xdr:rowOff>
    </xdr:from>
    <xdr:to>
      <xdr:col>25</xdr:col>
      <xdr:colOff>290194</xdr:colOff>
      <xdr:row>78</xdr:row>
      <xdr:rowOff>64764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391694</xdr:colOff>
      <xdr:row>5</xdr:row>
      <xdr:rowOff>107882</xdr:rowOff>
    </xdr:from>
    <xdr:to>
      <xdr:col>13</xdr:col>
      <xdr:colOff>342900</xdr:colOff>
      <xdr:row>24</xdr:row>
      <xdr:rowOff>92782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389660</xdr:colOff>
      <xdr:row>24</xdr:row>
      <xdr:rowOff>92466</xdr:rowOff>
    </xdr:from>
    <xdr:to>
      <xdr:col>13</xdr:col>
      <xdr:colOff>346363</xdr:colOff>
      <xdr:row>42</xdr:row>
      <xdr:rowOff>164584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386754</xdr:colOff>
      <xdr:row>42</xdr:row>
      <xdr:rowOff>162606</xdr:rowOff>
    </xdr:from>
    <xdr:to>
      <xdr:col>13</xdr:col>
      <xdr:colOff>342900</xdr:colOff>
      <xdr:row>61</xdr:row>
      <xdr:rowOff>44224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355334</xdr:colOff>
      <xdr:row>5</xdr:row>
      <xdr:rowOff>105702</xdr:rowOff>
    </xdr:from>
    <xdr:to>
      <xdr:col>23</xdr:col>
      <xdr:colOff>47626</xdr:colOff>
      <xdr:row>24</xdr:row>
      <xdr:rowOff>95249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350384</xdr:colOff>
      <xdr:row>24</xdr:row>
      <xdr:rowOff>99144</xdr:rowOff>
    </xdr:from>
    <xdr:to>
      <xdr:col>23</xdr:col>
      <xdr:colOff>49480</xdr:colOff>
      <xdr:row>42</xdr:row>
      <xdr:rowOff>152399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355578</xdr:colOff>
      <xdr:row>42</xdr:row>
      <xdr:rowOff>164377</xdr:rowOff>
    </xdr:from>
    <xdr:to>
      <xdr:col>23</xdr:col>
      <xdr:colOff>46494</xdr:colOff>
      <xdr:row>61</xdr:row>
      <xdr:rowOff>47624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60176</xdr:colOff>
      <xdr:row>5</xdr:row>
      <xdr:rowOff>98451</xdr:rowOff>
    </xdr:from>
    <xdr:to>
      <xdr:col>32</xdr:col>
      <xdr:colOff>175219</xdr:colOff>
      <xdr:row>24</xdr:row>
      <xdr:rowOff>89646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59322</xdr:colOff>
      <xdr:row>24</xdr:row>
      <xdr:rowOff>102038</xdr:rowOff>
    </xdr:from>
    <xdr:to>
      <xdr:col>32</xdr:col>
      <xdr:colOff>168088</xdr:colOff>
      <xdr:row>42</xdr:row>
      <xdr:rowOff>156882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57941</xdr:colOff>
      <xdr:row>42</xdr:row>
      <xdr:rowOff>172345</xdr:rowOff>
    </xdr:from>
    <xdr:to>
      <xdr:col>32</xdr:col>
      <xdr:colOff>168088</xdr:colOff>
      <xdr:row>61</xdr:row>
      <xdr:rowOff>56028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32</xdr:col>
      <xdr:colOff>177710</xdr:colOff>
      <xdr:row>5</xdr:row>
      <xdr:rowOff>98269</xdr:rowOff>
    </xdr:from>
    <xdr:to>
      <xdr:col>40</xdr:col>
      <xdr:colOff>406467</xdr:colOff>
      <xdr:row>24</xdr:row>
      <xdr:rowOff>89646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181204</xdr:colOff>
      <xdr:row>24</xdr:row>
      <xdr:rowOff>105108</xdr:rowOff>
    </xdr:from>
    <xdr:to>
      <xdr:col>40</xdr:col>
      <xdr:colOff>403412</xdr:colOff>
      <xdr:row>42</xdr:row>
      <xdr:rowOff>168087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179950</xdr:colOff>
      <xdr:row>42</xdr:row>
      <xdr:rowOff>162559</xdr:rowOff>
    </xdr:from>
    <xdr:to>
      <xdr:col>40</xdr:col>
      <xdr:colOff>414619</xdr:colOff>
      <xdr:row>61</xdr:row>
      <xdr:rowOff>56028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inned_ACM_PO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inned_NB_PO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binned_SS_P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M Events"/>
      <sheetName val="ACM Amounts"/>
      <sheetName val="ACM Four Plots"/>
    </sheetNames>
    <sheetDataSet>
      <sheetData sheetId="0">
        <row r="2">
          <cell r="A2">
            <v>1874</v>
          </cell>
          <cell r="C2">
            <v>36</v>
          </cell>
          <cell r="D2">
            <v>13</v>
          </cell>
          <cell r="E2">
            <v>18</v>
          </cell>
          <cell r="P2">
            <v>8</v>
          </cell>
          <cell r="S2">
            <v>0</v>
          </cell>
        </row>
        <row r="3">
          <cell r="A3">
            <v>1875</v>
          </cell>
          <cell r="C3">
            <v>30</v>
          </cell>
          <cell r="D3">
            <v>28</v>
          </cell>
          <cell r="E3">
            <v>30</v>
          </cell>
          <cell r="P3">
            <v>4</v>
          </cell>
          <cell r="S3">
            <v>1</v>
          </cell>
        </row>
        <row r="4">
          <cell r="A4">
            <v>1876</v>
          </cell>
          <cell r="C4">
            <v>42</v>
          </cell>
          <cell r="D4">
            <v>20</v>
          </cell>
          <cell r="E4">
            <v>20</v>
          </cell>
          <cell r="P4">
            <v>2</v>
          </cell>
          <cell r="S4">
            <v>4</v>
          </cell>
        </row>
        <row r="5">
          <cell r="A5">
            <v>1877</v>
          </cell>
          <cell r="C5">
            <v>28</v>
          </cell>
          <cell r="D5">
            <v>23</v>
          </cell>
          <cell r="E5">
            <v>25</v>
          </cell>
          <cell r="P5">
            <v>5</v>
          </cell>
          <cell r="S5">
            <v>2</v>
          </cell>
        </row>
        <row r="6">
          <cell r="A6">
            <v>1878</v>
          </cell>
          <cell r="C6">
            <v>35</v>
          </cell>
          <cell r="D6">
            <v>30</v>
          </cell>
          <cell r="E6">
            <v>25</v>
          </cell>
          <cell r="P6">
            <v>9</v>
          </cell>
          <cell r="S6">
            <v>2</v>
          </cell>
        </row>
        <row r="7">
          <cell r="A7">
            <v>1879</v>
          </cell>
          <cell r="C7">
            <v>40</v>
          </cell>
          <cell r="D7">
            <v>23</v>
          </cell>
          <cell r="E7">
            <v>20</v>
          </cell>
          <cell r="P7">
            <v>7</v>
          </cell>
          <cell r="S7">
            <v>2</v>
          </cell>
        </row>
        <row r="8">
          <cell r="A8">
            <v>1880</v>
          </cell>
          <cell r="C8">
            <v>37</v>
          </cell>
          <cell r="D8">
            <v>24</v>
          </cell>
          <cell r="E8">
            <v>19</v>
          </cell>
          <cell r="P8">
            <v>11</v>
          </cell>
          <cell r="S8">
            <v>3</v>
          </cell>
        </row>
        <row r="9">
          <cell r="A9">
            <v>1881</v>
          </cell>
          <cell r="C9">
            <v>31</v>
          </cell>
          <cell r="D9">
            <v>29</v>
          </cell>
          <cell r="E9">
            <v>20</v>
          </cell>
          <cell r="P9">
            <v>8</v>
          </cell>
          <cell r="S9">
            <v>1</v>
          </cell>
        </row>
        <row r="10">
          <cell r="A10">
            <v>1882</v>
          </cell>
          <cell r="C10">
            <v>40</v>
          </cell>
          <cell r="D10">
            <v>25</v>
          </cell>
          <cell r="E10">
            <v>22</v>
          </cell>
          <cell r="P10">
            <v>5</v>
          </cell>
          <cell r="S10">
            <v>4</v>
          </cell>
        </row>
        <row r="11">
          <cell r="A11">
            <v>1883</v>
          </cell>
          <cell r="C11">
            <v>40</v>
          </cell>
          <cell r="D11">
            <v>29</v>
          </cell>
          <cell r="E11">
            <v>18</v>
          </cell>
          <cell r="P11">
            <v>8</v>
          </cell>
          <cell r="S11">
            <v>2</v>
          </cell>
        </row>
        <row r="12">
          <cell r="A12">
            <v>1884</v>
          </cell>
          <cell r="C12">
            <v>34</v>
          </cell>
          <cell r="D12">
            <v>22</v>
          </cell>
          <cell r="E12">
            <v>18</v>
          </cell>
          <cell r="P12">
            <v>15</v>
          </cell>
          <cell r="S12">
            <v>2</v>
          </cell>
        </row>
        <row r="13">
          <cell r="A13">
            <v>1885</v>
          </cell>
          <cell r="C13">
            <v>29</v>
          </cell>
          <cell r="D13">
            <v>21</v>
          </cell>
          <cell r="E13">
            <v>24</v>
          </cell>
          <cell r="P13">
            <v>9</v>
          </cell>
          <cell r="S13">
            <v>1</v>
          </cell>
        </row>
        <row r="14">
          <cell r="A14">
            <v>1886</v>
          </cell>
          <cell r="C14">
            <v>30</v>
          </cell>
          <cell r="D14">
            <v>23</v>
          </cell>
          <cell r="E14">
            <v>17</v>
          </cell>
          <cell r="P14">
            <v>6</v>
          </cell>
          <cell r="S14">
            <v>2</v>
          </cell>
        </row>
        <row r="15">
          <cell r="A15">
            <v>1887</v>
          </cell>
          <cell r="C15">
            <v>30</v>
          </cell>
          <cell r="D15">
            <v>36</v>
          </cell>
          <cell r="E15">
            <v>20</v>
          </cell>
          <cell r="P15">
            <v>8</v>
          </cell>
          <cell r="S15">
            <v>0</v>
          </cell>
        </row>
        <row r="16">
          <cell r="A16">
            <v>1888</v>
          </cell>
          <cell r="C16">
            <v>36</v>
          </cell>
          <cell r="D16">
            <v>19</v>
          </cell>
          <cell r="E16">
            <v>21</v>
          </cell>
          <cell r="P16">
            <v>7</v>
          </cell>
          <cell r="S16">
            <v>1</v>
          </cell>
        </row>
        <row r="17">
          <cell r="A17">
            <v>1889</v>
          </cell>
          <cell r="C17">
            <v>38</v>
          </cell>
          <cell r="D17">
            <v>31</v>
          </cell>
          <cell r="E17">
            <v>18</v>
          </cell>
          <cell r="P17">
            <v>7</v>
          </cell>
          <cell r="S17">
            <v>1</v>
          </cell>
        </row>
        <row r="18">
          <cell r="A18">
            <v>1890</v>
          </cell>
          <cell r="C18">
            <v>29</v>
          </cell>
          <cell r="D18">
            <v>24</v>
          </cell>
          <cell r="E18">
            <v>27</v>
          </cell>
          <cell r="P18">
            <v>7</v>
          </cell>
          <cell r="S18">
            <v>2</v>
          </cell>
        </row>
        <row r="19">
          <cell r="A19">
            <v>1891</v>
          </cell>
          <cell r="C19">
            <v>31</v>
          </cell>
          <cell r="D19">
            <v>29</v>
          </cell>
          <cell r="E19">
            <v>24</v>
          </cell>
          <cell r="P19">
            <v>9</v>
          </cell>
          <cell r="S19">
            <v>0</v>
          </cell>
        </row>
        <row r="20">
          <cell r="A20">
            <v>1892</v>
          </cell>
          <cell r="C20">
            <v>32</v>
          </cell>
          <cell r="D20">
            <v>22</v>
          </cell>
          <cell r="E20">
            <v>16</v>
          </cell>
          <cell r="P20">
            <v>6</v>
          </cell>
          <cell r="S20">
            <v>2</v>
          </cell>
        </row>
        <row r="21">
          <cell r="A21">
            <v>1893</v>
          </cell>
          <cell r="C21">
            <v>34</v>
          </cell>
          <cell r="D21">
            <v>23</v>
          </cell>
          <cell r="E21">
            <v>21</v>
          </cell>
          <cell r="P21">
            <v>5</v>
          </cell>
          <cell r="S21">
            <v>0</v>
          </cell>
        </row>
        <row r="22">
          <cell r="A22">
            <v>1894</v>
          </cell>
          <cell r="C22">
            <v>48</v>
          </cell>
          <cell r="D22">
            <v>22</v>
          </cell>
          <cell r="E22">
            <v>24</v>
          </cell>
          <cell r="P22">
            <v>4</v>
          </cell>
          <cell r="S22">
            <v>1</v>
          </cell>
        </row>
        <row r="23">
          <cell r="A23">
            <v>1895</v>
          </cell>
          <cell r="C23">
            <v>34</v>
          </cell>
          <cell r="D23">
            <v>17</v>
          </cell>
          <cell r="E23">
            <v>24</v>
          </cell>
          <cell r="P23">
            <v>2</v>
          </cell>
          <cell r="S23">
            <v>1</v>
          </cell>
        </row>
        <row r="24">
          <cell r="A24">
            <v>1896</v>
          </cell>
          <cell r="C24">
            <v>42</v>
          </cell>
          <cell r="D24">
            <v>28</v>
          </cell>
          <cell r="E24">
            <v>20</v>
          </cell>
          <cell r="P24">
            <v>6</v>
          </cell>
          <cell r="S24">
            <v>2</v>
          </cell>
        </row>
        <row r="25">
          <cell r="A25">
            <v>1897</v>
          </cell>
          <cell r="C25">
            <v>39</v>
          </cell>
          <cell r="D25">
            <v>28</v>
          </cell>
          <cell r="E25">
            <v>24</v>
          </cell>
          <cell r="P25">
            <v>6</v>
          </cell>
          <cell r="S25">
            <v>1</v>
          </cell>
        </row>
        <row r="26">
          <cell r="A26">
            <v>1898</v>
          </cell>
          <cell r="C26">
            <v>37</v>
          </cell>
          <cell r="D26">
            <v>28</v>
          </cell>
          <cell r="E26">
            <v>22</v>
          </cell>
          <cell r="P26">
            <v>7</v>
          </cell>
          <cell r="S26">
            <v>0</v>
          </cell>
        </row>
        <row r="27">
          <cell r="A27">
            <v>1899</v>
          </cell>
          <cell r="C27">
            <v>29</v>
          </cell>
          <cell r="D27">
            <v>20</v>
          </cell>
          <cell r="E27">
            <v>23</v>
          </cell>
          <cell r="P27">
            <v>2</v>
          </cell>
          <cell r="S27">
            <v>4</v>
          </cell>
        </row>
        <row r="28">
          <cell r="A28">
            <v>1900</v>
          </cell>
          <cell r="C28">
            <v>23</v>
          </cell>
          <cell r="D28">
            <v>25</v>
          </cell>
          <cell r="E28">
            <v>14</v>
          </cell>
          <cell r="P28">
            <v>5</v>
          </cell>
          <cell r="S28">
            <v>0</v>
          </cell>
        </row>
        <row r="29">
          <cell r="A29">
            <v>1901</v>
          </cell>
          <cell r="C29">
            <v>22</v>
          </cell>
          <cell r="D29">
            <v>22</v>
          </cell>
          <cell r="E29">
            <v>16</v>
          </cell>
          <cell r="P29">
            <v>6</v>
          </cell>
          <cell r="S29">
            <v>1</v>
          </cell>
        </row>
        <row r="30">
          <cell r="A30">
            <v>1902</v>
          </cell>
          <cell r="C30">
            <v>28</v>
          </cell>
          <cell r="D30">
            <v>16</v>
          </cell>
          <cell r="E30">
            <v>25</v>
          </cell>
          <cell r="P30">
            <v>13</v>
          </cell>
          <cell r="S30">
            <v>2</v>
          </cell>
        </row>
        <row r="31">
          <cell r="A31">
            <v>1903</v>
          </cell>
          <cell r="C31">
            <v>24</v>
          </cell>
          <cell r="D31">
            <v>19</v>
          </cell>
          <cell r="E31">
            <v>21</v>
          </cell>
          <cell r="P31">
            <v>16</v>
          </cell>
          <cell r="S31">
            <v>2</v>
          </cell>
        </row>
        <row r="32">
          <cell r="A32">
            <v>1904</v>
          </cell>
          <cell r="C32">
            <v>30</v>
          </cell>
          <cell r="D32">
            <v>27</v>
          </cell>
          <cell r="E32">
            <v>24</v>
          </cell>
          <cell r="P32">
            <v>4</v>
          </cell>
          <cell r="S32">
            <v>1</v>
          </cell>
        </row>
        <row r="33">
          <cell r="A33">
            <v>1905</v>
          </cell>
          <cell r="C33">
            <v>31</v>
          </cell>
          <cell r="D33">
            <v>22</v>
          </cell>
          <cell r="E33">
            <v>30</v>
          </cell>
          <cell r="P33">
            <v>3</v>
          </cell>
          <cell r="S33">
            <v>3</v>
          </cell>
        </row>
        <row r="34">
          <cell r="A34">
            <v>1906</v>
          </cell>
          <cell r="C34">
            <v>39</v>
          </cell>
          <cell r="D34">
            <v>32</v>
          </cell>
          <cell r="E34">
            <v>14</v>
          </cell>
          <cell r="P34">
            <v>8</v>
          </cell>
          <cell r="S34">
            <v>5</v>
          </cell>
        </row>
        <row r="35">
          <cell r="A35">
            <v>1907</v>
          </cell>
          <cell r="C35">
            <v>21</v>
          </cell>
          <cell r="D35">
            <v>31</v>
          </cell>
          <cell r="E35">
            <v>30</v>
          </cell>
          <cell r="P35">
            <v>7</v>
          </cell>
          <cell r="S35">
            <v>2</v>
          </cell>
        </row>
        <row r="36">
          <cell r="A36">
            <v>1908</v>
          </cell>
          <cell r="C36">
            <v>25</v>
          </cell>
          <cell r="D36">
            <v>30</v>
          </cell>
          <cell r="E36">
            <v>17</v>
          </cell>
          <cell r="P36">
            <v>8</v>
          </cell>
          <cell r="S36">
            <v>2</v>
          </cell>
        </row>
        <row r="37">
          <cell r="A37">
            <v>1909</v>
          </cell>
          <cell r="C37">
            <v>30</v>
          </cell>
          <cell r="D37">
            <v>26</v>
          </cell>
          <cell r="E37">
            <v>21</v>
          </cell>
          <cell r="P37">
            <v>9</v>
          </cell>
          <cell r="S37">
            <v>3</v>
          </cell>
        </row>
        <row r="38">
          <cell r="A38">
            <v>1910</v>
          </cell>
          <cell r="C38">
            <v>35</v>
          </cell>
          <cell r="D38">
            <v>24</v>
          </cell>
          <cell r="E38">
            <v>16</v>
          </cell>
          <cell r="P38">
            <v>8</v>
          </cell>
          <cell r="S38">
            <v>0</v>
          </cell>
        </row>
        <row r="39">
          <cell r="A39">
            <v>1911</v>
          </cell>
          <cell r="C39">
            <v>25</v>
          </cell>
          <cell r="D39">
            <v>30</v>
          </cell>
          <cell r="E39">
            <v>25</v>
          </cell>
          <cell r="P39">
            <v>9</v>
          </cell>
          <cell r="S39">
            <v>1</v>
          </cell>
        </row>
        <row r="40">
          <cell r="A40">
            <v>1912</v>
          </cell>
          <cell r="C40">
            <v>31</v>
          </cell>
          <cell r="D40">
            <v>21</v>
          </cell>
          <cell r="E40">
            <v>15</v>
          </cell>
          <cell r="P40">
            <v>10</v>
          </cell>
          <cell r="S40">
            <v>2</v>
          </cell>
        </row>
        <row r="41">
          <cell r="A41">
            <v>1913</v>
          </cell>
          <cell r="C41">
            <v>26</v>
          </cell>
          <cell r="D41">
            <v>21</v>
          </cell>
          <cell r="E41">
            <v>28</v>
          </cell>
          <cell r="P41">
            <v>8</v>
          </cell>
          <cell r="S41">
            <v>0</v>
          </cell>
        </row>
        <row r="42">
          <cell r="A42">
            <v>1914</v>
          </cell>
          <cell r="C42">
            <v>26</v>
          </cell>
          <cell r="D42">
            <v>31</v>
          </cell>
          <cell r="E42">
            <v>20</v>
          </cell>
          <cell r="P42">
            <v>7</v>
          </cell>
          <cell r="S42">
            <v>2</v>
          </cell>
        </row>
        <row r="43">
          <cell r="A43">
            <v>1915</v>
          </cell>
          <cell r="C43">
            <v>27</v>
          </cell>
          <cell r="D43">
            <v>20</v>
          </cell>
          <cell r="E43">
            <v>23</v>
          </cell>
          <cell r="P43">
            <v>8</v>
          </cell>
          <cell r="S43">
            <v>0</v>
          </cell>
        </row>
        <row r="44">
          <cell r="A44">
            <v>1916</v>
          </cell>
          <cell r="C44">
            <v>28</v>
          </cell>
          <cell r="D44">
            <v>18</v>
          </cell>
          <cell r="E44">
            <v>26</v>
          </cell>
          <cell r="P44">
            <v>4</v>
          </cell>
          <cell r="S44">
            <v>0</v>
          </cell>
        </row>
        <row r="45">
          <cell r="A45">
            <v>1917</v>
          </cell>
          <cell r="C45">
            <v>23</v>
          </cell>
          <cell r="D45">
            <v>23</v>
          </cell>
          <cell r="E45">
            <v>24</v>
          </cell>
          <cell r="P45">
            <v>9</v>
          </cell>
          <cell r="S45">
            <v>0</v>
          </cell>
        </row>
        <row r="46">
          <cell r="A46">
            <v>1918</v>
          </cell>
          <cell r="C46">
            <v>27</v>
          </cell>
          <cell r="D46">
            <v>25</v>
          </cell>
          <cell r="E46">
            <v>23</v>
          </cell>
          <cell r="P46">
            <v>4</v>
          </cell>
          <cell r="S46">
            <v>0</v>
          </cell>
        </row>
        <row r="47">
          <cell r="A47">
            <v>1919</v>
          </cell>
          <cell r="C47">
            <v>35</v>
          </cell>
          <cell r="D47">
            <v>21</v>
          </cell>
          <cell r="E47">
            <v>32</v>
          </cell>
          <cell r="P47">
            <v>7</v>
          </cell>
          <cell r="S47">
            <v>2</v>
          </cell>
        </row>
        <row r="48">
          <cell r="A48">
            <v>1920</v>
          </cell>
          <cell r="C48">
            <v>33</v>
          </cell>
          <cell r="D48">
            <v>30</v>
          </cell>
          <cell r="E48">
            <v>23</v>
          </cell>
          <cell r="P48">
            <v>9</v>
          </cell>
          <cell r="S48">
            <v>2</v>
          </cell>
        </row>
        <row r="49">
          <cell r="A49">
            <v>1921</v>
          </cell>
          <cell r="C49">
            <v>25</v>
          </cell>
          <cell r="D49">
            <v>22</v>
          </cell>
          <cell r="E49">
            <v>12</v>
          </cell>
          <cell r="P49">
            <v>9</v>
          </cell>
          <cell r="S49">
            <v>0</v>
          </cell>
        </row>
        <row r="50">
          <cell r="A50">
            <v>1922</v>
          </cell>
          <cell r="C50">
            <v>34</v>
          </cell>
          <cell r="D50">
            <v>33</v>
          </cell>
          <cell r="E50">
            <v>22</v>
          </cell>
          <cell r="P50">
            <v>8</v>
          </cell>
          <cell r="S50">
            <v>1</v>
          </cell>
        </row>
        <row r="51">
          <cell r="A51">
            <v>1923</v>
          </cell>
          <cell r="C51">
            <v>16</v>
          </cell>
          <cell r="D51">
            <v>26</v>
          </cell>
          <cell r="E51">
            <v>22</v>
          </cell>
          <cell r="P51">
            <v>7</v>
          </cell>
          <cell r="S51">
            <v>1</v>
          </cell>
        </row>
        <row r="52">
          <cell r="A52">
            <v>1924</v>
          </cell>
          <cell r="C52">
            <v>20</v>
          </cell>
          <cell r="D52">
            <v>30</v>
          </cell>
          <cell r="E52">
            <v>16</v>
          </cell>
          <cell r="P52">
            <v>9</v>
          </cell>
          <cell r="S52">
            <v>1</v>
          </cell>
        </row>
        <row r="53">
          <cell r="A53">
            <v>1925</v>
          </cell>
          <cell r="C53">
            <v>34</v>
          </cell>
          <cell r="D53">
            <v>20</v>
          </cell>
          <cell r="E53">
            <v>18</v>
          </cell>
          <cell r="P53">
            <v>6</v>
          </cell>
          <cell r="S53">
            <v>2</v>
          </cell>
        </row>
        <row r="54">
          <cell r="A54">
            <v>1926</v>
          </cell>
          <cell r="C54">
            <v>31</v>
          </cell>
          <cell r="D54">
            <v>20</v>
          </cell>
          <cell r="E54">
            <v>15</v>
          </cell>
          <cell r="P54">
            <v>7</v>
          </cell>
          <cell r="S54">
            <v>2</v>
          </cell>
        </row>
        <row r="55">
          <cell r="A55">
            <v>1927</v>
          </cell>
          <cell r="C55">
            <v>32</v>
          </cell>
          <cell r="D55">
            <v>27</v>
          </cell>
          <cell r="E55">
            <v>19</v>
          </cell>
          <cell r="P55">
            <v>10</v>
          </cell>
          <cell r="S55">
            <v>2</v>
          </cell>
        </row>
        <row r="56">
          <cell r="A56">
            <v>1928</v>
          </cell>
          <cell r="C56">
            <v>29</v>
          </cell>
          <cell r="D56">
            <v>19</v>
          </cell>
          <cell r="E56">
            <v>29</v>
          </cell>
          <cell r="P56">
            <v>7</v>
          </cell>
          <cell r="S56">
            <v>3</v>
          </cell>
        </row>
        <row r="57">
          <cell r="A57">
            <v>1929</v>
          </cell>
          <cell r="C57">
            <v>36</v>
          </cell>
          <cell r="D57">
            <v>20</v>
          </cell>
          <cell r="E57">
            <v>18</v>
          </cell>
          <cell r="P57">
            <v>8</v>
          </cell>
          <cell r="S57">
            <v>0</v>
          </cell>
        </row>
        <row r="58">
          <cell r="A58">
            <v>1930</v>
          </cell>
          <cell r="C58">
            <v>19</v>
          </cell>
          <cell r="D58">
            <v>27</v>
          </cell>
          <cell r="E58">
            <v>24</v>
          </cell>
          <cell r="P58">
            <v>4</v>
          </cell>
          <cell r="S58">
            <v>1</v>
          </cell>
        </row>
        <row r="59">
          <cell r="A59">
            <v>1931</v>
          </cell>
          <cell r="C59">
            <v>29</v>
          </cell>
          <cell r="D59">
            <v>21</v>
          </cell>
          <cell r="E59">
            <v>12</v>
          </cell>
          <cell r="P59">
            <v>7</v>
          </cell>
          <cell r="S59">
            <v>0</v>
          </cell>
        </row>
        <row r="60">
          <cell r="A60">
            <v>1932</v>
          </cell>
          <cell r="C60">
            <v>29</v>
          </cell>
          <cell r="D60">
            <v>25</v>
          </cell>
          <cell r="E60">
            <v>17</v>
          </cell>
          <cell r="P60">
            <v>12</v>
          </cell>
          <cell r="S60">
            <v>2</v>
          </cell>
        </row>
        <row r="61">
          <cell r="A61">
            <v>1933</v>
          </cell>
          <cell r="C61">
            <v>30</v>
          </cell>
          <cell r="D61">
            <v>23</v>
          </cell>
          <cell r="E61">
            <v>24</v>
          </cell>
          <cell r="P61">
            <v>9</v>
          </cell>
          <cell r="S61">
            <v>2</v>
          </cell>
        </row>
        <row r="62">
          <cell r="A62">
            <v>1934</v>
          </cell>
          <cell r="C62">
            <v>26</v>
          </cell>
          <cell r="D62">
            <v>18</v>
          </cell>
          <cell r="E62">
            <v>23</v>
          </cell>
          <cell r="P62">
            <v>11</v>
          </cell>
          <cell r="S62">
            <v>1</v>
          </cell>
        </row>
        <row r="63">
          <cell r="A63">
            <v>1935</v>
          </cell>
          <cell r="C63">
            <v>30</v>
          </cell>
          <cell r="D63">
            <v>28</v>
          </cell>
          <cell r="E63">
            <v>20</v>
          </cell>
          <cell r="P63">
            <v>5</v>
          </cell>
          <cell r="S63">
            <v>5</v>
          </cell>
        </row>
        <row r="64">
          <cell r="A64">
            <v>1936</v>
          </cell>
          <cell r="C64">
            <v>45</v>
          </cell>
          <cell r="D64">
            <v>9</v>
          </cell>
          <cell r="E64">
            <v>26</v>
          </cell>
          <cell r="P64">
            <v>10</v>
          </cell>
          <cell r="S64">
            <v>2</v>
          </cell>
        </row>
        <row r="65">
          <cell r="A65">
            <v>1937</v>
          </cell>
          <cell r="C65">
            <v>40</v>
          </cell>
          <cell r="D65">
            <v>29</v>
          </cell>
          <cell r="E65">
            <v>20</v>
          </cell>
          <cell r="P65">
            <v>8</v>
          </cell>
          <cell r="S65">
            <v>2</v>
          </cell>
        </row>
        <row r="66">
          <cell r="A66">
            <v>1938</v>
          </cell>
          <cell r="C66">
            <v>35</v>
          </cell>
          <cell r="D66">
            <v>28</v>
          </cell>
          <cell r="E66">
            <v>24</v>
          </cell>
          <cell r="P66">
            <v>8</v>
          </cell>
          <cell r="S66">
            <v>4</v>
          </cell>
        </row>
        <row r="67">
          <cell r="A67">
            <v>1939</v>
          </cell>
          <cell r="C67">
            <v>24</v>
          </cell>
          <cell r="D67">
            <v>28</v>
          </cell>
          <cell r="E67">
            <v>11</v>
          </cell>
          <cell r="P67">
            <v>10</v>
          </cell>
          <cell r="S67">
            <v>1</v>
          </cell>
        </row>
        <row r="68">
          <cell r="A68">
            <v>1940</v>
          </cell>
          <cell r="C68">
            <v>33</v>
          </cell>
          <cell r="D68">
            <v>32</v>
          </cell>
          <cell r="E68">
            <v>17</v>
          </cell>
          <cell r="P68">
            <v>8</v>
          </cell>
          <cell r="S68">
            <v>1</v>
          </cell>
        </row>
        <row r="69">
          <cell r="A69">
            <v>1941</v>
          </cell>
          <cell r="C69">
            <v>18</v>
          </cell>
          <cell r="D69">
            <v>16</v>
          </cell>
          <cell r="E69">
            <v>15</v>
          </cell>
          <cell r="P69">
            <v>6</v>
          </cell>
          <cell r="S69">
            <v>3</v>
          </cell>
        </row>
        <row r="70">
          <cell r="A70">
            <v>1942</v>
          </cell>
          <cell r="C70">
            <v>21</v>
          </cell>
          <cell r="D70">
            <v>20</v>
          </cell>
          <cell r="E70">
            <v>25</v>
          </cell>
          <cell r="P70">
            <v>8</v>
          </cell>
          <cell r="S70">
            <v>2</v>
          </cell>
        </row>
        <row r="71">
          <cell r="A71">
            <v>1943</v>
          </cell>
          <cell r="C71">
            <v>27</v>
          </cell>
          <cell r="D71">
            <v>20</v>
          </cell>
          <cell r="E71">
            <v>18</v>
          </cell>
          <cell r="P71">
            <v>7</v>
          </cell>
          <cell r="S71">
            <v>2</v>
          </cell>
        </row>
        <row r="72">
          <cell r="A72">
            <v>1944</v>
          </cell>
          <cell r="C72">
            <v>25</v>
          </cell>
          <cell r="D72">
            <v>17</v>
          </cell>
          <cell r="E72">
            <v>21</v>
          </cell>
          <cell r="P72">
            <v>7</v>
          </cell>
          <cell r="S72">
            <v>6</v>
          </cell>
        </row>
        <row r="73">
          <cell r="A73">
            <v>1945</v>
          </cell>
          <cell r="C73">
            <v>26</v>
          </cell>
          <cell r="D73">
            <v>35</v>
          </cell>
          <cell r="E73">
            <v>21</v>
          </cell>
          <cell r="P73">
            <v>9</v>
          </cell>
          <cell r="S73">
            <v>3</v>
          </cell>
        </row>
        <row r="74">
          <cell r="A74">
            <v>1946</v>
          </cell>
          <cell r="C74">
            <v>31</v>
          </cell>
          <cell r="D74">
            <v>27</v>
          </cell>
          <cell r="E74">
            <v>13</v>
          </cell>
          <cell r="P74">
            <v>1</v>
          </cell>
          <cell r="S74">
            <v>2</v>
          </cell>
        </row>
        <row r="75">
          <cell r="A75">
            <v>1947</v>
          </cell>
          <cell r="C75">
            <v>23</v>
          </cell>
          <cell r="D75">
            <v>21</v>
          </cell>
          <cell r="E75">
            <v>24</v>
          </cell>
          <cell r="P75">
            <v>3</v>
          </cell>
          <cell r="S75">
            <v>0</v>
          </cell>
        </row>
        <row r="76">
          <cell r="A76">
            <v>1948</v>
          </cell>
          <cell r="C76">
            <v>27</v>
          </cell>
          <cell r="D76">
            <v>18</v>
          </cell>
          <cell r="E76">
            <v>26</v>
          </cell>
          <cell r="P76">
            <v>11</v>
          </cell>
          <cell r="S76">
            <v>5</v>
          </cell>
        </row>
        <row r="77">
          <cell r="A77">
            <v>1949</v>
          </cell>
          <cell r="C77">
            <v>30</v>
          </cell>
          <cell r="D77">
            <v>29</v>
          </cell>
          <cell r="E77">
            <v>23</v>
          </cell>
          <cell r="P77">
            <v>7</v>
          </cell>
          <cell r="S77">
            <v>2</v>
          </cell>
        </row>
        <row r="78">
          <cell r="A78">
            <v>1950</v>
          </cell>
          <cell r="C78">
            <v>32</v>
          </cell>
          <cell r="D78">
            <v>31</v>
          </cell>
          <cell r="E78">
            <v>30</v>
          </cell>
          <cell r="P78">
            <v>5</v>
          </cell>
          <cell r="S78">
            <v>2</v>
          </cell>
        </row>
        <row r="79">
          <cell r="A79">
            <v>1951</v>
          </cell>
          <cell r="C79">
            <v>24</v>
          </cell>
          <cell r="D79">
            <v>23</v>
          </cell>
          <cell r="E79">
            <v>19</v>
          </cell>
          <cell r="P79">
            <v>5</v>
          </cell>
          <cell r="S79">
            <v>2</v>
          </cell>
        </row>
        <row r="80">
          <cell r="A80">
            <v>1952</v>
          </cell>
          <cell r="C80">
            <v>27</v>
          </cell>
          <cell r="D80">
            <v>16</v>
          </cell>
          <cell r="E80">
            <v>27</v>
          </cell>
          <cell r="P80">
            <v>9</v>
          </cell>
          <cell r="S80">
            <v>1</v>
          </cell>
        </row>
        <row r="81">
          <cell r="A81">
            <v>1953</v>
          </cell>
          <cell r="C81">
            <v>20</v>
          </cell>
          <cell r="D81">
            <v>25</v>
          </cell>
          <cell r="E81">
            <v>17</v>
          </cell>
          <cell r="P81">
            <v>10</v>
          </cell>
          <cell r="S81">
            <v>4</v>
          </cell>
        </row>
        <row r="82">
          <cell r="A82">
            <v>1954</v>
          </cell>
          <cell r="C82">
            <v>37</v>
          </cell>
          <cell r="D82">
            <v>21</v>
          </cell>
          <cell r="E82">
            <v>16</v>
          </cell>
          <cell r="P82">
            <v>5</v>
          </cell>
          <cell r="S82">
            <v>2</v>
          </cell>
        </row>
        <row r="83">
          <cell r="A83">
            <v>1955</v>
          </cell>
          <cell r="C83">
            <v>18</v>
          </cell>
          <cell r="D83">
            <v>23</v>
          </cell>
          <cell r="E83">
            <v>12</v>
          </cell>
          <cell r="P83">
            <v>6</v>
          </cell>
          <cell r="S83">
            <v>2</v>
          </cell>
        </row>
        <row r="84">
          <cell r="A84">
            <v>1956</v>
          </cell>
          <cell r="C84">
            <v>28</v>
          </cell>
          <cell r="D84">
            <v>27</v>
          </cell>
          <cell r="E84">
            <v>30</v>
          </cell>
          <cell r="P84">
            <v>7</v>
          </cell>
          <cell r="S84">
            <v>1</v>
          </cell>
        </row>
        <row r="85">
          <cell r="A85">
            <v>1957</v>
          </cell>
          <cell r="C85">
            <v>28</v>
          </cell>
          <cell r="D85">
            <v>28</v>
          </cell>
          <cell r="E85">
            <v>21</v>
          </cell>
          <cell r="P85">
            <v>3</v>
          </cell>
          <cell r="S85">
            <v>0</v>
          </cell>
        </row>
        <row r="86">
          <cell r="A86">
            <v>1958</v>
          </cell>
          <cell r="C86">
            <v>29</v>
          </cell>
          <cell r="D86">
            <v>19</v>
          </cell>
          <cell r="E86">
            <v>20</v>
          </cell>
          <cell r="P86">
            <v>13</v>
          </cell>
          <cell r="S86">
            <v>7</v>
          </cell>
        </row>
        <row r="87">
          <cell r="A87">
            <v>1959</v>
          </cell>
          <cell r="C87">
            <v>24</v>
          </cell>
          <cell r="D87">
            <v>26</v>
          </cell>
          <cell r="E87">
            <v>13</v>
          </cell>
          <cell r="P87">
            <v>9</v>
          </cell>
          <cell r="S87">
            <v>5</v>
          </cell>
        </row>
        <row r="88">
          <cell r="A88">
            <v>1960</v>
          </cell>
          <cell r="C88">
            <v>30</v>
          </cell>
          <cell r="D88">
            <v>21</v>
          </cell>
          <cell r="E88">
            <v>20</v>
          </cell>
          <cell r="P88">
            <v>6</v>
          </cell>
          <cell r="S88">
            <v>2</v>
          </cell>
        </row>
        <row r="89">
          <cell r="A89">
            <v>1961</v>
          </cell>
          <cell r="C89">
            <v>25</v>
          </cell>
          <cell r="D89">
            <v>27</v>
          </cell>
          <cell r="E89">
            <v>15</v>
          </cell>
          <cell r="P89">
            <v>11</v>
          </cell>
          <cell r="S89">
            <v>0</v>
          </cell>
        </row>
        <row r="90">
          <cell r="A90">
            <v>1962</v>
          </cell>
          <cell r="C90">
            <v>28</v>
          </cell>
          <cell r="D90">
            <v>16</v>
          </cell>
          <cell r="E90">
            <v>18</v>
          </cell>
          <cell r="P90">
            <v>11</v>
          </cell>
          <cell r="S90">
            <v>2</v>
          </cell>
        </row>
        <row r="91">
          <cell r="A91">
            <v>1963</v>
          </cell>
          <cell r="C91">
            <v>29</v>
          </cell>
          <cell r="D91">
            <v>15</v>
          </cell>
          <cell r="E91">
            <v>15</v>
          </cell>
          <cell r="P91">
            <v>10</v>
          </cell>
          <cell r="S91">
            <v>0</v>
          </cell>
        </row>
        <row r="92">
          <cell r="A92">
            <v>1964</v>
          </cell>
          <cell r="C92">
            <v>25</v>
          </cell>
          <cell r="D92">
            <v>20</v>
          </cell>
          <cell r="E92">
            <v>17</v>
          </cell>
          <cell r="P92">
            <v>10</v>
          </cell>
          <cell r="S92">
            <v>0</v>
          </cell>
        </row>
        <row r="93">
          <cell r="A93">
            <v>1965</v>
          </cell>
          <cell r="C93">
            <v>24</v>
          </cell>
          <cell r="D93">
            <v>18</v>
          </cell>
          <cell r="E93">
            <v>18</v>
          </cell>
          <cell r="P93">
            <v>3</v>
          </cell>
          <cell r="S93">
            <v>2</v>
          </cell>
        </row>
        <row r="94">
          <cell r="A94">
            <v>1966</v>
          </cell>
          <cell r="C94">
            <v>29</v>
          </cell>
          <cell r="D94">
            <v>18</v>
          </cell>
          <cell r="E94">
            <v>26</v>
          </cell>
          <cell r="P94">
            <v>8</v>
          </cell>
          <cell r="S94">
            <v>1</v>
          </cell>
        </row>
        <row r="95">
          <cell r="A95">
            <v>1967</v>
          </cell>
          <cell r="C95">
            <v>33</v>
          </cell>
          <cell r="D95">
            <v>29</v>
          </cell>
          <cell r="E95">
            <v>16</v>
          </cell>
          <cell r="P95">
            <v>6</v>
          </cell>
          <cell r="S95">
            <v>2</v>
          </cell>
        </row>
        <row r="96">
          <cell r="A96">
            <v>1968</v>
          </cell>
          <cell r="C96">
            <v>26</v>
          </cell>
          <cell r="D96">
            <v>15</v>
          </cell>
          <cell r="E96">
            <v>17</v>
          </cell>
          <cell r="P96">
            <v>4</v>
          </cell>
          <cell r="S96">
            <v>2</v>
          </cell>
        </row>
        <row r="97">
          <cell r="A97">
            <v>1969</v>
          </cell>
          <cell r="C97">
            <v>15</v>
          </cell>
          <cell r="D97">
            <v>24</v>
          </cell>
          <cell r="E97">
            <v>21</v>
          </cell>
          <cell r="P97">
            <v>9</v>
          </cell>
          <cell r="S97">
            <v>1</v>
          </cell>
        </row>
        <row r="98">
          <cell r="A98">
            <v>1970</v>
          </cell>
          <cell r="C98">
            <v>24</v>
          </cell>
          <cell r="D98">
            <v>15</v>
          </cell>
          <cell r="E98">
            <v>29</v>
          </cell>
          <cell r="P98">
            <v>5</v>
          </cell>
          <cell r="S98">
            <v>0</v>
          </cell>
        </row>
        <row r="99">
          <cell r="A99">
            <v>1971</v>
          </cell>
          <cell r="C99">
            <v>29</v>
          </cell>
          <cell r="D99">
            <v>27</v>
          </cell>
          <cell r="E99">
            <v>8</v>
          </cell>
          <cell r="P99">
            <v>10</v>
          </cell>
          <cell r="S99">
            <v>5</v>
          </cell>
        </row>
        <row r="100">
          <cell r="A100">
            <v>1972</v>
          </cell>
          <cell r="C100">
            <v>28</v>
          </cell>
          <cell r="D100">
            <v>21</v>
          </cell>
          <cell r="E100">
            <v>12</v>
          </cell>
          <cell r="P100">
            <v>14</v>
          </cell>
          <cell r="S100">
            <v>1</v>
          </cell>
        </row>
        <row r="101">
          <cell r="A101">
            <v>1973</v>
          </cell>
          <cell r="C101">
            <v>24</v>
          </cell>
          <cell r="D101">
            <v>22</v>
          </cell>
          <cell r="E101">
            <v>25</v>
          </cell>
          <cell r="P101">
            <v>6</v>
          </cell>
          <cell r="S101">
            <v>2</v>
          </cell>
        </row>
        <row r="102">
          <cell r="A102">
            <v>1974</v>
          </cell>
          <cell r="C102">
            <v>24</v>
          </cell>
          <cell r="D102">
            <v>30</v>
          </cell>
          <cell r="E102">
            <v>16</v>
          </cell>
          <cell r="P102">
            <v>8</v>
          </cell>
          <cell r="S102">
            <v>1</v>
          </cell>
        </row>
        <row r="103">
          <cell r="A103">
            <v>1975</v>
          </cell>
          <cell r="C103">
            <v>38</v>
          </cell>
          <cell r="D103">
            <v>20</v>
          </cell>
          <cell r="E103">
            <v>24</v>
          </cell>
          <cell r="P103">
            <v>7</v>
          </cell>
          <cell r="S103">
            <v>0</v>
          </cell>
        </row>
        <row r="104">
          <cell r="A104">
            <v>1976</v>
          </cell>
          <cell r="C104">
            <v>20</v>
          </cell>
          <cell r="D104">
            <v>27</v>
          </cell>
          <cell r="E104">
            <v>21</v>
          </cell>
          <cell r="P104">
            <v>4</v>
          </cell>
          <cell r="S104">
            <v>1</v>
          </cell>
        </row>
        <row r="105">
          <cell r="A105">
            <v>1977</v>
          </cell>
          <cell r="C105">
            <v>37</v>
          </cell>
          <cell r="D105">
            <v>21</v>
          </cell>
          <cell r="E105">
            <v>22</v>
          </cell>
          <cell r="P105">
            <v>7</v>
          </cell>
          <cell r="S105">
            <v>1</v>
          </cell>
        </row>
        <row r="106">
          <cell r="A106">
            <v>1978</v>
          </cell>
          <cell r="C106">
            <v>32</v>
          </cell>
          <cell r="D106">
            <v>27</v>
          </cell>
          <cell r="E106">
            <v>15</v>
          </cell>
          <cell r="P106">
            <v>5</v>
          </cell>
          <cell r="S106">
            <v>2</v>
          </cell>
        </row>
        <row r="107">
          <cell r="A107">
            <v>1979</v>
          </cell>
          <cell r="C107">
            <v>43</v>
          </cell>
          <cell r="D107">
            <v>19</v>
          </cell>
          <cell r="E107">
            <v>17</v>
          </cell>
          <cell r="P107">
            <v>12</v>
          </cell>
          <cell r="S107">
            <v>2</v>
          </cell>
        </row>
        <row r="108">
          <cell r="A108">
            <v>1980</v>
          </cell>
          <cell r="C108">
            <v>26</v>
          </cell>
          <cell r="D108">
            <v>27</v>
          </cell>
          <cell r="E108">
            <v>16</v>
          </cell>
          <cell r="P108">
            <v>5</v>
          </cell>
          <cell r="S108">
            <v>0</v>
          </cell>
        </row>
        <row r="109">
          <cell r="A109">
            <v>1981</v>
          </cell>
          <cell r="C109">
            <v>28</v>
          </cell>
          <cell r="D109">
            <v>21</v>
          </cell>
          <cell r="E109">
            <v>13</v>
          </cell>
          <cell r="P109">
            <v>5</v>
          </cell>
          <cell r="S109">
            <v>0</v>
          </cell>
        </row>
        <row r="110">
          <cell r="A110">
            <v>1982</v>
          </cell>
          <cell r="C110">
            <v>22</v>
          </cell>
          <cell r="D110">
            <v>14</v>
          </cell>
          <cell r="E110">
            <v>26</v>
          </cell>
          <cell r="P110">
            <v>6</v>
          </cell>
          <cell r="S110">
            <v>0</v>
          </cell>
        </row>
        <row r="111">
          <cell r="A111">
            <v>1983</v>
          </cell>
          <cell r="C111">
            <v>22</v>
          </cell>
          <cell r="D111">
            <v>25</v>
          </cell>
          <cell r="E111">
            <v>19</v>
          </cell>
          <cell r="P111">
            <v>8</v>
          </cell>
          <cell r="S111">
            <v>1</v>
          </cell>
        </row>
        <row r="112">
          <cell r="A112">
            <v>1984</v>
          </cell>
          <cell r="C112">
            <v>28</v>
          </cell>
          <cell r="D112">
            <v>24</v>
          </cell>
          <cell r="E112">
            <v>25</v>
          </cell>
          <cell r="P112">
            <v>2</v>
          </cell>
          <cell r="S112">
            <v>4</v>
          </cell>
        </row>
        <row r="113">
          <cell r="A113">
            <v>1985</v>
          </cell>
          <cell r="C113">
            <v>28</v>
          </cell>
          <cell r="D113">
            <v>24</v>
          </cell>
          <cell r="E113">
            <v>14</v>
          </cell>
          <cell r="P113">
            <v>5</v>
          </cell>
          <cell r="S113">
            <v>0</v>
          </cell>
        </row>
        <row r="114">
          <cell r="A114">
            <v>1986</v>
          </cell>
          <cell r="C114">
            <v>21</v>
          </cell>
          <cell r="D114">
            <v>26</v>
          </cell>
          <cell r="E114">
            <v>14</v>
          </cell>
          <cell r="P114">
            <v>9</v>
          </cell>
          <cell r="S114">
            <v>0</v>
          </cell>
        </row>
        <row r="115">
          <cell r="A115">
            <v>1987</v>
          </cell>
          <cell r="C115">
            <v>22</v>
          </cell>
          <cell r="D115">
            <v>17</v>
          </cell>
          <cell r="E115">
            <v>20</v>
          </cell>
          <cell r="P115">
            <v>14</v>
          </cell>
          <cell r="S115">
            <v>1</v>
          </cell>
        </row>
        <row r="116">
          <cell r="A116">
            <v>1988</v>
          </cell>
          <cell r="C116">
            <v>20</v>
          </cell>
          <cell r="D116">
            <v>18</v>
          </cell>
          <cell r="E116">
            <v>13</v>
          </cell>
          <cell r="P116">
            <v>7</v>
          </cell>
          <cell r="S116">
            <v>0</v>
          </cell>
        </row>
        <row r="117">
          <cell r="A117">
            <v>1989</v>
          </cell>
          <cell r="C117">
            <v>6</v>
          </cell>
          <cell r="D117">
            <v>7</v>
          </cell>
          <cell r="E117">
            <v>3</v>
          </cell>
          <cell r="P117">
            <v>3</v>
          </cell>
          <cell r="S117">
            <v>2</v>
          </cell>
        </row>
        <row r="118">
          <cell r="A118">
            <v>1990</v>
          </cell>
          <cell r="C118">
            <v>20</v>
          </cell>
          <cell r="D118">
            <v>32</v>
          </cell>
          <cell r="E118">
            <v>21</v>
          </cell>
          <cell r="P118">
            <v>4</v>
          </cell>
          <cell r="S118">
            <v>1</v>
          </cell>
        </row>
        <row r="119">
          <cell r="A119">
            <v>1991</v>
          </cell>
          <cell r="C119">
            <v>27</v>
          </cell>
          <cell r="D119">
            <v>18</v>
          </cell>
          <cell r="E119">
            <v>15</v>
          </cell>
          <cell r="P119">
            <v>6</v>
          </cell>
          <cell r="S119">
            <v>2</v>
          </cell>
        </row>
        <row r="120">
          <cell r="A120">
            <v>1992</v>
          </cell>
          <cell r="C120">
            <v>29</v>
          </cell>
          <cell r="D120">
            <v>28</v>
          </cell>
          <cell r="E120">
            <v>18</v>
          </cell>
          <cell r="P120">
            <v>8</v>
          </cell>
          <cell r="S120">
            <v>1</v>
          </cell>
        </row>
        <row r="121">
          <cell r="A121">
            <v>1993</v>
          </cell>
          <cell r="C121">
            <v>26</v>
          </cell>
          <cell r="D121">
            <v>21</v>
          </cell>
          <cell r="E121">
            <v>18</v>
          </cell>
          <cell r="P121">
            <v>6</v>
          </cell>
          <cell r="S121">
            <v>2</v>
          </cell>
        </row>
        <row r="122">
          <cell r="A122">
            <v>1994</v>
          </cell>
          <cell r="C122">
            <v>20</v>
          </cell>
          <cell r="D122">
            <v>28</v>
          </cell>
          <cell r="E122">
            <v>20</v>
          </cell>
          <cell r="P122">
            <v>14</v>
          </cell>
          <cell r="S122">
            <v>0</v>
          </cell>
        </row>
        <row r="123">
          <cell r="A123">
            <v>1995</v>
          </cell>
          <cell r="C123">
            <v>16</v>
          </cell>
          <cell r="D123">
            <v>17</v>
          </cell>
          <cell r="E123">
            <v>20</v>
          </cell>
          <cell r="P123">
            <v>5</v>
          </cell>
          <cell r="S123">
            <v>2</v>
          </cell>
        </row>
        <row r="124">
          <cell r="A124">
            <v>1996</v>
          </cell>
          <cell r="C124">
            <v>26</v>
          </cell>
          <cell r="D124">
            <v>24</v>
          </cell>
          <cell r="E124">
            <v>26</v>
          </cell>
          <cell r="P124">
            <v>7</v>
          </cell>
          <cell r="S124">
            <v>4</v>
          </cell>
        </row>
        <row r="125">
          <cell r="A125">
            <v>1997</v>
          </cell>
          <cell r="C125">
            <v>25</v>
          </cell>
          <cell r="D125">
            <v>28</v>
          </cell>
          <cell r="E125">
            <v>22</v>
          </cell>
          <cell r="P125">
            <v>4</v>
          </cell>
          <cell r="S125">
            <v>2</v>
          </cell>
        </row>
        <row r="126">
          <cell r="A126">
            <v>1998</v>
          </cell>
          <cell r="C126">
            <v>20</v>
          </cell>
          <cell r="D126">
            <v>16</v>
          </cell>
          <cell r="E126">
            <v>20</v>
          </cell>
          <cell r="P126">
            <v>9</v>
          </cell>
          <cell r="S126">
            <v>2</v>
          </cell>
        </row>
        <row r="127">
          <cell r="A127">
            <v>1999</v>
          </cell>
          <cell r="C127">
            <v>27</v>
          </cell>
          <cell r="D127">
            <v>22</v>
          </cell>
          <cell r="E127">
            <v>14</v>
          </cell>
          <cell r="P127">
            <v>9</v>
          </cell>
          <cell r="S127">
            <v>2</v>
          </cell>
        </row>
        <row r="128">
          <cell r="A128">
            <v>2000</v>
          </cell>
          <cell r="C128">
            <v>22</v>
          </cell>
          <cell r="D128">
            <v>18</v>
          </cell>
          <cell r="E128">
            <v>16</v>
          </cell>
          <cell r="P128">
            <v>12</v>
          </cell>
          <cell r="S128">
            <v>4</v>
          </cell>
        </row>
        <row r="129">
          <cell r="A129">
            <v>2001</v>
          </cell>
          <cell r="C129">
            <v>19</v>
          </cell>
          <cell r="D129">
            <v>15</v>
          </cell>
          <cell r="E129">
            <v>20</v>
          </cell>
          <cell r="P129">
            <v>3</v>
          </cell>
          <cell r="S129">
            <v>1</v>
          </cell>
        </row>
        <row r="130">
          <cell r="A130">
            <v>2002</v>
          </cell>
          <cell r="C130">
            <v>26</v>
          </cell>
          <cell r="D130">
            <v>16</v>
          </cell>
          <cell r="E130">
            <v>17</v>
          </cell>
          <cell r="P130">
            <v>8</v>
          </cell>
          <cell r="S130">
            <v>3</v>
          </cell>
        </row>
        <row r="131">
          <cell r="A131">
            <v>2003</v>
          </cell>
          <cell r="C131">
            <v>29</v>
          </cell>
          <cell r="D131">
            <v>23</v>
          </cell>
          <cell r="E131">
            <v>19</v>
          </cell>
          <cell r="P131">
            <v>9</v>
          </cell>
          <cell r="S131">
            <v>1</v>
          </cell>
        </row>
        <row r="132">
          <cell r="A132">
            <v>2004</v>
          </cell>
          <cell r="C132">
            <v>34</v>
          </cell>
          <cell r="D132">
            <v>20</v>
          </cell>
          <cell r="E132">
            <v>19</v>
          </cell>
          <cell r="P132">
            <v>11</v>
          </cell>
          <cell r="S132">
            <v>2</v>
          </cell>
        </row>
        <row r="133">
          <cell r="A133">
            <v>2005</v>
          </cell>
          <cell r="C133">
            <v>27</v>
          </cell>
          <cell r="D133">
            <v>20</v>
          </cell>
          <cell r="E133">
            <v>7</v>
          </cell>
          <cell r="P133">
            <v>14</v>
          </cell>
          <cell r="S133">
            <v>1</v>
          </cell>
        </row>
        <row r="134">
          <cell r="A134">
            <v>2006</v>
          </cell>
          <cell r="C134">
            <v>27</v>
          </cell>
          <cell r="D134">
            <v>16</v>
          </cell>
          <cell r="E134">
            <v>13</v>
          </cell>
          <cell r="P134">
            <v>15</v>
          </cell>
          <cell r="S134">
            <v>1</v>
          </cell>
        </row>
        <row r="135">
          <cell r="A135">
            <v>2007</v>
          </cell>
          <cell r="C135">
            <v>30</v>
          </cell>
          <cell r="D135">
            <v>23</v>
          </cell>
          <cell r="E135">
            <v>15</v>
          </cell>
          <cell r="P135">
            <v>10</v>
          </cell>
          <cell r="S135">
            <v>3</v>
          </cell>
        </row>
        <row r="136">
          <cell r="A136">
            <v>2008</v>
          </cell>
          <cell r="C136">
            <v>27</v>
          </cell>
          <cell r="D136">
            <v>17</v>
          </cell>
          <cell r="E136">
            <v>16</v>
          </cell>
          <cell r="P136">
            <v>12</v>
          </cell>
          <cell r="S136">
            <v>2</v>
          </cell>
        </row>
        <row r="137">
          <cell r="A137">
            <v>2009</v>
          </cell>
          <cell r="C137">
            <v>34</v>
          </cell>
          <cell r="D137">
            <v>18</v>
          </cell>
          <cell r="E137">
            <v>20</v>
          </cell>
          <cell r="P137">
            <v>16</v>
          </cell>
          <cell r="S137">
            <v>6</v>
          </cell>
        </row>
        <row r="138">
          <cell r="A138">
            <v>2010</v>
          </cell>
          <cell r="C138">
            <v>28</v>
          </cell>
          <cell r="D138">
            <v>16</v>
          </cell>
          <cell r="E138">
            <v>13</v>
          </cell>
          <cell r="P138">
            <v>13</v>
          </cell>
          <cell r="S138">
            <v>3</v>
          </cell>
        </row>
        <row r="139">
          <cell r="A139">
            <v>2011</v>
          </cell>
          <cell r="C139">
            <v>25</v>
          </cell>
          <cell r="D139">
            <v>19</v>
          </cell>
          <cell r="E139">
            <v>18</v>
          </cell>
          <cell r="P139">
            <v>7</v>
          </cell>
          <cell r="S139">
            <v>2</v>
          </cell>
        </row>
        <row r="140">
          <cell r="A140">
            <v>2012</v>
          </cell>
          <cell r="C140">
            <v>25</v>
          </cell>
          <cell r="D140">
            <v>24</v>
          </cell>
          <cell r="E140">
            <v>17</v>
          </cell>
          <cell r="P140">
            <v>11</v>
          </cell>
          <cell r="S140">
            <v>3</v>
          </cell>
        </row>
        <row r="141">
          <cell r="A141">
            <v>2013</v>
          </cell>
          <cell r="C141">
            <v>33</v>
          </cell>
          <cell r="D141">
            <v>19</v>
          </cell>
          <cell r="E141">
            <v>21</v>
          </cell>
          <cell r="P141">
            <v>12</v>
          </cell>
          <cell r="S141">
            <v>3</v>
          </cell>
        </row>
        <row r="142">
          <cell r="A142">
            <v>2014</v>
          </cell>
          <cell r="C142">
            <v>28</v>
          </cell>
          <cell r="D142">
            <v>25</v>
          </cell>
          <cell r="E142">
            <v>13</v>
          </cell>
          <cell r="P142">
            <v>13</v>
          </cell>
          <cell r="S142">
            <v>5</v>
          </cell>
        </row>
        <row r="143">
          <cell r="A143">
            <v>2015</v>
          </cell>
          <cell r="C143">
            <v>24</v>
          </cell>
          <cell r="D143">
            <v>16</v>
          </cell>
          <cell r="E143">
            <v>17</v>
          </cell>
          <cell r="P143">
            <v>7</v>
          </cell>
          <cell r="S143">
            <v>3</v>
          </cell>
        </row>
        <row r="144">
          <cell r="A144">
            <v>2016</v>
          </cell>
          <cell r="C144">
            <v>26</v>
          </cell>
          <cell r="D144">
            <v>24</v>
          </cell>
          <cell r="E144">
            <v>23</v>
          </cell>
          <cell r="P144">
            <v>6</v>
          </cell>
          <cell r="S144">
            <v>3</v>
          </cell>
        </row>
        <row r="145">
          <cell r="A145">
            <v>2017</v>
          </cell>
          <cell r="C145">
            <v>29</v>
          </cell>
          <cell r="D145">
            <v>19</v>
          </cell>
          <cell r="E145">
            <v>18</v>
          </cell>
          <cell r="P145">
            <v>12</v>
          </cell>
          <cell r="S145">
            <v>4</v>
          </cell>
        </row>
      </sheetData>
      <sheetData sheetId="1">
        <row r="2">
          <cell r="A2">
            <v>1874</v>
          </cell>
          <cell r="C2">
            <v>2.14</v>
          </cell>
          <cell r="D2">
            <v>1.94999999999999</v>
          </cell>
          <cell r="E2">
            <v>6.5199999999999898</v>
          </cell>
          <cell r="P2">
            <v>11.269999999999989</v>
          </cell>
          <cell r="S2">
            <v>0</v>
          </cell>
          <cell r="U2">
            <v>1874</v>
          </cell>
          <cell r="V2">
            <v>34.090000000000003</v>
          </cell>
          <cell r="X2">
            <v>6.2775007333528894</v>
          </cell>
          <cell r="Y2">
            <v>5.720152537400967</v>
          </cell>
          <cell r="Z2">
            <v>19.125843355822791</v>
          </cell>
          <cell r="AA2">
            <v>35.171604576122029</v>
          </cell>
          <cell r="AK2">
            <v>33.05954825462009</v>
          </cell>
          <cell r="AN2">
            <v>15.224405984159544</v>
          </cell>
        </row>
        <row r="3">
          <cell r="A3">
            <v>1875</v>
          </cell>
          <cell r="C3">
            <v>1.87</v>
          </cell>
          <cell r="D3">
            <v>4.8099999999999996</v>
          </cell>
          <cell r="E3">
            <v>10.61</v>
          </cell>
          <cell r="P3">
            <v>5.18</v>
          </cell>
          <cell r="S3">
            <v>3.15</v>
          </cell>
          <cell r="U3">
            <v>1875</v>
          </cell>
          <cell r="V3">
            <v>39.950000000000003</v>
          </cell>
          <cell r="X3">
            <v>4.6808510638297873</v>
          </cell>
          <cell r="Y3">
            <v>12.040050062578221</v>
          </cell>
          <cell r="Z3">
            <v>26.558197747183975</v>
          </cell>
          <cell r="AA3">
            <v>35.068836045056067</v>
          </cell>
          <cell r="AK3">
            <v>12.966207759699625</v>
          </cell>
          <cell r="AN3">
            <v>3.8047559449311636</v>
          </cell>
        </row>
        <row r="4">
          <cell r="A4">
            <v>1876</v>
          </cell>
          <cell r="C4">
            <v>2.5499999999999998</v>
          </cell>
          <cell r="D4">
            <v>3.42</v>
          </cell>
          <cell r="E4">
            <v>7.35</v>
          </cell>
          <cell r="P4">
            <v>3.1399999999999997</v>
          </cell>
          <cell r="S4">
            <v>8.6999999999999993</v>
          </cell>
          <cell r="U4">
            <v>1876</v>
          </cell>
          <cell r="V4">
            <v>35.99</v>
          </cell>
          <cell r="X4">
            <v>7.0853014726312846</v>
          </cell>
          <cell r="Y4">
            <v>9.502639622117254</v>
          </cell>
          <cell r="Z4">
            <v>20.422339538760763</v>
          </cell>
          <cell r="AA4">
            <v>29.063628785773826</v>
          </cell>
          <cell r="AK4">
            <v>8.7246457349263675</v>
          </cell>
          <cell r="AN4">
            <v>28.924701305918305</v>
          </cell>
        </row>
        <row r="5">
          <cell r="A5">
            <v>1877</v>
          </cell>
          <cell r="C5">
            <v>1.58</v>
          </cell>
          <cell r="D5">
            <v>4.33</v>
          </cell>
          <cell r="E5">
            <v>9.02</v>
          </cell>
          <cell r="P5">
            <v>7.0299999999999905</v>
          </cell>
          <cell r="S5">
            <v>5.23</v>
          </cell>
          <cell r="U5">
            <v>1877</v>
          </cell>
          <cell r="V5">
            <v>36.380000000000003</v>
          </cell>
          <cell r="X5">
            <v>4.3430456294667401</v>
          </cell>
          <cell r="Y5">
            <v>11.902144035184167</v>
          </cell>
          <cell r="Z5">
            <v>24.793842770753159</v>
          </cell>
          <cell r="AA5">
            <v>24.546454095656951</v>
          </cell>
          <cell r="AK5">
            <v>19.323804288070342</v>
          </cell>
          <cell r="AN5">
            <v>14.293567894447499</v>
          </cell>
        </row>
        <row r="6">
          <cell r="A6">
            <v>1878</v>
          </cell>
          <cell r="C6">
            <v>2.08</v>
          </cell>
          <cell r="D6">
            <v>4.6199999999999903</v>
          </cell>
          <cell r="E6">
            <v>9.27</v>
          </cell>
          <cell r="P6">
            <v>10.069999999999901</v>
          </cell>
          <cell r="S6">
            <v>4.71</v>
          </cell>
          <cell r="U6">
            <v>1878</v>
          </cell>
          <cell r="V6">
            <v>42.13</v>
          </cell>
          <cell r="X6">
            <v>4.9370994540707338</v>
          </cell>
          <cell r="Y6">
            <v>10.966057441253241</v>
          </cell>
          <cell r="Z6">
            <v>22.003323047709468</v>
          </cell>
          <cell r="AA6">
            <v>26.299549014953715</v>
          </cell>
          <cell r="AK6">
            <v>23.902207453121054</v>
          </cell>
          <cell r="AN6">
            <v>11.179681936862092</v>
          </cell>
        </row>
        <row r="7">
          <cell r="A7">
            <v>1879</v>
          </cell>
          <cell r="C7">
            <v>2.44</v>
          </cell>
          <cell r="D7">
            <v>4</v>
          </cell>
          <cell r="E7">
            <v>6.9099999999999904</v>
          </cell>
          <cell r="P7">
            <v>9.1900000000000013</v>
          </cell>
          <cell r="S7">
            <v>11.05</v>
          </cell>
          <cell r="U7">
            <v>1879</v>
          </cell>
          <cell r="V7">
            <v>47.48</v>
          </cell>
          <cell r="X7">
            <v>5.1390058972198824</v>
          </cell>
          <cell r="Y7">
            <v>8.4245998315080026</v>
          </cell>
          <cell r="Z7">
            <v>14.553496208930056</v>
          </cell>
          <cell r="AA7">
            <v>28.538331929233152</v>
          </cell>
          <cell r="AK7">
            <v>19.355518112889641</v>
          </cell>
          <cell r="AN7">
            <v>30.812973883740526</v>
          </cell>
        </row>
        <row r="8">
          <cell r="A8">
            <v>1880</v>
          </cell>
          <cell r="C8">
            <v>2.16</v>
          </cell>
          <cell r="D8">
            <v>4.12</v>
          </cell>
          <cell r="E8">
            <v>6.71</v>
          </cell>
          <cell r="P8">
            <v>15.65</v>
          </cell>
          <cell r="S8">
            <v>6.0799999999999903</v>
          </cell>
          <cell r="U8">
            <v>1880</v>
          </cell>
          <cell r="V8">
            <v>46.25</v>
          </cell>
          <cell r="X8">
            <v>4.6702702702702705</v>
          </cell>
          <cell r="Y8">
            <v>8.9081081081081077</v>
          </cell>
          <cell r="Z8">
            <v>14.508108108108109</v>
          </cell>
          <cell r="AA8">
            <v>23.891891891891675</v>
          </cell>
          <cell r="AK8">
            <v>33.837837837837839</v>
          </cell>
          <cell r="AN8">
            <v>30.443243243243224</v>
          </cell>
        </row>
        <row r="9">
          <cell r="A9">
            <v>1881</v>
          </cell>
          <cell r="C9">
            <v>1.78</v>
          </cell>
          <cell r="D9">
            <v>4.9000000000000004</v>
          </cell>
          <cell r="E9">
            <v>7.46</v>
          </cell>
          <cell r="P9">
            <v>10.6</v>
          </cell>
          <cell r="S9">
            <v>2.31</v>
          </cell>
          <cell r="U9">
            <v>1881</v>
          </cell>
          <cell r="V9">
            <v>40.08</v>
          </cell>
          <cell r="X9">
            <v>4.4411177644710582</v>
          </cell>
          <cell r="Y9">
            <v>12.225548902195611</v>
          </cell>
          <cell r="Z9">
            <v>18.612774451097806</v>
          </cell>
          <cell r="AA9">
            <v>31.686626746506985</v>
          </cell>
          <cell r="AK9">
            <v>26.447105788423155</v>
          </cell>
          <cell r="AN9">
            <v>14.545908183632736</v>
          </cell>
        </row>
        <row r="10">
          <cell r="A10">
            <v>1882</v>
          </cell>
          <cell r="C10">
            <v>2.2799999999999998</v>
          </cell>
          <cell r="D10">
            <v>4.43</v>
          </cell>
          <cell r="E10">
            <v>7.4299999999999899</v>
          </cell>
          <cell r="P10">
            <v>6.29</v>
          </cell>
          <cell r="S10">
            <v>15.25</v>
          </cell>
          <cell r="U10">
            <v>1882</v>
          </cell>
          <cell r="V10">
            <v>55.29</v>
          </cell>
          <cell r="X10">
            <v>4.1237113402061851</v>
          </cell>
          <cell r="Y10">
            <v>8.012298788207632</v>
          </cell>
          <cell r="Z10">
            <v>13.438234762163123</v>
          </cell>
          <cell r="AA10">
            <v>34.943027672273288</v>
          </cell>
          <cell r="AK10">
            <v>11.376379092060048</v>
          </cell>
          <cell r="AN10">
            <v>24.850786760716225</v>
          </cell>
        </row>
        <row r="11">
          <cell r="A11">
            <v>1883</v>
          </cell>
          <cell r="C11">
            <v>2.44</v>
          </cell>
          <cell r="D11">
            <v>5.12</v>
          </cell>
          <cell r="E11">
            <v>6.87</v>
          </cell>
          <cell r="P11">
            <v>11.6</v>
          </cell>
          <cell r="S11">
            <v>5.6999999999999993</v>
          </cell>
          <cell r="U11">
            <v>1883</v>
          </cell>
          <cell r="V11">
            <v>44.64</v>
          </cell>
          <cell r="X11">
            <v>5.4659498207885298</v>
          </cell>
          <cell r="Y11">
            <v>11.469534050179211</v>
          </cell>
          <cell r="Z11">
            <v>15.38978494623656</v>
          </cell>
          <cell r="AA11">
            <v>28.113799283154123</v>
          </cell>
          <cell r="AK11">
            <v>25.985663082437274</v>
          </cell>
          <cell r="AN11">
            <v>16.644265232974909</v>
          </cell>
        </row>
        <row r="12">
          <cell r="A12">
            <v>1884</v>
          </cell>
          <cell r="C12">
            <v>2.0499999999999998</v>
          </cell>
          <cell r="D12">
            <v>4.03</v>
          </cell>
          <cell r="E12">
            <v>7.12</v>
          </cell>
          <cell r="P12">
            <v>19.579999999999998</v>
          </cell>
          <cell r="S12">
            <v>4.32</v>
          </cell>
          <cell r="U12">
            <v>1884</v>
          </cell>
          <cell r="V12">
            <v>53.7</v>
          </cell>
          <cell r="X12">
            <v>3.8175046554934817</v>
          </cell>
          <cell r="Y12">
            <v>7.5046554934823098</v>
          </cell>
          <cell r="Z12">
            <v>13.258845437616387</v>
          </cell>
          <cell r="AA12">
            <v>30.353817504655495</v>
          </cell>
          <cell r="AK12">
            <v>36.46182495344506</v>
          </cell>
          <cell r="AN12">
            <v>14.599627560521416</v>
          </cell>
        </row>
        <row r="13">
          <cell r="A13">
            <v>1885</v>
          </cell>
          <cell r="C13">
            <v>1.69</v>
          </cell>
          <cell r="D13">
            <v>3.44</v>
          </cell>
          <cell r="E13">
            <v>9.39</v>
          </cell>
          <cell r="P13">
            <v>12.539999999999988</v>
          </cell>
          <cell r="S13">
            <v>3.6</v>
          </cell>
          <cell r="U13">
            <v>1885</v>
          </cell>
          <cell r="V13">
            <v>38.450000000000003</v>
          </cell>
          <cell r="X13">
            <v>4.3953185955786731</v>
          </cell>
          <cell r="Y13">
            <v>8.9466840052015595</v>
          </cell>
          <cell r="Z13">
            <v>24.421326397919376</v>
          </cell>
          <cell r="AA13">
            <v>19.323797139141739</v>
          </cell>
          <cell r="AK13">
            <v>32.613784135240543</v>
          </cell>
          <cell r="AN13">
            <v>14.252275682704784</v>
          </cell>
        </row>
        <row r="14">
          <cell r="A14">
            <v>1886</v>
          </cell>
          <cell r="C14">
            <v>1.89</v>
          </cell>
          <cell r="D14">
            <v>3.9999999999999898</v>
          </cell>
          <cell r="E14">
            <v>6.2699999999999898</v>
          </cell>
          <cell r="P14">
            <v>7.92</v>
          </cell>
          <cell r="S14">
            <v>8.5</v>
          </cell>
          <cell r="U14">
            <v>1886</v>
          </cell>
          <cell r="V14">
            <v>44.81</v>
          </cell>
          <cell r="X14">
            <v>4.2178085248828383</v>
          </cell>
          <cell r="Y14">
            <v>8.9265788886409059</v>
          </cell>
          <cell r="Z14">
            <v>13.992412407944633</v>
          </cell>
          <cell r="AA14">
            <v>35.393885293461061</v>
          </cell>
          <cell r="AK14">
            <v>17.674626199509039</v>
          </cell>
          <cell r="AN14">
            <v>26.422673510377145</v>
          </cell>
        </row>
        <row r="15">
          <cell r="A15">
            <v>1887</v>
          </cell>
          <cell r="C15">
            <v>1.56</v>
          </cell>
          <cell r="D15">
            <v>5.96999999999999</v>
          </cell>
          <cell r="E15">
            <v>7.6</v>
          </cell>
          <cell r="P15">
            <v>10.15</v>
          </cell>
          <cell r="S15">
            <v>0</v>
          </cell>
          <cell r="U15">
            <v>1887</v>
          </cell>
          <cell r="V15">
            <v>37.909999999999997</v>
          </cell>
          <cell r="X15">
            <v>4.1150092323925094</v>
          </cell>
          <cell r="Y15">
            <v>15.747823793194382</v>
          </cell>
          <cell r="Z15">
            <v>20.047480875758374</v>
          </cell>
          <cell r="AA15">
            <v>31.864943286731734</v>
          </cell>
          <cell r="AK15">
            <v>26.773938274861518</v>
          </cell>
          <cell r="AN15">
            <v>4.5370614613558429</v>
          </cell>
        </row>
        <row r="16">
          <cell r="A16">
            <v>1888</v>
          </cell>
          <cell r="C16">
            <v>2.0299999999999998</v>
          </cell>
          <cell r="D16">
            <v>3.24</v>
          </cell>
          <cell r="E16">
            <v>8.0499999999999901</v>
          </cell>
          <cell r="P16">
            <v>9.02</v>
          </cell>
          <cell r="S16">
            <v>2.72</v>
          </cell>
          <cell r="U16">
            <v>1888</v>
          </cell>
          <cell r="V16">
            <v>44.14</v>
          </cell>
          <cell r="X16">
            <v>4.5990031717263253</v>
          </cell>
          <cell r="Y16">
            <v>7.3402809243316725</v>
          </cell>
          <cell r="Z16">
            <v>18.237426370638854</v>
          </cell>
          <cell r="AA16">
            <v>42.138649750792702</v>
          </cell>
          <cell r="AK16">
            <v>20.434979610330764</v>
          </cell>
          <cell r="AN16">
            <v>9.8550067965564114</v>
          </cell>
        </row>
        <row r="17">
          <cell r="A17">
            <v>1889</v>
          </cell>
          <cell r="C17">
            <v>2.25</v>
          </cell>
          <cell r="D17">
            <v>5.28</v>
          </cell>
          <cell r="E17">
            <v>6.8</v>
          </cell>
          <cell r="P17">
            <v>8.81</v>
          </cell>
          <cell r="S17">
            <v>2.15</v>
          </cell>
          <cell r="U17">
            <v>1889</v>
          </cell>
          <cell r="V17">
            <v>38.83</v>
          </cell>
          <cell r="X17">
            <v>5.7944887973216588</v>
          </cell>
          <cell r="Y17">
            <v>13.597733711048161</v>
          </cell>
          <cell r="Z17">
            <v>17.512232809683233</v>
          </cell>
          <cell r="AA17">
            <v>33.762554725727526</v>
          </cell>
          <cell r="AK17">
            <v>22.688642801957251</v>
          </cell>
          <cell r="AN17">
            <v>10.22405356682977</v>
          </cell>
        </row>
        <row r="18">
          <cell r="A18">
            <v>1890</v>
          </cell>
          <cell r="C18">
            <v>1.93</v>
          </cell>
          <cell r="D18">
            <v>4.49</v>
          </cell>
          <cell r="E18">
            <v>9.69</v>
          </cell>
          <cell r="P18">
            <v>9.3599999999999888</v>
          </cell>
          <cell r="S18">
            <v>4.84</v>
          </cell>
          <cell r="U18">
            <v>1890</v>
          </cell>
          <cell r="V18">
            <v>47.3</v>
          </cell>
          <cell r="X18">
            <v>4.0803382663847785</v>
          </cell>
          <cell r="Y18">
            <v>9.4926004228329823</v>
          </cell>
          <cell r="Z18">
            <v>20.486257928118391</v>
          </cell>
          <cell r="AA18">
            <v>35.264270613107826</v>
          </cell>
          <cell r="AK18">
            <v>19.788583509513721</v>
          </cell>
          <cell r="AN18">
            <v>14.376321353065538</v>
          </cell>
        </row>
        <row r="19">
          <cell r="A19">
            <v>1891</v>
          </cell>
          <cell r="C19">
            <v>1.84</v>
          </cell>
          <cell r="D19">
            <v>4.6500000000000004</v>
          </cell>
          <cell r="E19">
            <v>8.6199999999999992</v>
          </cell>
          <cell r="P19">
            <v>11.759999999999899</v>
          </cell>
          <cell r="S19">
            <v>0</v>
          </cell>
          <cell r="U19">
            <v>1891</v>
          </cell>
          <cell r="V19">
            <v>43.14</v>
          </cell>
          <cell r="X19">
            <v>4.2651831247102461</v>
          </cell>
          <cell r="Y19">
            <v>10.778859527121003</v>
          </cell>
          <cell r="Z19">
            <v>19.981455725544738</v>
          </cell>
          <cell r="AA19">
            <v>36.995827538247568</v>
          </cell>
          <cell r="AK19">
            <v>27.260083449234813</v>
          </cell>
          <cell r="AN19">
            <v>3.5697728326379234</v>
          </cell>
        </row>
        <row r="20">
          <cell r="A20">
            <v>1892</v>
          </cell>
          <cell r="C20">
            <v>2.04</v>
          </cell>
          <cell r="D20">
            <v>4.12</v>
          </cell>
          <cell r="E20">
            <v>6.1899999999999897</v>
          </cell>
          <cell r="P20">
            <v>8.5399999999999991</v>
          </cell>
          <cell r="S20">
            <v>5.31</v>
          </cell>
          <cell r="U20">
            <v>1892</v>
          </cell>
          <cell r="V20">
            <v>37.270000000000003</v>
          </cell>
          <cell r="X20">
            <v>5.4735712369197742</v>
          </cell>
          <cell r="Y20">
            <v>11.054467400053662</v>
          </cell>
          <cell r="Z20">
            <v>16.608532331633992</v>
          </cell>
          <cell r="AA20">
            <v>28.870405151596458</v>
          </cell>
          <cell r="AK20">
            <v>22.91387174671317</v>
          </cell>
          <cell r="AN20">
            <v>24.63107056613898</v>
          </cell>
        </row>
        <row r="21">
          <cell r="A21">
            <v>1893</v>
          </cell>
          <cell r="C21">
            <v>1.87</v>
          </cell>
          <cell r="D21">
            <v>4.1100000000000003</v>
          </cell>
          <cell r="E21">
            <v>7.43</v>
          </cell>
          <cell r="P21">
            <v>6.55</v>
          </cell>
          <cell r="S21">
            <v>0</v>
          </cell>
          <cell r="U21">
            <v>1893</v>
          </cell>
          <cell r="V21">
            <v>37.159999999999997</v>
          </cell>
          <cell r="X21">
            <v>5.0322927879440265</v>
          </cell>
          <cell r="Y21">
            <v>11.06027987082885</v>
          </cell>
          <cell r="Z21">
            <v>19.994617868675995</v>
          </cell>
          <cell r="AA21">
            <v>45.45209903121637</v>
          </cell>
          <cell r="AK21">
            <v>17.6264800861141</v>
          </cell>
          <cell r="AN21">
            <v>4.2518837459634025</v>
          </cell>
        </row>
        <row r="22">
          <cell r="A22">
            <v>1894</v>
          </cell>
          <cell r="C22">
            <v>2.77999999999999</v>
          </cell>
          <cell r="D22">
            <v>3.84</v>
          </cell>
          <cell r="E22">
            <v>8.85</v>
          </cell>
          <cell r="P22">
            <v>4.95</v>
          </cell>
          <cell r="S22">
            <v>2.08</v>
          </cell>
          <cell r="U22">
            <v>1894</v>
          </cell>
          <cell r="V22">
            <v>33.21</v>
          </cell>
          <cell r="X22">
            <v>8.3709725986148449</v>
          </cell>
          <cell r="Y22">
            <v>11.562782294489612</v>
          </cell>
          <cell r="Z22">
            <v>26.648599819331526</v>
          </cell>
          <cell r="AA22">
            <v>31.105088828665767</v>
          </cell>
          <cell r="AK22">
            <v>14.905149051490515</v>
          </cell>
          <cell r="AN22">
            <v>11.201445347786811</v>
          </cell>
        </row>
        <row r="23">
          <cell r="A23">
            <v>1895</v>
          </cell>
          <cell r="C23">
            <v>2.27</v>
          </cell>
          <cell r="D23">
            <v>2.79</v>
          </cell>
          <cell r="E23">
            <v>8.8799999999999901</v>
          </cell>
          <cell r="P23">
            <v>2.44</v>
          </cell>
          <cell r="S23">
            <v>2.21</v>
          </cell>
          <cell r="U23">
            <v>1895</v>
          </cell>
          <cell r="V23">
            <v>28.41</v>
          </cell>
          <cell r="X23">
            <v>7.9901443153819072</v>
          </cell>
          <cell r="Y23">
            <v>9.8204857444561764</v>
          </cell>
          <cell r="Z23">
            <v>31.256599788806721</v>
          </cell>
          <cell r="AA23">
            <v>33.122140091517032</v>
          </cell>
          <cell r="AK23">
            <v>8.5885251671946499</v>
          </cell>
          <cell r="AN23">
            <v>7.7789510735656462</v>
          </cell>
        </row>
        <row r="24">
          <cell r="A24">
            <v>1896</v>
          </cell>
          <cell r="C24">
            <v>2.4300000000000002</v>
          </cell>
          <cell r="D24">
            <v>4.63</v>
          </cell>
          <cell r="E24">
            <v>7.0799999999999903</v>
          </cell>
          <cell r="P24">
            <v>7.52</v>
          </cell>
          <cell r="S24">
            <v>5.48</v>
          </cell>
          <cell r="U24">
            <v>1896</v>
          </cell>
          <cell r="V24">
            <v>32.409999999999997</v>
          </cell>
          <cell r="X24">
            <v>7.4976858994137627</v>
          </cell>
          <cell r="Y24">
            <v>14.285714285714288</v>
          </cell>
          <cell r="Z24">
            <v>21.845109534094387</v>
          </cell>
          <cell r="AA24">
            <v>15.48904659055847</v>
          </cell>
          <cell r="AK24">
            <v>23.202715211354519</v>
          </cell>
          <cell r="AN24">
            <v>22.616476396174022</v>
          </cell>
        </row>
        <row r="25">
          <cell r="A25">
            <v>1897</v>
          </cell>
          <cell r="C25">
            <v>2.09</v>
          </cell>
          <cell r="D25">
            <v>5.0399999999999903</v>
          </cell>
          <cell r="E25">
            <v>8.9700000000000006</v>
          </cell>
          <cell r="P25">
            <v>7.1899999999999995</v>
          </cell>
          <cell r="S25">
            <v>3.47</v>
          </cell>
          <cell r="U25">
            <v>1897</v>
          </cell>
          <cell r="V25">
            <v>35.65</v>
          </cell>
          <cell r="X25">
            <v>5.8625525946704071</v>
          </cell>
          <cell r="Y25">
            <v>14.137447405329567</v>
          </cell>
          <cell r="Z25">
            <v>25.161290322580648</v>
          </cell>
          <cell r="AA25">
            <v>24.319775596072901</v>
          </cell>
          <cell r="AK25">
            <v>20.168302945301544</v>
          </cell>
          <cell r="AN25">
            <v>4.2636746143057502</v>
          </cell>
        </row>
        <row r="26">
          <cell r="A26">
            <v>1898</v>
          </cell>
          <cell r="C26">
            <v>2.11</v>
          </cell>
          <cell r="D26">
            <v>4.46</v>
          </cell>
          <cell r="E26">
            <v>7.6999999999999904</v>
          </cell>
          <cell r="P26">
            <v>8.2100000000000009</v>
          </cell>
          <cell r="S26">
            <v>0</v>
          </cell>
          <cell r="U26">
            <v>1898</v>
          </cell>
          <cell r="V26">
            <v>38.68</v>
          </cell>
          <cell r="X26">
            <v>5.4550155118924506</v>
          </cell>
          <cell r="Y26">
            <v>11.530506721820062</v>
          </cell>
          <cell r="Z26">
            <v>19.906928645294702</v>
          </cell>
          <cell r="AA26">
            <v>41.44260599793175</v>
          </cell>
          <cell r="AK26">
            <v>21.225439503619441</v>
          </cell>
          <cell r="AN26">
            <v>3.9038262668045505</v>
          </cell>
        </row>
        <row r="27">
          <cell r="A27">
            <v>1899</v>
          </cell>
          <cell r="C27">
            <v>2.02</v>
          </cell>
          <cell r="D27">
            <v>3.64</v>
          </cell>
          <cell r="E27">
            <v>7.92</v>
          </cell>
          <cell r="P27">
            <v>3.34</v>
          </cell>
          <cell r="S27">
            <v>11.73</v>
          </cell>
          <cell r="U27">
            <v>1899</v>
          </cell>
          <cell r="V27">
            <v>37.840000000000003</v>
          </cell>
          <cell r="X27">
            <v>5.3382663847780121</v>
          </cell>
          <cell r="Y27">
            <v>9.6194503171247359</v>
          </cell>
          <cell r="Z27">
            <v>20.930232558139533</v>
          </cell>
          <cell r="AA27">
            <v>23.969344608879492</v>
          </cell>
          <cell r="AK27">
            <v>8.8266384778012679</v>
          </cell>
          <cell r="AN27">
            <v>18.102536997885835</v>
          </cell>
        </row>
        <row r="28">
          <cell r="A28">
            <v>1900</v>
          </cell>
          <cell r="C28">
            <v>1.22</v>
          </cell>
          <cell r="D28">
            <v>4.26</v>
          </cell>
          <cell r="E28">
            <v>5.59</v>
          </cell>
          <cell r="P28">
            <v>6.7799999999999896</v>
          </cell>
          <cell r="S28">
            <v>0</v>
          </cell>
          <cell r="U28">
            <v>1900</v>
          </cell>
          <cell r="V28">
            <v>28.13</v>
          </cell>
          <cell r="X28">
            <v>4.3370067543547819</v>
          </cell>
          <cell r="Y28">
            <v>15.143974404550303</v>
          </cell>
          <cell r="Z28">
            <v>19.872022751510844</v>
          </cell>
          <cell r="AA28">
            <v>35.478137220049774</v>
          </cell>
          <cell r="AK28">
            <v>24.102381798791292</v>
          </cell>
          <cell r="AN28">
            <v>6.2211162460007108</v>
          </cell>
        </row>
        <row r="29">
          <cell r="A29">
            <v>1901</v>
          </cell>
          <cell r="C29">
            <v>1.27</v>
          </cell>
          <cell r="D29">
            <v>3.89</v>
          </cell>
          <cell r="E29">
            <v>6.41</v>
          </cell>
          <cell r="P29">
            <v>7.3399999999999901</v>
          </cell>
          <cell r="S29">
            <v>3.13</v>
          </cell>
          <cell r="U29">
            <v>1901</v>
          </cell>
          <cell r="V29">
            <v>36.33</v>
          </cell>
          <cell r="X29">
            <v>3.495733553537022</v>
          </cell>
          <cell r="Y29">
            <v>10.707404349022848</v>
          </cell>
          <cell r="Z29">
            <v>17.643820533993946</v>
          </cell>
          <cell r="AA29">
            <v>38.42554362785549</v>
          </cell>
          <cell r="AK29">
            <v>20.20368841178087</v>
          </cell>
          <cell r="AN29">
            <v>5.202312138728324</v>
          </cell>
        </row>
        <row r="30">
          <cell r="A30">
            <v>1902</v>
          </cell>
          <cell r="C30">
            <v>1.66</v>
          </cell>
          <cell r="D30">
            <v>2.95</v>
          </cell>
          <cell r="E30">
            <v>9.66</v>
          </cell>
          <cell r="P30">
            <v>17.709999999999901</v>
          </cell>
          <cell r="S30">
            <v>4.07</v>
          </cell>
          <cell r="U30">
            <v>1902</v>
          </cell>
          <cell r="V30">
            <v>50.58</v>
          </cell>
          <cell r="X30">
            <v>3.2819296164491889</v>
          </cell>
          <cell r="Y30">
            <v>5.8323448003163314</v>
          </cell>
          <cell r="Z30">
            <v>19.098457888493474</v>
          </cell>
          <cell r="AA30">
            <v>28.015025701858441</v>
          </cell>
          <cell r="AK30">
            <v>35.01383946223784</v>
          </cell>
          <cell r="AN30">
            <v>20.877817319098462</v>
          </cell>
        </row>
        <row r="31">
          <cell r="A31">
            <v>1903</v>
          </cell>
          <cell r="C31">
            <v>1.51</v>
          </cell>
          <cell r="D31">
            <v>3.25</v>
          </cell>
          <cell r="E31">
            <v>7.15</v>
          </cell>
          <cell r="P31">
            <v>21.060000000000002</v>
          </cell>
          <cell r="S31">
            <v>12.33</v>
          </cell>
          <cell r="U31">
            <v>1903</v>
          </cell>
          <cell r="V31">
            <v>61.11</v>
          </cell>
          <cell r="X31">
            <v>2.47095401734577</v>
          </cell>
          <cell r="Y31">
            <v>5.3182785141548026</v>
          </cell>
          <cell r="Z31">
            <v>11.700212731140565</v>
          </cell>
          <cell r="AA31">
            <v>25.511372934053345</v>
          </cell>
          <cell r="AK31">
            <v>34.462444771723121</v>
          </cell>
          <cell r="AN31">
            <v>28.080510554737359</v>
          </cell>
        </row>
        <row r="32">
          <cell r="A32">
            <v>1904</v>
          </cell>
          <cell r="C32">
            <v>1.72</v>
          </cell>
          <cell r="D32">
            <v>4.47</v>
          </cell>
          <cell r="E32">
            <v>9.02</v>
          </cell>
          <cell r="P32">
            <v>5.46</v>
          </cell>
          <cell r="S32">
            <v>2.4900000000000002</v>
          </cell>
          <cell r="U32">
            <v>1904</v>
          </cell>
          <cell r="V32">
            <v>30.14</v>
          </cell>
          <cell r="X32">
            <v>5.7067020570670204</v>
          </cell>
          <cell r="Y32">
            <v>14.830789648307896</v>
          </cell>
          <cell r="Z32">
            <v>29.92700729927007</v>
          </cell>
          <cell r="AA32">
            <v>22.196416721964169</v>
          </cell>
          <cell r="AK32">
            <v>18.115461181154611</v>
          </cell>
          <cell r="AN32">
            <v>13.835434638354347</v>
          </cell>
        </row>
        <row r="33">
          <cell r="A33">
            <v>1905</v>
          </cell>
          <cell r="C33">
            <v>1.79</v>
          </cell>
          <cell r="D33">
            <v>3.46</v>
          </cell>
          <cell r="E33">
            <v>11.01</v>
          </cell>
          <cell r="P33">
            <v>3.38</v>
          </cell>
          <cell r="S33">
            <v>7.17</v>
          </cell>
          <cell r="U33">
            <v>1905</v>
          </cell>
          <cell r="V33">
            <v>39.17</v>
          </cell>
          <cell r="X33">
            <v>4.569823844779167</v>
          </cell>
          <cell r="Y33">
            <v>8.8332907837630845</v>
          </cell>
          <cell r="Z33">
            <v>28.108246106714319</v>
          </cell>
          <cell r="AA33">
            <v>31.095225938218025</v>
          </cell>
          <cell r="AK33">
            <v>8.6290528465662479</v>
          </cell>
          <cell r="AN33">
            <v>18.304825121266276</v>
          </cell>
        </row>
        <row r="34">
          <cell r="A34">
            <v>1906</v>
          </cell>
          <cell r="C34">
            <v>2.19</v>
          </cell>
          <cell r="D34">
            <v>5.19</v>
          </cell>
          <cell r="E34">
            <v>5.25</v>
          </cell>
          <cell r="P34">
            <v>10.589999999999989</v>
          </cell>
          <cell r="S34">
            <v>11.539999999999988</v>
          </cell>
          <cell r="U34">
            <v>1906</v>
          </cell>
          <cell r="V34">
            <v>48.8</v>
          </cell>
          <cell r="X34">
            <v>4.4877049180327875</v>
          </cell>
          <cell r="Y34">
            <v>10.635245901639346</v>
          </cell>
          <cell r="Z34">
            <v>10.758196721311476</v>
          </cell>
          <cell r="AA34">
            <v>28.217213114754099</v>
          </cell>
          <cell r="AK34">
            <v>21.700819672131125</v>
          </cell>
          <cell r="AN34">
            <v>30.02049180327867</v>
          </cell>
        </row>
        <row r="35">
          <cell r="A35">
            <v>1907</v>
          </cell>
          <cell r="C35">
            <v>1.19</v>
          </cell>
          <cell r="D35">
            <v>5.19</v>
          </cell>
          <cell r="E35">
            <v>11.3</v>
          </cell>
          <cell r="P35">
            <v>9.4700000000000006</v>
          </cell>
          <cell r="S35">
            <v>5.8</v>
          </cell>
          <cell r="U35">
            <v>1907</v>
          </cell>
          <cell r="V35">
            <v>48.54</v>
          </cell>
          <cell r="X35">
            <v>2.4515863205603625</v>
          </cell>
          <cell r="Y35">
            <v>10.69221260815822</v>
          </cell>
          <cell r="Z35">
            <v>23.279769262463947</v>
          </cell>
          <cell r="AA35">
            <v>31.376184590028842</v>
          </cell>
          <cell r="AK35">
            <v>19.509682735887928</v>
          </cell>
          <cell r="AN35">
            <v>11.701689328388955</v>
          </cell>
        </row>
        <row r="36">
          <cell r="A36">
            <v>1908</v>
          </cell>
          <cell r="C36">
            <v>1.35</v>
          </cell>
          <cell r="D36">
            <v>5.3</v>
          </cell>
          <cell r="E36">
            <v>5.6099999999999897</v>
          </cell>
          <cell r="P36">
            <v>10.7</v>
          </cell>
          <cell r="S36">
            <v>5.48</v>
          </cell>
          <cell r="U36">
            <v>1908</v>
          </cell>
          <cell r="V36">
            <v>37.880000000000003</v>
          </cell>
          <cell r="X36">
            <v>3.5638859556494191</v>
          </cell>
          <cell r="Y36">
            <v>13.991552270327348</v>
          </cell>
          <cell r="Z36">
            <v>14.809926082365335</v>
          </cell>
          <cell r="AA36">
            <v>24.31362196409712</v>
          </cell>
          <cell r="AK36">
            <v>28.247096092925023</v>
          </cell>
          <cell r="AN36">
            <v>11.246040126715943</v>
          </cell>
        </row>
        <row r="37">
          <cell r="A37">
            <v>1909</v>
          </cell>
          <cell r="C37">
            <v>1.54</v>
          </cell>
          <cell r="D37">
            <v>4.58</v>
          </cell>
          <cell r="E37">
            <v>7.22</v>
          </cell>
          <cell r="P37">
            <v>10.549999999999999</v>
          </cell>
          <cell r="S37">
            <v>6.87</v>
          </cell>
          <cell r="U37">
            <v>1909</v>
          </cell>
          <cell r="V37">
            <v>37.340000000000003</v>
          </cell>
          <cell r="X37">
            <v>4.1242635243706482</v>
          </cell>
          <cell r="Y37">
            <v>12.265666845206212</v>
          </cell>
          <cell r="Z37">
            <v>19.335832886984463</v>
          </cell>
          <cell r="AA37">
            <v>16.79164434922335</v>
          </cell>
          <cell r="AK37">
            <v>28.253883235136581</v>
          </cell>
          <cell r="AN37">
            <v>22.442420996250668</v>
          </cell>
        </row>
        <row r="38">
          <cell r="A38">
            <v>1910</v>
          </cell>
          <cell r="C38">
            <v>2.0499999999999998</v>
          </cell>
          <cell r="D38">
            <v>4.8</v>
          </cell>
          <cell r="E38">
            <v>5.75</v>
          </cell>
          <cell r="P38">
            <v>8.9599999999999902</v>
          </cell>
          <cell r="S38">
            <v>0</v>
          </cell>
          <cell r="U38">
            <v>1910</v>
          </cell>
          <cell r="V38">
            <v>34.33</v>
          </cell>
          <cell r="X38">
            <v>5.9714535391785608</v>
          </cell>
          <cell r="Y38">
            <v>13.981939994174192</v>
          </cell>
          <cell r="Z38">
            <v>16.749198951354501</v>
          </cell>
          <cell r="AA38">
            <v>36.615205359743669</v>
          </cell>
          <cell r="AK38">
            <v>26.099621322458468</v>
          </cell>
          <cell r="AN38">
            <v>0</v>
          </cell>
        </row>
        <row r="39">
          <cell r="A39">
            <v>1911</v>
          </cell>
          <cell r="C39">
            <v>1.32</v>
          </cell>
          <cell r="D39">
            <v>5.21</v>
          </cell>
          <cell r="E39">
            <v>9.24</v>
          </cell>
          <cell r="P39">
            <v>11.04</v>
          </cell>
          <cell r="S39">
            <v>2.48</v>
          </cell>
          <cell r="U39">
            <v>1911</v>
          </cell>
          <cell r="V39">
            <v>44.21</v>
          </cell>
          <cell r="X39">
            <v>2.9857498303551231</v>
          </cell>
          <cell r="Y39">
            <v>11.784664103144085</v>
          </cell>
          <cell r="Z39">
            <v>20.900248812485863</v>
          </cell>
          <cell r="AA39">
            <v>33.114679936665688</v>
          </cell>
          <cell r="AK39">
            <v>24.97172585387921</v>
          </cell>
          <cell r="AN39">
            <v>5.6095905903641707</v>
          </cell>
        </row>
        <row r="40">
          <cell r="A40">
            <v>1912</v>
          </cell>
          <cell r="C40">
            <v>1.84</v>
          </cell>
          <cell r="D40">
            <v>3.8</v>
          </cell>
          <cell r="E40">
            <v>5.75</v>
          </cell>
          <cell r="P40">
            <v>14.409999999999989</v>
          </cell>
          <cell r="S40">
            <v>4.5999999999999996</v>
          </cell>
          <cell r="U40">
            <v>1912</v>
          </cell>
          <cell r="V40">
            <v>44.52</v>
          </cell>
          <cell r="X40">
            <v>4.1329739442946991</v>
          </cell>
          <cell r="Y40">
            <v>8.5354896675651375</v>
          </cell>
          <cell r="Z40">
            <v>12.915543575920935</v>
          </cell>
          <cell r="AA40">
            <v>31.08715184186882</v>
          </cell>
          <cell r="AK40">
            <v>32.367475292003569</v>
          </cell>
          <cell r="AN40">
            <v>26.16801437556154</v>
          </cell>
        </row>
        <row r="41">
          <cell r="A41">
            <v>1913</v>
          </cell>
          <cell r="C41">
            <v>1.57</v>
          </cell>
          <cell r="D41">
            <v>3.5499999999999901</v>
          </cell>
          <cell r="E41">
            <v>10.409999999999901</v>
          </cell>
          <cell r="P41">
            <v>10.58</v>
          </cell>
          <cell r="S41">
            <v>0</v>
          </cell>
          <cell r="U41">
            <v>1913</v>
          </cell>
          <cell r="V41">
            <v>36.700000000000003</v>
          </cell>
          <cell r="X41">
            <v>4.2779291553133518</v>
          </cell>
          <cell r="Y41">
            <v>9.6730245231607359</v>
          </cell>
          <cell r="Z41">
            <v>28.365122615803539</v>
          </cell>
          <cell r="AA41">
            <v>28.119891008174385</v>
          </cell>
          <cell r="AK41">
            <v>28.828337874659397</v>
          </cell>
          <cell r="AN41">
            <v>9.9455040871934592</v>
          </cell>
        </row>
        <row r="42">
          <cell r="A42">
            <v>1914</v>
          </cell>
          <cell r="C42">
            <v>1.66</v>
          </cell>
          <cell r="D42">
            <v>5.41</v>
          </cell>
          <cell r="E42">
            <v>8.18</v>
          </cell>
          <cell r="P42">
            <v>9.9699999999999793</v>
          </cell>
          <cell r="S42">
            <v>5.26</v>
          </cell>
          <cell r="U42">
            <v>1914</v>
          </cell>
          <cell r="V42">
            <v>39.880000000000003</v>
          </cell>
          <cell r="X42">
            <v>4.1624874623871611</v>
          </cell>
          <cell r="Y42">
            <v>13.565697091273821</v>
          </cell>
          <cell r="Z42">
            <v>20.511534603811434</v>
          </cell>
          <cell r="AA42">
            <v>22.968906720160483</v>
          </cell>
          <cell r="AK42">
            <v>24.999999999999947</v>
          </cell>
          <cell r="AN42">
            <v>18.304914744232669</v>
          </cell>
        </row>
        <row r="43">
          <cell r="A43">
            <v>1915</v>
          </cell>
          <cell r="C43">
            <v>1.56</v>
          </cell>
          <cell r="D43">
            <v>3.4999999999999898</v>
          </cell>
          <cell r="E43">
            <v>8.2099999999999902</v>
          </cell>
          <cell r="P43">
            <v>11.32</v>
          </cell>
          <cell r="S43">
            <v>0</v>
          </cell>
          <cell r="U43">
            <v>1915</v>
          </cell>
          <cell r="V43">
            <v>35.82</v>
          </cell>
          <cell r="X43">
            <v>4.3551088777219427</v>
          </cell>
          <cell r="Y43">
            <v>9.7710776102735615</v>
          </cell>
          <cell r="Z43">
            <v>22.920156337241735</v>
          </cell>
          <cell r="AA43">
            <v>30.597431602456449</v>
          </cell>
          <cell r="AK43">
            <v>31.602456728084867</v>
          </cell>
          <cell r="AN43">
            <v>9.1848129536571754</v>
          </cell>
        </row>
        <row r="44">
          <cell r="A44">
            <v>1916</v>
          </cell>
          <cell r="C44">
            <v>1.59</v>
          </cell>
          <cell r="D44">
            <v>3.1</v>
          </cell>
          <cell r="E44">
            <v>9.5299999999999994</v>
          </cell>
          <cell r="P44">
            <v>4.9800000000000004</v>
          </cell>
          <cell r="S44">
            <v>0</v>
          </cell>
          <cell r="U44">
            <v>1916</v>
          </cell>
          <cell r="V44">
            <v>34.11</v>
          </cell>
          <cell r="X44">
            <v>4.6613896218117858</v>
          </cell>
          <cell r="Y44">
            <v>9.0882439167399589</v>
          </cell>
          <cell r="Z44">
            <v>27.939020815010256</v>
          </cell>
          <cell r="AA44">
            <v>42.509527997654644</v>
          </cell>
          <cell r="AK44">
            <v>14.599824098504838</v>
          </cell>
          <cell r="AN44">
            <v>0</v>
          </cell>
        </row>
        <row r="45">
          <cell r="A45">
            <v>1917</v>
          </cell>
          <cell r="C45">
            <v>1.34</v>
          </cell>
          <cell r="D45">
            <v>3.87</v>
          </cell>
          <cell r="E45">
            <v>9.0299999999999994</v>
          </cell>
          <cell r="P45">
            <v>14.04</v>
          </cell>
          <cell r="S45">
            <v>0</v>
          </cell>
          <cell r="U45">
            <v>1917</v>
          </cell>
          <cell r="V45">
            <v>40.61</v>
          </cell>
          <cell r="X45">
            <v>3.2996798818025121</v>
          </cell>
          <cell r="Y45">
            <v>9.5296724944594935</v>
          </cell>
          <cell r="Z45">
            <v>22.235902487072149</v>
          </cell>
          <cell r="AA45">
            <v>29.943363703521303</v>
          </cell>
          <cell r="AK45">
            <v>34.572765328736764</v>
          </cell>
          <cell r="AN45">
            <v>21.34942132479685</v>
          </cell>
        </row>
        <row r="46">
          <cell r="A46">
            <v>1918</v>
          </cell>
          <cell r="C46">
            <v>1.63</v>
          </cell>
          <cell r="D46">
            <v>4.3499999999999996</v>
          </cell>
          <cell r="E46">
            <v>8.66</v>
          </cell>
          <cell r="P46">
            <v>4.59</v>
          </cell>
          <cell r="S46">
            <v>0</v>
          </cell>
          <cell r="U46">
            <v>1918</v>
          </cell>
          <cell r="V46">
            <v>30.14</v>
          </cell>
          <cell r="X46">
            <v>5.4080955540809548</v>
          </cell>
          <cell r="Y46">
            <v>14.432647644326474</v>
          </cell>
          <cell r="Z46">
            <v>28.732581287325814</v>
          </cell>
          <cell r="AA46">
            <v>35.40145985401427</v>
          </cell>
          <cell r="AK46">
            <v>15.228931652289315</v>
          </cell>
          <cell r="AN46">
            <v>0</v>
          </cell>
        </row>
        <row r="47">
          <cell r="A47">
            <v>1919</v>
          </cell>
          <cell r="C47">
            <v>2.09</v>
          </cell>
          <cell r="D47">
            <v>4.0999999999999996</v>
          </cell>
          <cell r="E47">
            <v>11.479999999999899</v>
          </cell>
          <cell r="P47">
            <v>10.07</v>
          </cell>
          <cell r="S47">
            <v>11.17</v>
          </cell>
          <cell r="U47">
            <v>1919</v>
          </cell>
          <cell r="V47">
            <v>49.44</v>
          </cell>
          <cell r="X47">
            <v>4.2273462783171523</v>
          </cell>
          <cell r="Y47">
            <v>8.2928802588996771</v>
          </cell>
          <cell r="Z47">
            <v>23.220064724918892</v>
          </cell>
          <cell r="AA47">
            <v>20.610841423948219</v>
          </cell>
          <cell r="AK47">
            <v>20.368122977346278</v>
          </cell>
          <cell r="AN47">
            <v>36.003236245954696</v>
          </cell>
        </row>
        <row r="48">
          <cell r="A48">
            <v>1920</v>
          </cell>
          <cell r="C48">
            <v>1.85</v>
          </cell>
          <cell r="D48">
            <v>5.26</v>
          </cell>
          <cell r="E48">
            <v>7.71999999999999</v>
          </cell>
          <cell r="P48">
            <v>11.299999999999999</v>
          </cell>
          <cell r="S48">
            <v>4.96</v>
          </cell>
          <cell r="U48">
            <v>1920</v>
          </cell>
          <cell r="V48">
            <v>45.36</v>
          </cell>
          <cell r="X48">
            <v>4.0784832451499122</v>
          </cell>
          <cell r="Y48">
            <v>11.596119929453263</v>
          </cell>
          <cell r="Z48">
            <v>17.019400352733662</v>
          </cell>
          <cell r="AA48">
            <v>30.798059964726633</v>
          </cell>
          <cell r="AK48">
            <v>24.91181657848324</v>
          </cell>
          <cell r="AN48">
            <v>14.638447971781304</v>
          </cell>
        </row>
        <row r="49">
          <cell r="A49">
            <v>1921</v>
          </cell>
          <cell r="C49">
            <v>1.44</v>
          </cell>
          <cell r="D49">
            <v>4.0599999999999996</v>
          </cell>
          <cell r="E49">
            <v>4.3699999999999903</v>
          </cell>
          <cell r="P49">
            <v>12.08</v>
          </cell>
          <cell r="S49">
            <v>0</v>
          </cell>
          <cell r="U49">
            <v>1921</v>
          </cell>
          <cell r="V49">
            <v>35.93</v>
          </cell>
          <cell r="X49">
            <v>4.0077929306985807</v>
          </cell>
          <cell r="Y49">
            <v>11.29974951294183</v>
          </cell>
          <cell r="Z49">
            <v>12.162538268856082</v>
          </cell>
          <cell r="AA49">
            <v>37.879209574172002</v>
          </cell>
          <cell r="AK49">
            <v>33.620929585304758</v>
          </cell>
          <cell r="AN49">
            <v>14.333426106317843</v>
          </cell>
        </row>
        <row r="50">
          <cell r="A50">
            <v>1922</v>
          </cell>
          <cell r="C50">
            <v>2.02</v>
          </cell>
          <cell r="D50">
            <v>5.46</v>
          </cell>
          <cell r="E50">
            <v>8.23</v>
          </cell>
          <cell r="P50">
            <v>10.339999999999989</v>
          </cell>
          <cell r="S50">
            <v>2.52</v>
          </cell>
          <cell r="U50">
            <v>1922</v>
          </cell>
          <cell r="V50">
            <v>38.93</v>
          </cell>
          <cell r="X50">
            <v>5.1888004109940917</v>
          </cell>
          <cell r="Y50">
            <v>14.025173388132545</v>
          </cell>
          <cell r="Z50">
            <v>21.140508605188803</v>
          </cell>
          <cell r="AA50">
            <v>26.200873362445414</v>
          </cell>
          <cell r="AK50">
            <v>26.560493192910329</v>
          </cell>
          <cell r="AN50">
            <v>14.847161572052402</v>
          </cell>
        </row>
        <row r="51">
          <cell r="A51">
            <v>1923</v>
          </cell>
          <cell r="C51">
            <v>0.87</v>
          </cell>
          <cell r="D51">
            <v>4.4899999999999904</v>
          </cell>
          <cell r="E51">
            <v>7.8299999999999903</v>
          </cell>
          <cell r="P51">
            <v>8.76</v>
          </cell>
          <cell r="S51">
            <v>2.6</v>
          </cell>
          <cell r="U51">
            <v>1923</v>
          </cell>
          <cell r="V51">
            <v>39.450000000000003</v>
          </cell>
          <cell r="X51">
            <v>2.2053231939163496</v>
          </cell>
          <cell r="Y51">
            <v>11.381495564005045</v>
          </cell>
          <cell r="Z51">
            <v>19.847908745247121</v>
          </cell>
          <cell r="AA51">
            <v>37.186311787072242</v>
          </cell>
          <cell r="AK51">
            <v>22.20532319391635</v>
          </cell>
          <cell r="AN51">
            <v>14.397972116603295</v>
          </cell>
        </row>
        <row r="52">
          <cell r="A52">
            <v>1924</v>
          </cell>
          <cell r="C52">
            <v>1.35</v>
          </cell>
          <cell r="D52">
            <v>5.14</v>
          </cell>
          <cell r="E52">
            <v>5.9199999999999902</v>
          </cell>
          <cell r="P52">
            <v>12.33</v>
          </cell>
          <cell r="S52">
            <v>2.06</v>
          </cell>
          <cell r="U52">
            <v>1924</v>
          </cell>
          <cell r="V52">
            <v>38.31</v>
          </cell>
          <cell r="X52">
            <v>3.523884103367267</v>
          </cell>
          <cell r="Y52">
            <v>13.416862438005742</v>
          </cell>
          <cell r="Z52">
            <v>15.452884364395691</v>
          </cell>
          <cell r="AA52">
            <v>29.548420777864788</v>
          </cell>
          <cell r="AK52">
            <v>32.184808144087704</v>
          </cell>
          <cell r="AN52">
            <v>18.66353432524145</v>
          </cell>
        </row>
        <row r="53">
          <cell r="A53">
            <v>1925</v>
          </cell>
          <cell r="C53">
            <v>1.91</v>
          </cell>
          <cell r="D53">
            <v>3.49</v>
          </cell>
          <cell r="E53">
            <v>6.2499999999999902</v>
          </cell>
          <cell r="P53">
            <v>7.58</v>
          </cell>
          <cell r="S53">
            <v>4.6099999999999897</v>
          </cell>
          <cell r="U53">
            <v>1925</v>
          </cell>
          <cell r="V53">
            <v>34.99</v>
          </cell>
          <cell r="X53">
            <v>5.4587024864246922</v>
          </cell>
          <cell r="Y53">
            <v>9.9742783652472138</v>
          </cell>
          <cell r="Z53">
            <v>17.862246356101714</v>
          </cell>
          <cell r="AA53">
            <v>31.066018862532147</v>
          </cell>
          <cell r="AK53">
            <v>21.663332380680192</v>
          </cell>
          <cell r="AN53">
            <v>13.175192912260616</v>
          </cell>
        </row>
        <row r="54">
          <cell r="A54">
            <v>1926</v>
          </cell>
          <cell r="C54">
            <v>1.96</v>
          </cell>
          <cell r="D54">
            <v>3.53</v>
          </cell>
          <cell r="E54">
            <v>5.38</v>
          </cell>
          <cell r="P54">
            <v>8.870000000000001</v>
          </cell>
          <cell r="S54">
            <v>5.49</v>
          </cell>
          <cell r="U54">
            <v>1926</v>
          </cell>
          <cell r="V54">
            <v>41.22</v>
          </cell>
          <cell r="X54">
            <v>4.7549733139252792</v>
          </cell>
          <cell r="Y54">
            <v>8.5638039786511388</v>
          </cell>
          <cell r="Z54">
            <v>13.051916545366327</v>
          </cell>
          <cell r="AA54">
            <v>37.967006307617424</v>
          </cell>
          <cell r="AK54">
            <v>21.518680252304708</v>
          </cell>
          <cell r="AN54">
            <v>9.9951479864143629</v>
          </cell>
        </row>
        <row r="55">
          <cell r="A55">
            <v>1927</v>
          </cell>
          <cell r="C55">
            <v>1.9</v>
          </cell>
          <cell r="D55">
            <v>4.5599999999999996</v>
          </cell>
          <cell r="E55">
            <v>6.7999999999999901</v>
          </cell>
          <cell r="P55">
            <v>15.04</v>
          </cell>
          <cell r="S55">
            <v>5.3100000000000005</v>
          </cell>
          <cell r="U55">
            <v>1927</v>
          </cell>
          <cell r="V55">
            <v>41.11</v>
          </cell>
          <cell r="X55">
            <v>4.6217465336900991</v>
          </cell>
          <cell r="Y55">
            <v>11.092191680856239</v>
          </cell>
          <cell r="Z55">
            <v>16.540987594259278</v>
          </cell>
          <cell r="AA55">
            <v>17.538311846266115</v>
          </cell>
          <cell r="AK55">
            <v>36.584772561420579</v>
          </cell>
          <cell r="AN55">
            <v>38.895645828265629</v>
          </cell>
        </row>
        <row r="56">
          <cell r="A56">
            <v>1928</v>
          </cell>
          <cell r="C56">
            <v>1.69</v>
          </cell>
          <cell r="D56">
            <v>3.13</v>
          </cell>
          <cell r="E56">
            <v>10.889999999999899</v>
          </cell>
          <cell r="P56">
            <v>9.39</v>
          </cell>
          <cell r="S56">
            <v>9.09</v>
          </cell>
          <cell r="U56">
            <v>1928</v>
          </cell>
          <cell r="V56">
            <v>44.86</v>
          </cell>
          <cell r="X56">
            <v>3.7672759696834599</v>
          </cell>
          <cell r="Y56">
            <v>6.9772625947391882</v>
          </cell>
          <cell r="Z56">
            <v>24.275523851983728</v>
          </cell>
          <cell r="AA56">
            <v>23.138653588943157</v>
          </cell>
          <cell r="AK56">
            <v>20.931787784217565</v>
          </cell>
          <cell r="AN56">
            <v>27.819884083816316</v>
          </cell>
        </row>
        <row r="57">
          <cell r="A57">
            <v>1929</v>
          </cell>
          <cell r="C57">
            <v>2.13</v>
          </cell>
          <cell r="D57">
            <v>3.51</v>
          </cell>
          <cell r="E57">
            <v>6.29</v>
          </cell>
          <cell r="P57">
            <v>10.43</v>
          </cell>
          <cell r="S57">
            <v>0</v>
          </cell>
          <cell r="U57">
            <v>1929</v>
          </cell>
          <cell r="V57">
            <v>36.049999999999997</v>
          </cell>
          <cell r="X57">
            <v>5.9084604715672677</v>
          </cell>
          <cell r="Y57">
            <v>9.7364771151178928</v>
          </cell>
          <cell r="Z57">
            <v>17.447988904299585</v>
          </cell>
          <cell r="AA57">
            <v>37.22607489597781</v>
          </cell>
          <cell r="AK57">
            <v>28.932038834951456</v>
          </cell>
          <cell r="AN57">
            <v>5.2427184466019421</v>
          </cell>
        </row>
        <row r="58">
          <cell r="A58">
            <v>1930</v>
          </cell>
          <cell r="C58">
            <v>1.04</v>
          </cell>
          <cell r="D58">
            <v>4.3600000000000003</v>
          </cell>
          <cell r="E58">
            <v>8.6299999999999901</v>
          </cell>
          <cell r="P58">
            <v>5.04</v>
          </cell>
          <cell r="S58">
            <v>2.78</v>
          </cell>
          <cell r="U58">
            <v>1930</v>
          </cell>
          <cell r="V58">
            <v>31.18</v>
          </cell>
          <cell r="X58">
            <v>3.3354714560615784</v>
          </cell>
          <cell r="Y58">
            <v>13.983322642719692</v>
          </cell>
          <cell r="Z58">
            <v>27.677998717126336</v>
          </cell>
          <cell r="AA58">
            <v>28.960872354073118</v>
          </cell>
          <cell r="AK58">
            <v>16.164207825529186</v>
          </cell>
          <cell r="AN58">
            <v>8.9159717767799869</v>
          </cell>
        </row>
        <row r="59">
          <cell r="A59">
            <v>1931</v>
          </cell>
          <cell r="C59">
            <v>1.57</v>
          </cell>
          <cell r="D59">
            <v>3.61</v>
          </cell>
          <cell r="E59">
            <v>4.58</v>
          </cell>
          <cell r="P59">
            <v>10.799999999999979</v>
          </cell>
          <cell r="S59">
            <v>0</v>
          </cell>
          <cell r="U59">
            <v>1931</v>
          </cell>
          <cell r="V59">
            <v>31.18</v>
          </cell>
          <cell r="X59">
            <v>5.0352790250160355</v>
          </cell>
          <cell r="Y59">
            <v>11.577934573444516</v>
          </cell>
          <cell r="Z59">
            <v>14.68890314304041</v>
          </cell>
          <cell r="AA59">
            <v>33.386786401539133</v>
          </cell>
          <cell r="AK59">
            <v>34.637588197562479</v>
          </cell>
          <cell r="AN59">
            <v>22.418216805644615</v>
          </cell>
        </row>
        <row r="60">
          <cell r="A60">
            <v>1932</v>
          </cell>
          <cell r="C60">
            <v>1.58</v>
          </cell>
          <cell r="D60">
            <v>4.29</v>
          </cell>
          <cell r="E60">
            <v>5.93</v>
          </cell>
          <cell r="P60">
            <v>17.100000000000001</v>
          </cell>
          <cell r="S60">
            <v>4.2699999999999996</v>
          </cell>
          <cell r="U60">
            <v>1932</v>
          </cell>
          <cell r="V60">
            <v>46.58</v>
          </cell>
          <cell r="X60">
            <v>3.3920137398024908</v>
          </cell>
          <cell r="Y60">
            <v>9.209961356805497</v>
          </cell>
          <cell r="Z60">
            <v>12.730785744954916</v>
          </cell>
          <cell r="AA60">
            <v>28.488621726062689</v>
          </cell>
          <cell r="AK60">
            <v>36.711034778875053</v>
          </cell>
          <cell r="AN60">
            <v>20.287677114641475</v>
          </cell>
        </row>
        <row r="61">
          <cell r="A61">
            <v>1933</v>
          </cell>
          <cell r="C61">
            <v>1.54</v>
          </cell>
          <cell r="D61">
            <v>3.81</v>
          </cell>
          <cell r="E61">
            <v>9.07</v>
          </cell>
          <cell r="P61">
            <v>10.57</v>
          </cell>
          <cell r="S61">
            <v>10.78</v>
          </cell>
          <cell r="U61">
            <v>1933</v>
          </cell>
          <cell r="V61">
            <v>51.27</v>
          </cell>
          <cell r="X61">
            <v>3.0037058708796565</v>
          </cell>
          <cell r="Y61">
            <v>7.4312463428905797</v>
          </cell>
          <cell r="Z61">
            <v>17.690657304466551</v>
          </cell>
          <cell r="AA61">
            <v>29.861517456602105</v>
          </cell>
          <cell r="AK61">
            <v>20.616344841037641</v>
          </cell>
          <cell r="AN61">
            <v>24.04915155061439</v>
          </cell>
        </row>
        <row r="62">
          <cell r="A62">
            <v>1934</v>
          </cell>
          <cell r="C62">
            <v>1.61</v>
          </cell>
          <cell r="D62">
            <v>3.25</v>
          </cell>
          <cell r="E62">
            <v>8.02</v>
          </cell>
          <cell r="P62">
            <v>12.89</v>
          </cell>
          <cell r="S62">
            <v>2.2400000000000002</v>
          </cell>
          <cell r="U62">
            <v>1934</v>
          </cell>
          <cell r="V62">
            <v>40.450000000000003</v>
          </cell>
          <cell r="X62">
            <v>3.9802224969097653</v>
          </cell>
          <cell r="Y62">
            <v>8.0346106304079115</v>
          </cell>
          <cell r="Z62">
            <v>19.826946847960443</v>
          </cell>
          <cell r="AA62">
            <v>29.740420271940664</v>
          </cell>
          <cell r="AK62">
            <v>31.866501854140918</v>
          </cell>
          <cell r="AN62">
            <v>5.5377008652657604</v>
          </cell>
        </row>
        <row r="63">
          <cell r="A63">
            <v>1935</v>
          </cell>
          <cell r="C63">
            <v>1.79</v>
          </cell>
          <cell r="D63">
            <v>5.13</v>
          </cell>
          <cell r="E63">
            <v>7.32</v>
          </cell>
          <cell r="P63">
            <v>6.84</v>
          </cell>
          <cell r="S63">
            <v>21.359999999999992</v>
          </cell>
          <cell r="U63">
            <v>1935</v>
          </cell>
          <cell r="V63">
            <v>55.04</v>
          </cell>
          <cell r="X63">
            <v>3.2521802325581399</v>
          </cell>
          <cell r="Y63">
            <v>9.3204941860465116</v>
          </cell>
          <cell r="Z63">
            <v>13.299418604651164</v>
          </cell>
          <cell r="AA63">
            <v>22.365552325581213</v>
          </cell>
          <cell r="AK63">
            <v>12.427325581395351</v>
          </cell>
          <cell r="AN63">
            <v>29.560319767441861</v>
          </cell>
        </row>
        <row r="64">
          <cell r="A64">
            <v>1936</v>
          </cell>
          <cell r="C64">
            <v>2.52</v>
          </cell>
          <cell r="D64">
            <v>1.6799999999999899</v>
          </cell>
          <cell r="E64">
            <v>9.4499999999999993</v>
          </cell>
          <cell r="P64">
            <v>13.85</v>
          </cell>
          <cell r="S64">
            <v>6.32</v>
          </cell>
          <cell r="U64">
            <v>1936</v>
          </cell>
          <cell r="V64">
            <v>47.9</v>
          </cell>
          <cell r="X64">
            <v>5.2609603340292281</v>
          </cell>
          <cell r="Y64">
            <v>3.5073068893527974</v>
          </cell>
          <cell r="Z64">
            <v>19.7286012526096</v>
          </cell>
          <cell r="AA64">
            <v>28.643006263048022</v>
          </cell>
          <cell r="AK64">
            <v>28.914405010438415</v>
          </cell>
          <cell r="AN64">
            <v>24.989561586638832</v>
          </cell>
        </row>
        <row r="65">
          <cell r="A65">
            <v>1937</v>
          </cell>
          <cell r="C65">
            <v>2.23</v>
          </cell>
          <cell r="D65">
            <v>5.18</v>
          </cell>
          <cell r="E65">
            <v>7.91</v>
          </cell>
          <cell r="P65">
            <v>10.39</v>
          </cell>
          <cell r="S65">
            <v>6.16</v>
          </cell>
          <cell r="U65">
            <v>1937</v>
          </cell>
          <cell r="V65">
            <v>42.39</v>
          </cell>
          <cell r="X65">
            <v>5.2606746874262793</v>
          </cell>
          <cell r="Y65">
            <v>12.219863175277187</v>
          </cell>
          <cell r="Z65">
            <v>18.660061335220572</v>
          </cell>
          <cell r="AA65">
            <v>24.085869308799008</v>
          </cell>
          <cell r="AK65">
            <v>24.510497758905402</v>
          </cell>
          <cell r="AN65">
            <v>13.82401509790045</v>
          </cell>
        </row>
        <row r="66">
          <cell r="A66">
            <v>1938</v>
          </cell>
          <cell r="C66">
            <v>2.2000000000000002</v>
          </cell>
          <cell r="D66">
            <v>4.9000000000000004</v>
          </cell>
          <cell r="E66">
            <v>8.98</v>
          </cell>
          <cell r="P66">
            <v>10.48999999999999</v>
          </cell>
          <cell r="S66">
            <v>12.79</v>
          </cell>
          <cell r="U66">
            <v>1938</v>
          </cell>
          <cell r="V66">
            <v>49.14</v>
          </cell>
          <cell r="X66">
            <v>4.4770044770044777</v>
          </cell>
          <cell r="Y66">
            <v>9.9715099715099722</v>
          </cell>
          <cell r="Z66">
            <v>18.274318274318276</v>
          </cell>
          <cell r="AA66">
            <v>19.271469271469272</v>
          </cell>
          <cell r="AK66">
            <v>21.347171347171326</v>
          </cell>
          <cell r="AN66">
            <v>20.044770044770043</v>
          </cell>
        </row>
        <row r="67">
          <cell r="A67">
            <v>1939</v>
          </cell>
          <cell r="C67">
            <v>1.43</v>
          </cell>
          <cell r="D67">
            <v>4.7</v>
          </cell>
          <cell r="E67">
            <v>3.99</v>
          </cell>
          <cell r="P67">
            <v>15.93</v>
          </cell>
          <cell r="S67">
            <v>5.15</v>
          </cell>
          <cell r="U67">
            <v>1939</v>
          </cell>
          <cell r="V67">
            <v>46.63</v>
          </cell>
          <cell r="X67">
            <v>3.06669526056187</v>
          </cell>
          <cell r="Y67">
            <v>10.079348059189362</v>
          </cell>
          <cell r="Z67">
            <v>8.5567231396096926</v>
          </cell>
          <cell r="AA67">
            <v>32.618485953248985</v>
          </cell>
          <cell r="AK67">
            <v>34.16255629423118</v>
          </cell>
          <cell r="AN67">
            <v>37.186360711987987</v>
          </cell>
        </row>
        <row r="68">
          <cell r="A68">
            <v>1940</v>
          </cell>
          <cell r="C68">
            <v>1.85</v>
          </cell>
          <cell r="D68">
            <v>5.36</v>
          </cell>
          <cell r="E68">
            <v>6.8</v>
          </cell>
          <cell r="P68">
            <v>9.4999999999999893</v>
          </cell>
          <cell r="S68">
            <v>3.28</v>
          </cell>
          <cell r="U68">
            <v>1940</v>
          </cell>
          <cell r="V68">
            <v>41.42</v>
          </cell>
          <cell r="X68">
            <v>4.4664413326895218</v>
          </cell>
          <cell r="Y68">
            <v>12.94060840173829</v>
          </cell>
          <cell r="Z68">
            <v>16.417189763399325</v>
          </cell>
          <cell r="AA68">
            <v>34.596813133751567</v>
          </cell>
          <cell r="AK68">
            <v>22.935779816513737</v>
          </cell>
          <cell r="AN68">
            <v>4.1284403669724767</v>
          </cell>
        </row>
        <row r="69">
          <cell r="A69">
            <v>1941</v>
          </cell>
          <cell r="C69">
            <v>1.1399999999999999</v>
          </cell>
          <cell r="D69">
            <v>2.7</v>
          </cell>
          <cell r="E69">
            <v>5.41</v>
          </cell>
          <cell r="P69">
            <v>8.0299999999999994</v>
          </cell>
          <cell r="S69">
            <v>6.84</v>
          </cell>
          <cell r="U69">
            <v>1941</v>
          </cell>
          <cell r="V69">
            <v>32.06</v>
          </cell>
          <cell r="X69">
            <v>3.5558328134747343</v>
          </cell>
          <cell r="Y69">
            <v>8.4217092950717394</v>
          </cell>
          <cell r="Z69">
            <v>16.874610106051151</v>
          </cell>
          <cell r="AA69">
            <v>24.07985028072364</v>
          </cell>
          <cell r="AK69">
            <v>25.046787273861508</v>
          </cell>
          <cell r="AN69">
            <v>36.182158452900808</v>
          </cell>
        </row>
        <row r="70">
          <cell r="A70">
            <v>1942</v>
          </cell>
          <cell r="C70">
            <v>1.1000000000000001</v>
          </cell>
          <cell r="D70">
            <v>3.62</v>
          </cell>
          <cell r="E70">
            <v>8.51</v>
          </cell>
          <cell r="P70">
            <v>10.98</v>
          </cell>
          <cell r="S70">
            <v>5.05</v>
          </cell>
          <cell r="U70">
            <v>1942</v>
          </cell>
          <cell r="V70">
            <v>46.22</v>
          </cell>
          <cell r="X70">
            <v>2.3799221116399831</v>
          </cell>
          <cell r="Y70">
            <v>7.8321073128515799</v>
          </cell>
          <cell r="Z70">
            <v>18.411942881869319</v>
          </cell>
          <cell r="AA70">
            <v>36.109909130246649</v>
          </cell>
          <cell r="AK70">
            <v>23.755949805279098</v>
          </cell>
          <cell r="AN70">
            <v>12.332323669407183</v>
          </cell>
        </row>
        <row r="71">
          <cell r="A71">
            <v>1943</v>
          </cell>
          <cell r="C71">
            <v>1.67</v>
          </cell>
          <cell r="D71">
            <v>3.33</v>
          </cell>
          <cell r="E71">
            <v>6.88</v>
          </cell>
          <cell r="P71">
            <v>9.86</v>
          </cell>
          <cell r="S71">
            <v>6.4399999999999995</v>
          </cell>
          <cell r="U71">
            <v>1943</v>
          </cell>
          <cell r="V71">
            <v>37.93</v>
          </cell>
          <cell r="X71">
            <v>4.4028473503822827</v>
          </cell>
          <cell r="Y71">
            <v>8.7793303453730562</v>
          </cell>
          <cell r="Z71">
            <v>18.138676509359346</v>
          </cell>
          <cell r="AA71">
            <v>24.861587134194568</v>
          </cell>
          <cell r="AK71">
            <v>25.995254416029525</v>
          </cell>
          <cell r="AN71">
            <v>30.187186923279725</v>
          </cell>
        </row>
        <row r="72">
          <cell r="A72">
            <v>1944</v>
          </cell>
          <cell r="C72">
            <v>1.46</v>
          </cell>
          <cell r="D72">
            <v>2.7699999999999898</v>
          </cell>
          <cell r="E72">
            <v>7.78</v>
          </cell>
          <cell r="P72">
            <v>9.4899999999999984</v>
          </cell>
          <cell r="S72">
            <v>16.07</v>
          </cell>
          <cell r="U72">
            <v>1944</v>
          </cell>
          <cell r="V72">
            <v>49.02</v>
          </cell>
          <cell r="X72">
            <v>2.978376172990616</v>
          </cell>
          <cell r="Y72">
            <v>5.6507547939616272</v>
          </cell>
          <cell r="Z72">
            <v>15.871073031415747</v>
          </cell>
          <cell r="AA72">
            <v>22.664218686250507</v>
          </cell>
          <cell r="AK72">
            <v>19.359445124439002</v>
          </cell>
          <cell r="AN72">
            <v>29.232966136270907</v>
          </cell>
        </row>
        <row r="73">
          <cell r="A73">
            <v>1945</v>
          </cell>
          <cell r="C73">
            <v>1.45</v>
          </cell>
          <cell r="D73">
            <v>6.07</v>
          </cell>
          <cell r="E73">
            <v>7.39</v>
          </cell>
          <cell r="P73">
            <v>10.119999999999999</v>
          </cell>
          <cell r="S73">
            <v>8.18</v>
          </cell>
          <cell r="U73">
            <v>1945</v>
          </cell>
          <cell r="V73">
            <v>46.27</v>
          </cell>
          <cell r="X73">
            <v>3.1337799870326344</v>
          </cell>
          <cell r="Y73">
            <v>13.118651393991787</v>
          </cell>
          <cell r="Z73">
            <v>15.971471795980117</v>
          </cell>
          <cell r="AA73">
            <v>27.858223470931488</v>
          </cell>
          <cell r="AK73">
            <v>21.871623081910521</v>
          </cell>
          <cell r="AN73">
            <v>10.481953749729845</v>
          </cell>
        </row>
        <row r="74">
          <cell r="A74">
            <v>1946</v>
          </cell>
          <cell r="C74">
            <v>1.89</v>
          </cell>
          <cell r="D74">
            <v>4.68</v>
          </cell>
          <cell r="E74">
            <v>4.6099999999999897</v>
          </cell>
          <cell r="P74">
            <v>1.33</v>
          </cell>
          <cell r="S74">
            <v>5.07</v>
          </cell>
          <cell r="U74">
            <v>1946</v>
          </cell>
          <cell r="V74">
            <v>31.87</v>
          </cell>
          <cell r="X74">
            <v>5.9303420144336361</v>
          </cell>
          <cell r="Y74">
            <v>14.684656416692812</v>
          </cell>
          <cell r="Z74">
            <v>14.465014119861907</v>
          </cell>
          <cell r="AA74">
            <v>44.116724192029807</v>
          </cell>
          <cell r="AK74">
            <v>4.1732036397866334</v>
          </cell>
          <cell r="AN74">
            <v>6.4637590210229048</v>
          </cell>
        </row>
        <row r="75">
          <cell r="A75">
            <v>1947</v>
          </cell>
          <cell r="C75">
            <v>1.34</v>
          </cell>
          <cell r="D75">
            <v>3.65</v>
          </cell>
          <cell r="E75">
            <v>9.25</v>
          </cell>
          <cell r="P75">
            <v>4.1899999999999995</v>
          </cell>
          <cell r="S75">
            <v>0</v>
          </cell>
          <cell r="U75">
            <v>1947</v>
          </cell>
          <cell r="V75">
            <v>33.700000000000003</v>
          </cell>
          <cell r="X75">
            <v>3.9762611275964392</v>
          </cell>
          <cell r="Y75">
            <v>10.830860534124628</v>
          </cell>
          <cell r="Z75">
            <v>27.448071216617208</v>
          </cell>
          <cell r="AA75">
            <v>44.540059347180708</v>
          </cell>
          <cell r="AK75">
            <v>12.433234421364983</v>
          </cell>
          <cell r="AN75">
            <v>5.5786350148367942</v>
          </cell>
        </row>
        <row r="76">
          <cell r="A76">
            <v>1948</v>
          </cell>
          <cell r="C76">
            <v>1.58</v>
          </cell>
          <cell r="D76">
            <v>3.12</v>
          </cell>
          <cell r="E76">
            <v>9.3899999999999899</v>
          </cell>
          <cell r="P76">
            <v>13.86</v>
          </cell>
          <cell r="S76">
            <v>15.849999999999998</v>
          </cell>
          <cell r="U76">
            <v>1948</v>
          </cell>
          <cell r="V76">
            <v>62.18</v>
          </cell>
          <cell r="X76">
            <v>2.5410099710517851</v>
          </cell>
          <cell r="Y76">
            <v>5.017690575747829</v>
          </cell>
          <cell r="Z76">
            <v>15.101318752010275</v>
          </cell>
          <cell r="AA76">
            <v>29.07687359279511</v>
          </cell>
          <cell r="AK76">
            <v>22.29012544226439</v>
          </cell>
          <cell r="AN76">
            <v>20.553232550659377</v>
          </cell>
        </row>
        <row r="77">
          <cell r="A77">
            <v>1949</v>
          </cell>
          <cell r="C77">
            <v>1.8</v>
          </cell>
          <cell r="D77">
            <v>5.34</v>
          </cell>
          <cell r="E77">
            <v>8.36</v>
          </cell>
          <cell r="P77">
            <v>10.73</v>
          </cell>
          <cell r="S77">
            <v>4.3699999999999903</v>
          </cell>
          <cell r="U77">
            <v>1949</v>
          </cell>
          <cell r="V77">
            <v>41.36</v>
          </cell>
          <cell r="X77">
            <v>4.3520309477756287</v>
          </cell>
          <cell r="Y77">
            <v>12.911025145067697</v>
          </cell>
          <cell r="Z77">
            <v>20.212765957446805</v>
          </cell>
          <cell r="AA77">
            <v>25.459381044487429</v>
          </cell>
          <cell r="AK77">
            <v>25.942940038684718</v>
          </cell>
          <cell r="AN77">
            <v>19.656673114119897</v>
          </cell>
        </row>
        <row r="78">
          <cell r="A78">
            <v>1950</v>
          </cell>
          <cell r="C78">
            <v>1.87</v>
          </cell>
          <cell r="D78">
            <v>5.44</v>
          </cell>
          <cell r="E78">
            <v>10.84</v>
          </cell>
          <cell r="P78">
            <v>6.92</v>
          </cell>
          <cell r="S78">
            <v>4.88</v>
          </cell>
          <cell r="U78">
            <v>1950</v>
          </cell>
          <cell r="V78">
            <v>38.46</v>
          </cell>
          <cell r="X78">
            <v>4.8621944877795116</v>
          </cell>
          <cell r="Y78">
            <v>14.144565782631306</v>
          </cell>
          <cell r="Z78">
            <v>28.185127405096207</v>
          </cell>
          <cell r="AA78">
            <v>21.398855954238169</v>
          </cell>
          <cell r="AK78">
            <v>17.99271970878835</v>
          </cell>
          <cell r="AN78">
            <v>17.212688507540303</v>
          </cell>
        </row>
        <row r="79">
          <cell r="A79">
            <v>1951</v>
          </cell>
          <cell r="C79">
            <v>1.76</v>
          </cell>
          <cell r="D79">
            <v>4.1900000000000004</v>
          </cell>
          <cell r="E79">
            <v>6.74</v>
          </cell>
          <cell r="P79">
            <v>6.79</v>
          </cell>
          <cell r="S79">
            <v>5.6300000000000008</v>
          </cell>
          <cell r="U79">
            <v>1951</v>
          </cell>
          <cell r="V79">
            <v>38.630000000000003</v>
          </cell>
          <cell r="X79">
            <v>4.5560445249805852</v>
          </cell>
          <cell r="Y79">
            <v>10.846492363448098</v>
          </cell>
          <cell r="Z79">
            <v>17.447579601346103</v>
          </cell>
          <cell r="AA79">
            <v>33.989127621019669</v>
          </cell>
          <cell r="AK79">
            <v>17.577012684442145</v>
          </cell>
          <cell r="AN79">
            <v>11.545431012166711</v>
          </cell>
        </row>
        <row r="80">
          <cell r="A80">
            <v>1952</v>
          </cell>
          <cell r="C80">
            <v>1.65</v>
          </cell>
          <cell r="D80">
            <v>2.8499999999999899</v>
          </cell>
          <cell r="E80">
            <v>10.149999999999901</v>
          </cell>
          <cell r="P80">
            <v>13.3</v>
          </cell>
          <cell r="S80">
            <v>4.03</v>
          </cell>
          <cell r="U80">
            <v>1952</v>
          </cell>
          <cell r="V80">
            <v>46.95</v>
          </cell>
          <cell r="X80">
            <v>3.5143769968051117</v>
          </cell>
          <cell r="Y80">
            <v>6.0702875399360803</v>
          </cell>
          <cell r="Z80">
            <v>21.61874334398275</v>
          </cell>
          <cell r="AA80">
            <v>31.501597444089452</v>
          </cell>
          <cell r="AK80">
            <v>28.328008519701811</v>
          </cell>
          <cell r="AN80">
            <v>26.964856230031948</v>
          </cell>
        </row>
        <row r="81">
          <cell r="A81">
            <v>1953</v>
          </cell>
          <cell r="C81">
            <v>1.1100000000000001</v>
          </cell>
          <cell r="D81">
            <v>4.55</v>
          </cell>
          <cell r="E81">
            <v>6.26</v>
          </cell>
          <cell r="P81">
            <v>15.15</v>
          </cell>
          <cell r="S81">
            <v>14.66</v>
          </cell>
          <cell r="U81">
            <v>1953</v>
          </cell>
          <cell r="V81">
            <v>55.91</v>
          </cell>
          <cell r="X81">
            <v>1.9853335718118408</v>
          </cell>
          <cell r="Y81">
            <v>8.1380790556251128</v>
          </cell>
          <cell r="Z81">
            <v>11.196565909497407</v>
          </cell>
          <cell r="AA81">
            <v>25.076015024145949</v>
          </cell>
          <cell r="AK81">
            <v>27.097120372026474</v>
          </cell>
          <cell r="AN81">
            <v>46.950456090144883</v>
          </cell>
        </row>
        <row r="82">
          <cell r="A82">
            <v>1954</v>
          </cell>
          <cell r="C82">
            <v>2.1800000000000002</v>
          </cell>
          <cell r="D82">
            <v>3.3799999999999901</v>
          </cell>
          <cell r="E82">
            <v>5.6499999999999897</v>
          </cell>
          <cell r="P82">
            <v>6.75</v>
          </cell>
          <cell r="S82">
            <v>5.48</v>
          </cell>
          <cell r="U82">
            <v>1954</v>
          </cell>
          <cell r="V82">
            <v>34.020000000000003</v>
          </cell>
          <cell r="X82">
            <v>6.4079952968841862</v>
          </cell>
          <cell r="Y82">
            <v>9.935332157554349</v>
          </cell>
          <cell r="Z82">
            <v>16.607877718988799</v>
          </cell>
          <cell r="AA82">
            <v>30.158730158729863</v>
          </cell>
          <cell r="AK82">
            <v>19.841269841269835</v>
          </cell>
          <cell r="AN82">
            <v>20.958259847148732</v>
          </cell>
        </row>
        <row r="83">
          <cell r="A83">
            <v>1955</v>
          </cell>
          <cell r="C83">
            <v>1.02</v>
          </cell>
          <cell r="D83">
            <v>4</v>
          </cell>
          <cell r="E83">
            <v>4.28</v>
          </cell>
          <cell r="P83">
            <v>9.629999999999999</v>
          </cell>
          <cell r="S83">
            <v>4.7300000000000004</v>
          </cell>
          <cell r="U83">
            <v>1955</v>
          </cell>
          <cell r="V83">
            <v>34.72</v>
          </cell>
          <cell r="X83">
            <v>2.9377880184331797</v>
          </cell>
          <cell r="Y83">
            <v>11.52073732718894</v>
          </cell>
          <cell r="Z83">
            <v>12.327188940092167</v>
          </cell>
          <cell r="AA83">
            <v>30.875576036866072</v>
          </cell>
          <cell r="AK83">
            <v>27.736175115207374</v>
          </cell>
          <cell r="AN83">
            <v>33.928571428571431</v>
          </cell>
        </row>
        <row r="84">
          <cell r="A84">
            <v>1956</v>
          </cell>
          <cell r="C84">
            <v>1.43</v>
          </cell>
          <cell r="D84">
            <v>4.54</v>
          </cell>
          <cell r="E84">
            <v>11.3</v>
          </cell>
          <cell r="P84">
            <v>8.98</v>
          </cell>
          <cell r="S84">
            <v>2.95</v>
          </cell>
          <cell r="U84">
            <v>1956</v>
          </cell>
          <cell r="V84">
            <v>43.58</v>
          </cell>
          <cell r="X84">
            <v>3.2813217072051399</v>
          </cell>
          <cell r="Y84">
            <v>10.417622762735199</v>
          </cell>
          <cell r="Z84">
            <v>25.929325378614042</v>
          </cell>
          <cell r="AA84">
            <v>32.377237264800144</v>
          </cell>
          <cell r="AK84">
            <v>20.605782469022486</v>
          </cell>
          <cell r="AN84">
            <v>10.899495181275816</v>
          </cell>
        </row>
        <row r="85">
          <cell r="A85">
            <v>1957</v>
          </cell>
          <cell r="C85">
            <v>1.78</v>
          </cell>
          <cell r="D85">
            <v>4.5599999999999996</v>
          </cell>
          <cell r="E85">
            <v>8.06</v>
          </cell>
          <cell r="P85">
            <v>4.2699999999999996</v>
          </cell>
          <cell r="S85">
            <v>0</v>
          </cell>
          <cell r="U85">
            <v>1957</v>
          </cell>
          <cell r="V85">
            <v>34.520000000000003</v>
          </cell>
          <cell r="X85">
            <v>5.1564310544611818</v>
          </cell>
          <cell r="Y85">
            <v>13.209733487833139</v>
          </cell>
          <cell r="Z85">
            <v>23.348783314020856</v>
          </cell>
          <cell r="AA85">
            <v>45.133256083429892</v>
          </cell>
          <cell r="AK85">
            <v>12.369640787949013</v>
          </cell>
          <cell r="AN85">
            <v>4.6929316338354576</v>
          </cell>
        </row>
        <row r="86">
          <cell r="A86">
            <v>1958</v>
          </cell>
          <cell r="C86">
            <v>1.79</v>
          </cell>
          <cell r="D86">
            <v>3.32</v>
          </cell>
          <cell r="E86">
            <v>7.81</v>
          </cell>
          <cell r="P86">
            <v>18.309999999999999</v>
          </cell>
          <cell r="S86">
            <v>20.91</v>
          </cell>
          <cell r="U86">
            <v>1958</v>
          </cell>
          <cell r="V86">
            <v>67.17</v>
          </cell>
          <cell r="X86">
            <v>2.6648801548310259</v>
          </cell>
          <cell r="Y86">
            <v>4.9426827452731876</v>
          </cell>
          <cell r="Z86">
            <v>11.627214530296262</v>
          </cell>
          <cell r="AA86">
            <v>22.093196367425932</v>
          </cell>
          <cell r="AK86">
            <v>27.259193092154234</v>
          </cell>
          <cell r="AN86">
            <v>33.705523299091851</v>
          </cell>
        </row>
        <row r="87">
          <cell r="A87">
            <v>1959</v>
          </cell>
          <cell r="C87">
            <v>1.51</v>
          </cell>
          <cell r="D87">
            <v>4.18</v>
          </cell>
          <cell r="E87">
            <v>5.13</v>
          </cell>
          <cell r="P87">
            <v>11.98</v>
          </cell>
          <cell r="S87">
            <v>17.869999999999997</v>
          </cell>
          <cell r="U87">
            <v>1959</v>
          </cell>
          <cell r="V87">
            <v>50.37</v>
          </cell>
          <cell r="X87">
            <v>2.9978161604129445</v>
          </cell>
          <cell r="Y87">
            <v>8.2985904308119913</v>
          </cell>
          <cell r="Z87">
            <v>10.18463371054199</v>
          </cell>
          <cell r="AA87">
            <v>18.383958705578717</v>
          </cell>
          <cell r="AK87">
            <v>23.783998411753029</v>
          </cell>
          <cell r="AN87">
            <v>45.006948580504272</v>
          </cell>
        </row>
        <row r="88">
          <cell r="A88">
            <v>1960</v>
          </cell>
          <cell r="C88">
            <v>1.79</v>
          </cell>
          <cell r="D88">
            <v>3.55</v>
          </cell>
          <cell r="E88">
            <v>7.3</v>
          </cell>
          <cell r="P88">
            <v>7.73</v>
          </cell>
          <cell r="S88">
            <v>4.83</v>
          </cell>
          <cell r="U88">
            <v>1960</v>
          </cell>
          <cell r="V88">
            <v>35.19</v>
          </cell>
          <cell r="X88">
            <v>5.0866723500994606</v>
          </cell>
          <cell r="Y88">
            <v>10.088093208297812</v>
          </cell>
          <cell r="Z88">
            <v>20.744529695936347</v>
          </cell>
          <cell r="AA88">
            <v>27.621483375959055</v>
          </cell>
          <cell r="AK88">
            <v>21.966467746518902</v>
          </cell>
          <cell r="AN88">
            <v>22.961068485365161</v>
          </cell>
        </row>
        <row r="89">
          <cell r="A89">
            <v>1961</v>
          </cell>
          <cell r="C89">
            <v>1.46</v>
          </cell>
          <cell r="D89">
            <v>4.74</v>
          </cell>
          <cell r="E89">
            <v>5.42</v>
          </cell>
          <cell r="P89">
            <v>14.48</v>
          </cell>
          <cell r="S89">
            <v>0</v>
          </cell>
          <cell r="U89">
            <v>1961</v>
          </cell>
          <cell r="V89">
            <v>39.159999999999997</v>
          </cell>
          <cell r="X89">
            <v>3.7282941777323804</v>
          </cell>
          <cell r="Y89">
            <v>12.104187946884577</v>
          </cell>
          <cell r="Z89">
            <v>13.840653728294178</v>
          </cell>
          <cell r="AA89">
            <v>32.737487231869004</v>
          </cell>
          <cell r="AK89">
            <v>36.976506639427988</v>
          </cell>
          <cell r="AN89">
            <v>4.8518896833503575</v>
          </cell>
        </row>
        <row r="90">
          <cell r="A90">
            <v>1962</v>
          </cell>
          <cell r="C90">
            <v>1.41</v>
          </cell>
          <cell r="D90">
            <v>2.91</v>
          </cell>
          <cell r="E90">
            <v>6.6</v>
          </cell>
          <cell r="P90">
            <v>13.870000000000001</v>
          </cell>
          <cell r="S90">
            <v>5.67</v>
          </cell>
          <cell r="U90">
            <v>1962</v>
          </cell>
          <cell r="V90">
            <v>42.1</v>
          </cell>
          <cell r="X90">
            <v>3.3491686460807601</v>
          </cell>
          <cell r="Y90">
            <v>6.9121140142517818</v>
          </cell>
          <cell r="Z90">
            <v>15.676959619952493</v>
          </cell>
          <cell r="AA90">
            <v>26.935866983372918</v>
          </cell>
          <cell r="AK90">
            <v>32.945368171021371</v>
          </cell>
          <cell r="AN90">
            <v>22.280285035629451</v>
          </cell>
        </row>
        <row r="91">
          <cell r="A91">
            <v>1963</v>
          </cell>
          <cell r="C91">
            <v>1.76</v>
          </cell>
          <cell r="D91">
            <v>2.59</v>
          </cell>
          <cell r="E91">
            <v>5.29</v>
          </cell>
          <cell r="P91">
            <v>13.399999999999999</v>
          </cell>
          <cell r="S91">
            <v>0</v>
          </cell>
          <cell r="U91">
            <v>1963</v>
          </cell>
          <cell r="V91">
            <v>32.56</v>
          </cell>
          <cell r="X91">
            <v>5.4054054054054053</v>
          </cell>
          <cell r="Y91">
            <v>7.9545454545454533</v>
          </cell>
          <cell r="Z91">
            <v>16.246928746928745</v>
          </cell>
          <cell r="AA91">
            <v>28.439803439803406</v>
          </cell>
          <cell r="AK91">
            <v>41.154791154791148</v>
          </cell>
          <cell r="AN91">
            <v>14.926289926289925</v>
          </cell>
        </row>
        <row r="92">
          <cell r="A92">
            <v>1964</v>
          </cell>
          <cell r="C92">
            <v>1.51</v>
          </cell>
          <cell r="D92">
            <v>3.4</v>
          </cell>
          <cell r="E92">
            <v>6.4599999999999902</v>
          </cell>
          <cell r="P92">
            <v>13.27</v>
          </cell>
          <cell r="S92">
            <v>0</v>
          </cell>
          <cell r="U92">
            <v>1964</v>
          </cell>
          <cell r="V92">
            <v>35.69</v>
          </cell>
          <cell r="X92">
            <v>4.2308769963575239</v>
          </cell>
          <cell r="Y92">
            <v>9.5264780050434297</v>
          </cell>
          <cell r="Z92">
            <v>18.10030820958249</v>
          </cell>
          <cell r="AA92">
            <v>30.316615298402638</v>
          </cell>
          <cell r="AK92">
            <v>37.181283272625393</v>
          </cell>
          <cell r="AN92">
            <v>10.647240123283833</v>
          </cell>
        </row>
        <row r="93">
          <cell r="A93">
            <v>1965</v>
          </cell>
          <cell r="C93">
            <v>1.39</v>
          </cell>
          <cell r="D93">
            <v>2.9099999999999899</v>
          </cell>
          <cell r="E93">
            <v>6.09</v>
          </cell>
          <cell r="P93">
            <v>4.08</v>
          </cell>
          <cell r="S93">
            <v>4.0399999999999903</v>
          </cell>
          <cell r="U93">
            <v>1965</v>
          </cell>
          <cell r="V93">
            <v>30.05</v>
          </cell>
          <cell r="X93">
            <v>4.6256239600665552</v>
          </cell>
          <cell r="Y93">
            <v>9.683860232945058</v>
          </cell>
          <cell r="Z93">
            <v>20.266222961730449</v>
          </cell>
          <cell r="AA93">
            <v>37.603993344425625</v>
          </cell>
          <cell r="AK93">
            <v>13.57737104825291</v>
          </cell>
          <cell r="AN93">
            <v>19.434276206322764</v>
          </cell>
        </row>
        <row r="94">
          <cell r="A94">
            <v>1966</v>
          </cell>
          <cell r="C94">
            <v>1.67</v>
          </cell>
          <cell r="D94">
            <v>2.81</v>
          </cell>
          <cell r="E94">
            <v>9.68</v>
          </cell>
          <cell r="P94">
            <v>10.29</v>
          </cell>
          <cell r="S94">
            <v>2.39</v>
          </cell>
          <cell r="U94">
            <v>1966</v>
          </cell>
          <cell r="V94">
            <v>38.049999999999997</v>
          </cell>
          <cell r="X94">
            <v>4.3889618922470435</v>
          </cell>
          <cell r="Y94">
            <v>7.3850197109067022</v>
          </cell>
          <cell r="Z94">
            <v>25.440210249671484</v>
          </cell>
          <cell r="AA94">
            <v>28.804204993429437</v>
          </cell>
          <cell r="AK94">
            <v>27.043363994743764</v>
          </cell>
          <cell r="AN94">
            <v>14.954007884362682</v>
          </cell>
        </row>
        <row r="95">
          <cell r="A95">
            <v>1967</v>
          </cell>
          <cell r="C95">
            <v>2.09</v>
          </cell>
          <cell r="D95">
            <v>4.76</v>
          </cell>
          <cell r="E95">
            <v>5.65</v>
          </cell>
          <cell r="P95">
            <v>9.0599999999999987</v>
          </cell>
          <cell r="S95">
            <v>9.14</v>
          </cell>
          <cell r="U95">
            <v>1967</v>
          </cell>
          <cell r="V95">
            <v>42.17</v>
          </cell>
          <cell r="X95">
            <v>4.9561299502015643</v>
          </cell>
          <cell r="Y95">
            <v>11.287645245435142</v>
          </cell>
          <cell r="Z95">
            <v>13.398150343846337</v>
          </cell>
          <cell r="AA95">
            <v>26.725160066397912</v>
          </cell>
          <cell r="AK95">
            <v>21.48446763101731</v>
          </cell>
          <cell r="AN95">
            <v>34.550628408821439</v>
          </cell>
        </row>
        <row r="96">
          <cell r="A96">
            <v>1968</v>
          </cell>
          <cell r="C96">
            <v>1.45</v>
          </cell>
          <cell r="D96">
            <v>2.4900000000000002</v>
          </cell>
          <cell r="E96">
            <v>6.54</v>
          </cell>
          <cell r="P96">
            <v>5.82</v>
          </cell>
          <cell r="S96">
            <v>5.8599999999999994</v>
          </cell>
          <cell r="U96">
            <v>1968</v>
          </cell>
          <cell r="V96">
            <v>33.75</v>
          </cell>
          <cell r="X96">
            <v>4.2962962962962958</v>
          </cell>
          <cell r="Y96">
            <v>7.3777777777777791</v>
          </cell>
          <cell r="Z96">
            <v>19.377777777777776</v>
          </cell>
          <cell r="AA96">
            <v>33.688888888888883</v>
          </cell>
          <cell r="AK96">
            <v>17.244444444444447</v>
          </cell>
          <cell r="AN96">
            <v>11.733333333333333</v>
          </cell>
        </row>
        <row r="97">
          <cell r="A97">
            <v>1969</v>
          </cell>
          <cell r="C97">
            <v>0.95</v>
          </cell>
          <cell r="D97">
            <v>3.76</v>
          </cell>
          <cell r="E97">
            <v>7.7699999999999898</v>
          </cell>
          <cell r="P97">
            <v>12.52999999999999</v>
          </cell>
          <cell r="S97">
            <v>6.62</v>
          </cell>
          <cell r="U97">
            <v>1969</v>
          </cell>
          <cell r="V97">
            <v>43.96</v>
          </cell>
          <cell r="X97">
            <v>2.1610555050045495</v>
          </cell>
          <cell r="Y97">
            <v>8.5532302092811641</v>
          </cell>
          <cell r="Z97">
            <v>17.675159235668765</v>
          </cell>
          <cell r="AA97">
            <v>27.456778889899908</v>
          </cell>
          <cell r="AK97">
            <v>28.503184713375774</v>
          </cell>
          <cell r="AN97">
            <v>23.157415832575047</v>
          </cell>
        </row>
        <row r="98">
          <cell r="A98">
            <v>1970</v>
          </cell>
          <cell r="C98">
            <v>1.47</v>
          </cell>
          <cell r="D98">
            <v>2.82</v>
          </cell>
          <cell r="E98">
            <v>10.43</v>
          </cell>
          <cell r="P98">
            <v>6.7299999999999995</v>
          </cell>
          <cell r="S98">
            <v>0</v>
          </cell>
          <cell r="U98">
            <v>1970</v>
          </cell>
          <cell r="V98">
            <v>35.47</v>
          </cell>
          <cell r="X98">
            <v>4.1443473357767129</v>
          </cell>
          <cell r="Y98">
            <v>7.9503806033267548</v>
          </cell>
          <cell r="Z98">
            <v>29.405131096701435</v>
          </cell>
          <cell r="AA98">
            <v>38.82153932901015</v>
          </cell>
          <cell r="AK98">
            <v>18.973780659712432</v>
          </cell>
          <cell r="AN98">
            <v>5.0747110234000568</v>
          </cell>
        </row>
        <row r="99">
          <cell r="A99">
            <v>1971</v>
          </cell>
          <cell r="C99">
            <v>1.68</v>
          </cell>
          <cell r="D99">
            <v>4.55</v>
          </cell>
          <cell r="E99">
            <v>2.57</v>
          </cell>
          <cell r="P99">
            <v>13.86</v>
          </cell>
          <cell r="S99">
            <v>12.95999999999999</v>
          </cell>
          <cell r="U99">
            <v>1971</v>
          </cell>
          <cell r="V99">
            <v>43.92</v>
          </cell>
          <cell r="X99">
            <v>3.8251366120218573</v>
          </cell>
          <cell r="Y99">
            <v>10.35974499089253</v>
          </cell>
          <cell r="Z99">
            <v>5.8515482695810555</v>
          </cell>
          <cell r="AA99">
            <v>18.214936247723131</v>
          </cell>
          <cell r="AK99">
            <v>31.557377049180324</v>
          </cell>
          <cell r="AN99">
            <v>31.079234972677572</v>
          </cell>
        </row>
        <row r="100">
          <cell r="A100">
            <v>1972</v>
          </cell>
          <cell r="C100">
            <v>1.85</v>
          </cell>
          <cell r="D100">
            <v>3.77</v>
          </cell>
          <cell r="E100">
            <v>4.38</v>
          </cell>
          <cell r="P100">
            <v>18.6799999999999</v>
          </cell>
          <cell r="S100">
            <v>2.15</v>
          </cell>
          <cell r="U100">
            <v>1972</v>
          </cell>
          <cell r="V100">
            <v>51.68</v>
          </cell>
          <cell r="X100">
            <v>3.5797213622291024</v>
          </cell>
          <cell r="Y100">
            <v>7.2948916408668723</v>
          </cell>
          <cell r="Z100">
            <v>8.4752321981424146</v>
          </cell>
          <cell r="AA100">
            <v>39.899380804953374</v>
          </cell>
          <cell r="AK100">
            <v>36.145510835913122</v>
          </cell>
          <cell r="AN100">
            <v>14.512383900928791</v>
          </cell>
        </row>
        <row r="101">
          <cell r="A101">
            <v>1973</v>
          </cell>
          <cell r="C101">
            <v>1.33</v>
          </cell>
          <cell r="D101">
            <v>3.85</v>
          </cell>
          <cell r="E101">
            <v>9</v>
          </cell>
          <cell r="P101">
            <v>8.41</v>
          </cell>
          <cell r="S101">
            <v>5.1400000000000006</v>
          </cell>
          <cell r="U101">
            <v>1973</v>
          </cell>
          <cell r="V101">
            <v>38.75</v>
          </cell>
          <cell r="X101">
            <v>3.4322580645161289</v>
          </cell>
          <cell r="Y101">
            <v>9.935483870967742</v>
          </cell>
          <cell r="Z101">
            <v>23.225806451612904</v>
          </cell>
          <cell r="AA101">
            <v>27.845161290322579</v>
          </cell>
          <cell r="AK101">
            <v>21.703225806451613</v>
          </cell>
          <cell r="AN101">
            <v>23.045161290322582</v>
          </cell>
        </row>
        <row r="102">
          <cell r="A102">
            <v>1974</v>
          </cell>
          <cell r="C102">
            <v>1.62</v>
          </cell>
          <cell r="D102">
            <v>5.4899999999999904</v>
          </cell>
          <cell r="E102">
            <v>5.35</v>
          </cell>
          <cell r="P102">
            <v>10.61999999999999</v>
          </cell>
          <cell r="S102">
            <v>2.13</v>
          </cell>
          <cell r="U102">
            <v>1974</v>
          </cell>
          <cell r="V102">
            <v>33</v>
          </cell>
          <cell r="X102">
            <v>4.9090909090909092</v>
          </cell>
          <cell r="Y102">
            <v>16.636363636363608</v>
          </cell>
          <cell r="Z102">
            <v>16.212121212121211</v>
          </cell>
          <cell r="AA102">
            <v>22.515151515151512</v>
          </cell>
          <cell r="AK102">
            <v>32.181818181818151</v>
          </cell>
          <cell r="AN102">
            <v>16.454545454545453</v>
          </cell>
        </row>
        <row r="103">
          <cell r="A103">
            <v>1975</v>
          </cell>
          <cell r="C103">
            <v>2.0699999999999998</v>
          </cell>
          <cell r="D103">
            <v>3.61</v>
          </cell>
          <cell r="E103">
            <v>8.43</v>
          </cell>
          <cell r="P103">
            <v>9.76999999999998</v>
          </cell>
          <cell r="S103">
            <v>0</v>
          </cell>
          <cell r="U103">
            <v>1975</v>
          </cell>
          <cell r="V103">
            <v>39.89</v>
          </cell>
          <cell r="X103">
            <v>5.1892704938581096</v>
          </cell>
          <cell r="Y103">
            <v>9.0498871897718729</v>
          </cell>
          <cell r="Z103">
            <v>21.133116069190272</v>
          </cell>
          <cell r="AA103">
            <v>39.508648784156428</v>
          </cell>
          <cell r="AK103">
            <v>24.492353973426873</v>
          </cell>
          <cell r="AN103">
            <v>8.4983705189270253</v>
          </cell>
        </row>
        <row r="104">
          <cell r="A104">
            <v>1976</v>
          </cell>
          <cell r="C104">
            <v>1.24</v>
          </cell>
          <cell r="D104">
            <v>4.1399999999999997</v>
          </cell>
          <cell r="E104">
            <v>7.75999999999999</v>
          </cell>
          <cell r="P104">
            <v>5.46</v>
          </cell>
          <cell r="S104">
            <v>2.99</v>
          </cell>
          <cell r="U104">
            <v>1976</v>
          </cell>
          <cell r="V104">
            <v>30.29</v>
          </cell>
          <cell r="X104">
            <v>4.0937603169362822</v>
          </cell>
          <cell r="Y104">
            <v>13.667877187190491</v>
          </cell>
          <cell r="Z104">
            <v>25.619016176956062</v>
          </cell>
          <cell r="AA104">
            <v>28.062066688676129</v>
          </cell>
          <cell r="AK104">
            <v>18.025751072961373</v>
          </cell>
          <cell r="AN104">
            <v>15.417629580719712</v>
          </cell>
        </row>
        <row r="105">
          <cell r="A105">
            <v>1977</v>
          </cell>
          <cell r="C105">
            <v>2.2000000000000002</v>
          </cell>
          <cell r="D105">
            <v>3.74</v>
          </cell>
          <cell r="E105">
            <v>7.5399999999999903</v>
          </cell>
          <cell r="P105">
            <v>8.2099999999999902</v>
          </cell>
          <cell r="S105">
            <v>3.66</v>
          </cell>
          <cell r="U105">
            <v>1977</v>
          </cell>
          <cell r="V105">
            <v>34.47</v>
          </cell>
          <cell r="X105">
            <v>6.3823614737452861</v>
          </cell>
          <cell r="Y105">
            <v>10.850014505366987</v>
          </cell>
          <cell r="Z105">
            <v>21.874093414563362</v>
          </cell>
          <cell r="AA105">
            <v>26.138671308384104</v>
          </cell>
          <cell r="AK105">
            <v>23.817812590658516</v>
          </cell>
          <cell r="AN105">
            <v>0</v>
          </cell>
        </row>
        <row r="106">
          <cell r="A106">
            <v>1978</v>
          </cell>
          <cell r="C106">
            <v>1.95</v>
          </cell>
          <cell r="D106">
            <v>4.24</v>
          </cell>
          <cell r="E106">
            <v>5.42</v>
          </cell>
          <cell r="P106">
            <v>6.67</v>
          </cell>
          <cell r="S106">
            <v>5.57</v>
          </cell>
          <cell r="U106">
            <v>1978</v>
          </cell>
          <cell r="V106">
            <v>36.78</v>
          </cell>
          <cell r="X106">
            <v>5.3017944535073402</v>
          </cell>
          <cell r="Y106">
            <v>11.52800435019032</v>
          </cell>
          <cell r="Z106">
            <v>14.73626971179989</v>
          </cell>
          <cell r="AA106">
            <v>34.719956498096785</v>
          </cell>
          <cell r="AK106">
            <v>18.13485589994562</v>
          </cell>
          <cell r="AN106">
            <v>15.633496465470365</v>
          </cell>
        </row>
        <row r="107">
          <cell r="A107">
            <v>1979</v>
          </cell>
          <cell r="C107">
            <v>2.38</v>
          </cell>
          <cell r="D107">
            <v>3.05</v>
          </cell>
          <cell r="E107">
            <v>6.17</v>
          </cell>
          <cell r="P107">
            <v>14.909999999999901</v>
          </cell>
          <cell r="S107">
            <v>5.27</v>
          </cell>
          <cell r="U107">
            <v>1979</v>
          </cell>
          <cell r="V107">
            <v>46.45</v>
          </cell>
          <cell r="X107">
            <v>5.1237890204520982</v>
          </cell>
          <cell r="Y107">
            <v>6.5662002152852521</v>
          </cell>
          <cell r="Z107">
            <v>13.283100107642626</v>
          </cell>
          <cell r="AA107">
            <v>31.044133476856832</v>
          </cell>
          <cell r="AK107">
            <v>32.09903121636146</v>
          </cell>
          <cell r="AN107">
            <v>18.363832077502689</v>
          </cell>
        </row>
        <row r="108">
          <cell r="A108">
            <v>1980</v>
          </cell>
          <cell r="C108">
            <v>1.54</v>
          </cell>
          <cell r="D108">
            <v>4.8099999999999996</v>
          </cell>
          <cell r="E108">
            <v>5.93</v>
          </cell>
          <cell r="P108">
            <v>6.27</v>
          </cell>
          <cell r="S108">
            <v>0</v>
          </cell>
          <cell r="U108">
            <v>1980</v>
          </cell>
          <cell r="V108">
            <v>32.340000000000003</v>
          </cell>
          <cell r="X108">
            <v>4.7619047619047619</v>
          </cell>
          <cell r="Y108">
            <v>14.873222016079158</v>
          </cell>
          <cell r="Z108">
            <v>18.336425479282621</v>
          </cell>
          <cell r="AA108">
            <v>41.960420531849103</v>
          </cell>
          <cell r="AK108">
            <v>19.387755102040813</v>
          </cell>
          <cell r="AN108">
            <v>5.4730983302411866</v>
          </cell>
        </row>
        <row r="109">
          <cell r="A109">
            <v>1981</v>
          </cell>
          <cell r="C109">
            <v>1.63</v>
          </cell>
          <cell r="D109">
            <v>3.86</v>
          </cell>
          <cell r="E109">
            <v>4.47</v>
          </cell>
          <cell r="P109">
            <v>6.4799999999999898</v>
          </cell>
          <cell r="S109">
            <v>0</v>
          </cell>
          <cell r="U109">
            <v>1981</v>
          </cell>
          <cell r="V109">
            <v>30.52</v>
          </cell>
          <cell r="X109">
            <v>5.3407601572739178</v>
          </cell>
          <cell r="Y109">
            <v>12.647444298820446</v>
          </cell>
          <cell r="Z109">
            <v>14.64613368283093</v>
          </cell>
          <cell r="AA109">
            <v>45.543905635648755</v>
          </cell>
          <cell r="AK109">
            <v>21.231979030144135</v>
          </cell>
          <cell r="AN109">
            <v>0</v>
          </cell>
        </row>
        <row r="110">
          <cell r="A110">
            <v>1982</v>
          </cell>
          <cell r="C110">
            <v>1.3</v>
          </cell>
          <cell r="D110">
            <v>2.25</v>
          </cell>
          <cell r="E110">
            <v>9.3899999999999899</v>
          </cell>
          <cell r="P110">
            <v>7.42</v>
          </cell>
          <cell r="S110">
            <v>0</v>
          </cell>
          <cell r="U110">
            <v>1982</v>
          </cell>
          <cell r="V110">
            <v>32</v>
          </cell>
          <cell r="X110">
            <v>4.0625</v>
          </cell>
          <cell r="Y110">
            <v>7.03125</v>
          </cell>
          <cell r="Z110">
            <v>29.343749999999968</v>
          </cell>
          <cell r="AA110">
            <v>35.343749999999687</v>
          </cell>
          <cell r="AK110">
            <v>23.1875</v>
          </cell>
          <cell r="AN110">
            <v>0</v>
          </cell>
        </row>
        <row r="111">
          <cell r="A111">
            <v>1983</v>
          </cell>
          <cell r="C111">
            <v>1.17</v>
          </cell>
          <cell r="D111">
            <v>4.25999999999999</v>
          </cell>
          <cell r="E111">
            <v>6.6</v>
          </cell>
          <cell r="P111">
            <v>10.039999999999999</v>
          </cell>
          <cell r="S111">
            <v>2.42</v>
          </cell>
          <cell r="U111">
            <v>1983</v>
          </cell>
          <cell r="V111">
            <v>40.630000000000003</v>
          </cell>
          <cell r="X111">
            <v>2.8796455820822047</v>
          </cell>
          <cell r="Y111">
            <v>10.484863401427491</v>
          </cell>
          <cell r="Z111">
            <v>16.244154565591927</v>
          </cell>
          <cell r="AA111">
            <v>39.182869800639921</v>
          </cell>
          <cell r="AK111">
            <v>24.710804824021658</v>
          </cell>
          <cell r="AN111">
            <v>9.7218803839527439</v>
          </cell>
        </row>
        <row r="112">
          <cell r="A112">
            <v>1984</v>
          </cell>
          <cell r="C112">
            <v>1.39</v>
          </cell>
          <cell r="D112">
            <v>3.79</v>
          </cell>
          <cell r="E112">
            <v>9.82</v>
          </cell>
          <cell r="P112">
            <v>2.94</v>
          </cell>
          <cell r="S112">
            <v>8.66</v>
          </cell>
          <cell r="U112">
            <v>1984</v>
          </cell>
          <cell r="V112">
            <v>37.799999999999997</v>
          </cell>
          <cell r="X112">
            <v>3.6772486772486777</v>
          </cell>
          <cell r="Y112">
            <v>10.026455026455029</v>
          </cell>
          <cell r="Z112">
            <v>25.978835978835978</v>
          </cell>
          <cell r="AA112">
            <v>29.021164021164026</v>
          </cell>
          <cell r="AK112">
            <v>7.7777777777777786</v>
          </cell>
          <cell r="AN112">
            <v>27.354497354497354</v>
          </cell>
        </row>
        <row r="113">
          <cell r="A113">
            <v>1985</v>
          </cell>
          <cell r="C113">
            <v>1.67</v>
          </cell>
          <cell r="D113">
            <v>4.0599999999999996</v>
          </cell>
          <cell r="E113">
            <v>5.41</v>
          </cell>
          <cell r="P113">
            <v>6.3199999999999896</v>
          </cell>
          <cell r="S113">
            <v>0</v>
          </cell>
          <cell r="U113">
            <v>1985</v>
          </cell>
          <cell r="V113">
            <v>27.54</v>
          </cell>
          <cell r="X113">
            <v>6.0639070442992011</v>
          </cell>
          <cell r="Y113">
            <v>14.74219317356572</v>
          </cell>
          <cell r="Z113">
            <v>19.64415395787945</v>
          </cell>
          <cell r="AA113">
            <v>35.802469135802468</v>
          </cell>
          <cell r="AK113">
            <v>22.94843863471311</v>
          </cell>
          <cell r="AN113">
            <v>0</v>
          </cell>
        </row>
        <row r="114">
          <cell r="A114">
            <v>1986</v>
          </cell>
          <cell r="C114">
            <v>1.03</v>
          </cell>
          <cell r="D114">
            <v>4.5</v>
          </cell>
          <cell r="E114">
            <v>4.8499999999999996</v>
          </cell>
          <cell r="P114">
            <v>12.249999999999989</v>
          </cell>
          <cell r="S114">
            <v>0</v>
          </cell>
          <cell r="U114">
            <v>1986</v>
          </cell>
          <cell r="V114">
            <v>32.57</v>
          </cell>
          <cell r="X114">
            <v>3.1624194043598406</v>
          </cell>
          <cell r="Y114">
            <v>13.81639545594105</v>
          </cell>
          <cell r="Z114">
            <v>14.891003991403132</v>
          </cell>
          <cell r="AA114">
            <v>29.382867669634631</v>
          </cell>
          <cell r="AK114">
            <v>37.611298741172831</v>
          </cell>
          <cell r="AN114">
            <v>11.053116364752809</v>
          </cell>
        </row>
        <row r="115">
          <cell r="A115">
            <v>1987</v>
          </cell>
          <cell r="C115">
            <v>1.26</v>
          </cell>
          <cell r="D115">
            <v>2.66</v>
          </cell>
          <cell r="E115">
            <v>7.05</v>
          </cell>
          <cell r="P115">
            <v>18.91</v>
          </cell>
          <cell r="S115">
            <v>2.27</v>
          </cell>
          <cell r="U115">
            <v>1987</v>
          </cell>
          <cell r="V115">
            <v>41.78</v>
          </cell>
          <cell r="X115">
            <v>3.0157970320727623</v>
          </cell>
          <cell r="Y115">
            <v>6.3666826232647207</v>
          </cell>
          <cell r="Z115">
            <v>16.874102441359501</v>
          </cell>
          <cell r="AA115">
            <v>22.618477740545714</v>
          </cell>
          <cell r="AK115">
            <v>45.260890378171368</v>
          </cell>
          <cell r="AN115">
            <v>17.616084250837719</v>
          </cell>
        </row>
        <row r="116">
          <cell r="A116">
            <v>1988</v>
          </cell>
          <cell r="C116">
            <v>1.23</v>
          </cell>
          <cell r="D116">
            <v>2.92</v>
          </cell>
          <cell r="E116">
            <v>3.93</v>
          </cell>
          <cell r="P116">
            <v>8.27</v>
          </cell>
          <cell r="S116">
            <v>0</v>
          </cell>
          <cell r="U116">
            <v>1988</v>
          </cell>
          <cell r="V116">
            <v>24.91</v>
          </cell>
          <cell r="X116">
            <v>4.937775993576877</v>
          </cell>
          <cell r="Y116">
            <v>11.722199919710958</v>
          </cell>
          <cell r="Z116">
            <v>15.776796467282217</v>
          </cell>
          <cell r="AA116">
            <v>33.400240867121596</v>
          </cell>
          <cell r="AK116">
            <v>33.199518265756723</v>
          </cell>
          <cell r="AN116">
            <v>0</v>
          </cell>
        </row>
        <row r="117">
          <cell r="A117">
            <v>1989</v>
          </cell>
          <cell r="C117">
            <v>0.33</v>
          </cell>
          <cell r="D117">
            <v>1.1499999999999999</v>
          </cell>
          <cell r="E117">
            <v>0.9</v>
          </cell>
          <cell r="P117">
            <v>4.6599999999999895</v>
          </cell>
          <cell r="S117">
            <v>5.87</v>
          </cell>
          <cell r="U117">
            <v>1989</v>
          </cell>
          <cell r="V117">
            <v>19.25</v>
          </cell>
          <cell r="X117">
            <v>1.7142857142857144</v>
          </cell>
          <cell r="Y117">
            <v>5.9740259740259729</v>
          </cell>
          <cell r="Z117">
            <v>4.6753246753246751</v>
          </cell>
          <cell r="AA117">
            <v>32.259740259740212</v>
          </cell>
          <cell r="AK117">
            <v>24.207792207792153</v>
          </cell>
          <cell r="AN117">
            <v>29.610389610389561</v>
          </cell>
        </row>
        <row r="118">
          <cell r="A118">
            <v>1990</v>
          </cell>
          <cell r="C118">
            <v>1.1000000000000001</v>
          </cell>
          <cell r="D118">
            <v>4.83</v>
          </cell>
          <cell r="E118">
            <v>7.61</v>
          </cell>
          <cell r="P118">
            <v>5.3000000000000007</v>
          </cell>
          <cell r="S118">
            <v>2.39</v>
          </cell>
          <cell r="U118">
            <v>1990</v>
          </cell>
          <cell r="V118">
            <v>35.340000000000003</v>
          </cell>
          <cell r="X118">
            <v>3.11262026032824</v>
          </cell>
          <cell r="Y118">
            <v>13.667232597623089</v>
          </cell>
          <cell r="Z118">
            <v>21.533672891907184</v>
          </cell>
          <cell r="AA118">
            <v>39.247311827956985</v>
          </cell>
          <cell r="AK118">
            <v>14.997170345217882</v>
          </cell>
          <cell r="AN118">
            <v>15.930956423316353</v>
          </cell>
        </row>
        <row r="119">
          <cell r="A119">
            <v>1991</v>
          </cell>
          <cell r="C119">
            <v>1.47</v>
          </cell>
          <cell r="D119">
            <v>3.23</v>
          </cell>
          <cell r="E119">
            <v>6.28</v>
          </cell>
          <cell r="P119">
            <v>8.3099999999999987</v>
          </cell>
          <cell r="S119">
            <v>4.97</v>
          </cell>
          <cell r="U119">
            <v>1991</v>
          </cell>
          <cell r="V119">
            <v>37.31</v>
          </cell>
          <cell r="X119">
            <v>3.9399624765478416</v>
          </cell>
          <cell r="Y119">
            <v>8.657196462074511</v>
          </cell>
          <cell r="Z119">
            <v>16.831948539265611</v>
          </cell>
          <cell r="AA119">
            <v>34.521575984990349</v>
          </cell>
          <cell r="AK119">
            <v>22.272849102117391</v>
          </cell>
          <cell r="AN119">
            <v>21.924417046368262</v>
          </cell>
        </row>
        <row r="120">
          <cell r="A120">
            <v>1992</v>
          </cell>
          <cell r="C120">
            <v>1.7</v>
          </cell>
          <cell r="D120">
            <v>4.43</v>
          </cell>
          <cell r="E120">
            <v>6.68</v>
          </cell>
          <cell r="P120">
            <v>11.829999999999989</v>
          </cell>
          <cell r="S120">
            <v>2.06</v>
          </cell>
          <cell r="U120">
            <v>1992</v>
          </cell>
          <cell r="V120">
            <v>37.49</v>
          </cell>
          <cell r="X120">
            <v>4.5345425446785805</v>
          </cell>
          <cell r="Y120">
            <v>11.816484395838888</v>
          </cell>
          <cell r="Z120">
            <v>17.818084822619362</v>
          </cell>
          <cell r="AA120">
            <v>27.874099759935977</v>
          </cell>
          <cell r="AK120">
            <v>31.555081355027976</v>
          </cell>
          <cell r="AN120">
            <v>19.765270738863695</v>
          </cell>
        </row>
        <row r="121">
          <cell r="A121">
            <v>1993</v>
          </cell>
          <cell r="C121">
            <v>1.54</v>
          </cell>
          <cell r="D121">
            <v>3.69</v>
          </cell>
          <cell r="E121">
            <v>6.1899999999999897</v>
          </cell>
          <cell r="P121">
            <v>7.3</v>
          </cell>
          <cell r="S121">
            <v>6.58</v>
          </cell>
          <cell r="U121">
            <v>1993</v>
          </cell>
          <cell r="V121">
            <v>36.68</v>
          </cell>
          <cell r="X121">
            <v>4.1984732824427482</v>
          </cell>
          <cell r="Y121">
            <v>10.059978189749181</v>
          </cell>
          <cell r="Z121">
            <v>16.875681570338031</v>
          </cell>
          <cell r="AA121">
            <v>30.234460196292257</v>
          </cell>
          <cell r="AK121">
            <v>19.901853871319521</v>
          </cell>
          <cell r="AN121">
            <v>0</v>
          </cell>
        </row>
        <row r="122">
          <cell r="A122">
            <v>1994</v>
          </cell>
          <cell r="C122">
            <v>1.28</v>
          </cell>
          <cell r="D122">
            <v>4.67</v>
          </cell>
          <cell r="E122">
            <v>7.45</v>
          </cell>
          <cell r="P122">
            <v>17.739999999999998</v>
          </cell>
          <cell r="S122">
            <v>0</v>
          </cell>
          <cell r="U122">
            <v>1994</v>
          </cell>
          <cell r="V122">
            <v>39.44</v>
          </cell>
          <cell r="X122">
            <v>3.2454361054766734</v>
          </cell>
          <cell r="Y122">
            <v>11.840770791075052</v>
          </cell>
          <cell r="Z122">
            <v>18.889452332657203</v>
          </cell>
          <cell r="AA122">
            <v>20.486815415821503</v>
          </cell>
          <cell r="AK122">
            <v>44.97971602434076</v>
          </cell>
          <cell r="AN122">
            <v>4.2089249492900613</v>
          </cell>
        </row>
        <row r="123">
          <cell r="A123">
            <v>1995</v>
          </cell>
          <cell r="C123">
            <v>1.0499999999999901</v>
          </cell>
          <cell r="D123">
            <v>2.74</v>
          </cell>
          <cell r="E123">
            <v>7.43</v>
          </cell>
          <cell r="P123">
            <v>6.71</v>
          </cell>
          <cell r="S123">
            <v>4.51</v>
          </cell>
          <cell r="U123">
            <v>1995</v>
          </cell>
          <cell r="V123">
            <v>36.06</v>
          </cell>
          <cell r="X123">
            <v>2.9118136439267608</v>
          </cell>
          <cell r="Y123">
            <v>7.5984470327232394</v>
          </cell>
          <cell r="Z123">
            <v>20.604547975596226</v>
          </cell>
          <cell r="AA123">
            <v>37.104825291181363</v>
          </cell>
          <cell r="AK123">
            <v>18.607875762617859</v>
          </cell>
          <cell r="AN123">
            <v>21.381031613976706</v>
          </cell>
        </row>
        <row r="124">
          <cell r="A124">
            <v>1996</v>
          </cell>
          <cell r="C124">
            <v>1.42</v>
          </cell>
          <cell r="D124">
            <v>4.2799999999999896</v>
          </cell>
          <cell r="E124">
            <v>9.44</v>
          </cell>
          <cell r="P124">
            <v>8.6199999999999992</v>
          </cell>
          <cell r="S124">
            <v>9.6</v>
          </cell>
          <cell r="U124">
            <v>1996</v>
          </cell>
          <cell r="V124">
            <v>45.93</v>
          </cell>
          <cell r="X124">
            <v>3.091661223601132</v>
          </cell>
          <cell r="Y124">
            <v>9.3185281950794465</v>
          </cell>
          <cell r="Z124">
            <v>20.553015458306117</v>
          </cell>
          <cell r="AA124">
            <v>26.779882429784458</v>
          </cell>
          <cell r="AK124">
            <v>18.767689962987152</v>
          </cell>
          <cell r="AN124">
            <v>20.901371652514698</v>
          </cell>
        </row>
        <row r="125">
          <cell r="A125">
            <v>1997</v>
          </cell>
          <cell r="C125">
            <v>1.45</v>
          </cell>
          <cell r="D125">
            <v>5.0599999999999996</v>
          </cell>
          <cell r="E125">
            <v>8.94</v>
          </cell>
          <cell r="P125">
            <v>5.9</v>
          </cell>
          <cell r="S125">
            <v>8.69</v>
          </cell>
          <cell r="U125">
            <v>1997</v>
          </cell>
          <cell r="V125">
            <v>45.12</v>
          </cell>
          <cell r="X125">
            <v>3.2136524822695036</v>
          </cell>
          <cell r="Y125">
            <v>11.214539007092199</v>
          </cell>
          <cell r="Z125">
            <v>19.813829787234042</v>
          </cell>
          <cell r="AA125">
            <v>32.890070921985597</v>
          </cell>
          <cell r="AK125">
            <v>13.076241134751772</v>
          </cell>
          <cell r="AN125">
            <v>27.593085106382979</v>
          </cell>
        </row>
        <row r="126">
          <cell r="A126">
            <v>1998</v>
          </cell>
          <cell r="C126">
            <v>1.1299999999999999</v>
          </cell>
          <cell r="D126">
            <v>2.84</v>
          </cell>
          <cell r="E126">
            <v>7.41</v>
          </cell>
          <cell r="P126">
            <v>10.92</v>
          </cell>
          <cell r="S126">
            <v>5.2200000000000006</v>
          </cell>
          <cell r="U126">
            <v>1998</v>
          </cell>
          <cell r="V126">
            <v>41.76</v>
          </cell>
          <cell r="X126">
            <v>2.7059386973180075</v>
          </cell>
          <cell r="Y126">
            <v>6.8007662835249043</v>
          </cell>
          <cell r="Z126">
            <v>17.744252873563219</v>
          </cell>
          <cell r="AA126">
            <v>33.524904214559385</v>
          </cell>
          <cell r="AK126">
            <v>26.149425287356319</v>
          </cell>
          <cell r="AN126">
            <v>12.5</v>
          </cell>
        </row>
        <row r="127">
          <cell r="A127">
            <v>1999</v>
          </cell>
          <cell r="C127">
            <v>1.54</v>
          </cell>
          <cell r="D127">
            <v>3.55</v>
          </cell>
          <cell r="E127">
            <v>5.01</v>
          </cell>
          <cell r="P127">
            <v>11.66</v>
          </cell>
          <cell r="S127">
            <v>4.16</v>
          </cell>
          <cell r="U127">
            <v>1999</v>
          </cell>
          <cell r="V127">
            <v>38.35</v>
          </cell>
          <cell r="X127">
            <v>4.0156453715775742</v>
          </cell>
          <cell r="Y127">
            <v>9.2568448500651872</v>
          </cell>
          <cell r="Z127">
            <v>13.063885267275097</v>
          </cell>
          <cell r="AA127">
            <v>32.020860495436764</v>
          </cell>
          <cell r="AK127">
            <v>30.404172099087354</v>
          </cell>
          <cell r="AN127">
            <v>15.880052151238591</v>
          </cell>
        </row>
        <row r="128">
          <cell r="A128">
            <v>2000</v>
          </cell>
          <cell r="C128">
            <v>1.1299999999999999</v>
          </cell>
          <cell r="D128">
            <v>3.19999999999999</v>
          </cell>
          <cell r="E128">
            <v>5.6899999999999897</v>
          </cell>
          <cell r="P128">
            <v>16.2</v>
          </cell>
          <cell r="S128">
            <v>12.879999999999999</v>
          </cell>
          <cell r="U128">
            <v>2000</v>
          </cell>
          <cell r="V128">
            <v>47.54</v>
          </cell>
          <cell r="X128">
            <v>2.376945729911653</v>
          </cell>
          <cell r="Y128">
            <v>6.7311737484223606</v>
          </cell>
          <cell r="Z128">
            <v>11.968868321413526</v>
          </cell>
          <cell r="AA128">
            <v>17.311737484223812</v>
          </cell>
          <cell r="AK128">
            <v>34.076567101388306</v>
          </cell>
          <cell r="AN128">
            <v>41.375683634833827</v>
          </cell>
        </row>
        <row r="129">
          <cell r="A129">
            <v>2001</v>
          </cell>
          <cell r="C129">
            <v>1.29</v>
          </cell>
          <cell r="D129">
            <v>2.6</v>
          </cell>
          <cell r="E129">
            <v>7.43</v>
          </cell>
          <cell r="P129">
            <v>4.1099999999999994</v>
          </cell>
          <cell r="S129">
            <v>3.51</v>
          </cell>
          <cell r="U129">
            <v>2001</v>
          </cell>
          <cell r="V129">
            <v>25.57</v>
          </cell>
          <cell r="X129">
            <v>5.0449745795854515</v>
          </cell>
          <cell r="Y129">
            <v>10.168165819319515</v>
          </cell>
          <cell r="Z129">
            <v>29.057489245209229</v>
          </cell>
          <cell r="AA129">
            <v>25.029331247555731</v>
          </cell>
          <cell r="AK129">
            <v>16.073523660539692</v>
          </cell>
          <cell r="AN129">
            <v>6.4528744622604606</v>
          </cell>
        </row>
        <row r="130">
          <cell r="A130">
            <v>2002</v>
          </cell>
          <cell r="C130">
            <v>1.44</v>
          </cell>
          <cell r="D130">
            <v>2.6599999999999899</v>
          </cell>
          <cell r="E130">
            <v>6.1299999999999901</v>
          </cell>
          <cell r="P130">
            <v>10.870000000000001</v>
          </cell>
          <cell r="S130">
            <v>8.870000000000001</v>
          </cell>
          <cell r="U130">
            <v>2002</v>
          </cell>
          <cell r="V130">
            <v>43.12</v>
          </cell>
          <cell r="X130">
            <v>3.339517625231911</v>
          </cell>
          <cell r="Y130">
            <v>6.1688311688311455</v>
          </cell>
          <cell r="Z130">
            <v>14.216141001855265</v>
          </cell>
          <cell r="AA130">
            <v>29.800556586270872</v>
          </cell>
          <cell r="AK130">
            <v>25.208719851576994</v>
          </cell>
          <cell r="AN130">
            <v>12.847866419294991</v>
          </cell>
        </row>
        <row r="131">
          <cell r="A131">
            <v>2003</v>
          </cell>
          <cell r="C131">
            <v>1.71</v>
          </cell>
          <cell r="D131">
            <v>3.94</v>
          </cell>
          <cell r="E131">
            <v>7.09</v>
          </cell>
          <cell r="P131">
            <v>14.620000000000001</v>
          </cell>
          <cell r="S131">
            <v>2.08</v>
          </cell>
          <cell r="U131">
            <v>2003</v>
          </cell>
          <cell r="V131">
            <v>44.49</v>
          </cell>
          <cell r="X131">
            <v>3.8435603506405931</v>
          </cell>
          <cell r="Y131">
            <v>8.855922679253764</v>
          </cell>
          <cell r="Z131">
            <v>15.936165430433805</v>
          </cell>
          <cell r="AA131">
            <v>32.951224994380532</v>
          </cell>
          <cell r="AK131">
            <v>32.861317149921327</v>
          </cell>
          <cell r="AN131">
            <v>25.938413126545292</v>
          </cell>
        </row>
        <row r="132">
          <cell r="A132">
            <v>2004</v>
          </cell>
          <cell r="C132">
            <v>1.7</v>
          </cell>
          <cell r="D132">
            <v>3.68</v>
          </cell>
          <cell r="E132">
            <v>7.22</v>
          </cell>
          <cell r="P132">
            <v>14.39</v>
          </cell>
          <cell r="S132">
            <v>5.2</v>
          </cell>
          <cell r="U132">
            <v>2004</v>
          </cell>
          <cell r="V132">
            <v>39.5</v>
          </cell>
          <cell r="X132">
            <v>4.3037974683544302</v>
          </cell>
          <cell r="Y132">
            <v>9.3164556962025316</v>
          </cell>
          <cell r="Z132">
            <v>18.278481012658226</v>
          </cell>
          <cell r="AA132">
            <v>17.645569620253163</v>
          </cell>
          <cell r="AK132">
            <v>36.430379746835442</v>
          </cell>
          <cell r="AN132">
            <v>10</v>
          </cell>
        </row>
        <row r="133">
          <cell r="A133">
            <v>2005</v>
          </cell>
          <cell r="C133">
            <v>1.6</v>
          </cell>
          <cell r="D133">
            <v>3.33</v>
          </cell>
          <cell r="E133">
            <v>2.35</v>
          </cell>
          <cell r="P133">
            <v>19.279999999999902</v>
          </cell>
          <cell r="S133">
            <v>2.16</v>
          </cell>
          <cell r="U133">
            <v>2005</v>
          </cell>
          <cell r="V133">
            <v>43.79</v>
          </cell>
          <cell r="X133">
            <v>3.653802237953871</v>
          </cell>
          <cell r="Y133">
            <v>7.6044759077414943</v>
          </cell>
          <cell r="Z133">
            <v>5.3665220369947484</v>
          </cell>
          <cell r="AA133">
            <v>33.820506965060524</v>
          </cell>
          <cell r="AK133">
            <v>44.028316967343919</v>
          </cell>
          <cell r="AN133">
            <v>17.264215574332042</v>
          </cell>
        </row>
        <row r="134">
          <cell r="A134">
            <v>2006</v>
          </cell>
          <cell r="C134">
            <v>1.33</v>
          </cell>
          <cell r="D134">
            <v>2.52</v>
          </cell>
          <cell r="E134">
            <v>5.0199999999999996</v>
          </cell>
          <cell r="P134">
            <v>20.78</v>
          </cell>
          <cell r="S134">
            <v>2.35</v>
          </cell>
          <cell r="U134">
            <v>2006</v>
          </cell>
          <cell r="V134">
            <v>41.14</v>
          </cell>
          <cell r="X134">
            <v>3.2328633932912005</v>
          </cell>
          <cell r="Y134">
            <v>6.1254253767622755</v>
          </cell>
          <cell r="Z134">
            <v>12.20223626640739</v>
          </cell>
          <cell r="AA134">
            <v>21.657754010695161</v>
          </cell>
          <cell r="AK134">
            <v>50.510452114730185</v>
          </cell>
          <cell r="AN134">
            <v>30.262518230432669</v>
          </cell>
        </row>
        <row r="135">
          <cell r="A135">
            <v>2007</v>
          </cell>
          <cell r="C135">
            <v>1.73</v>
          </cell>
          <cell r="D135">
            <v>3.69999999999999</v>
          </cell>
          <cell r="E135">
            <v>5.49</v>
          </cell>
          <cell r="P135">
            <v>13.66</v>
          </cell>
          <cell r="S135">
            <v>6.7299999999999898</v>
          </cell>
          <cell r="U135">
            <v>2007</v>
          </cell>
          <cell r="V135">
            <v>42.86</v>
          </cell>
          <cell r="X135">
            <v>4.0363975734951003</v>
          </cell>
          <cell r="Y135">
            <v>8.6327578161455669</v>
          </cell>
          <cell r="Z135">
            <v>12.809146056929539</v>
          </cell>
          <cell r="AA135">
            <v>26.458236117592161</v>
          </cell>
          <cell r="AK135">
            <v>31.871208586094262</v>
          </cell>
          <cell r="AN135">
            <v>30.65795613625756</v>
          </cell>
        </row>
        <row r="136">
          <cell r="A136">
            <v>2008</v>
          </cell>
          <cell r="C136">
            <v>1.62</v>
          </cell>
          <cell r="D136">
            <v>3</v>
          </cell>
          <cell r="E136">
            <v>6.1799999999999899</v>
          </cell>
          <cell r="P136">
            <v>15.98</v>
          </cell>
          <cell r="S136">
            <v>6.4</v>
          </cell>
          <cell r="U136">
            <v>2008</v>
          </cell>
          <cell r="V136">
            <v>44.88</v>
          </cell>
          <cell r="X136">
            <v>3.6096256684491976</v>
          </cell>
          <cell r="Y136">
            <v>6.6844919786096249</v>
          </cell>
          <cell r="Z136">
            <v>13.770053475935807</v>
          </cell>
          <cell r="AA136">
            <v>25.356506238858955</v>
          </cell>
          <cell r="AK136">
            <v>35.606060606060609</v>
          </cell>
          <cell r="AN136">
            <v>26.492869875222816</v>
          </cell>
        </row>
        <row r="137">
          <cell r="A137">
            <v>2009</v>
          </cell>
          <cell r="C137">
            <v>2.0299999999999998</v>
          </cell>
          <cell r="D137">
            <v>3.42</v>
          </cell>
          <cell r="E137">
            <v>7.17</v>
          </cell>
          <cell r="P137">
            <v>22.239999999999903</v>
          </cell>
          <cell r="S137">
            <v>15.73</v>
          </cell>
          <cell r="U137">
            <v>2009</v>
          </cell>
          <cell r="V137">
            <v>64.180000000000007</v>
          </cell>
          <cell r="X137">
            <v>3.1629791212215639</v>
          </cell>
          <cell r="Y137">
            <v>5.3287628544717975</v>
          </cell>
          <cell r="Z137">
            <v>11.171704580866312</v>
          </cell>
          <cell r="AA137">
            <v>20.84761607977563</v>
          </cell>
          <cell r="AK137">
            <v>34.652539732003582</v>
          </cell>
          <cell r="AN137">
            <v>28.01495793081957</v>
          </cell>
        </row>
        <row r="138">
          <cell r="A138">
            <v>2010</v>
          </cell>
          <cell r="C138">
            <v>1.61</v>
          </cell>
          <cell r="D138">
            <v>2.93</v>
          </cell>
          <cell r="E138">
            <v>4.34</v>
          </cell>
          <cell r="P138">
            <v>18.169999999999987</v>
          </cell>
          <cell r="S138">
            <v>7.7399999999999896</v>
          </cell>
          <cell r="U138">
            <v>2010</v>
          </cell>
          <cell r="V138">
            <v>45.39</v>
          </cell>
          <cell r="X138">
            <v>3.5470367922449881</v>
          </cell>
          <cell r="Y138">
            <v>6.4551663361973999</v>
          </cell>
          <cell r="Z138">
            <v>9.5615774399647488</v>
          </cell>
          <cell r="AA138">
            <v>22.934567085260852</v>
          </cell>
          <cell r="AK138">
            <v>40.030843798193409</v>
          </cell>
          <cell r="AN138">
            <v>36.726151134611122</v>
          </cell>
        </row>
        <row r="139">
          <cell r="A139">
            <v>2011</v>
          </cell>
          <cell r="C139">
            <v>1.52</v>
          </cell>
          <cell r="D139">
            <v>3.29</v>
          </cell>
          <cell r="E139">
            <v>6.43</v>
          </cell>
          <cell r="P139">
            <v>9.599999999999989</v>
          </cell>
          <cell r="S139">
            <v>6.2099999999999991</v>
          </cell>
          <cell r="U139">
            <v>2011</v>
          </cell>
          <cell r="V139">
            <v>44.54</v>
          </cell>
          <cell r="X139">
            <v>3.4126627750336778</v>
          </cell>
          <cell r="Y139">
            <v>7.3866187696452634</v>
          </cell>
          <cell r="Z139">
            <v>14.43646160754378</v>
          </cell>
          <cell r="AA139">
            <v>38.751683879658508</v>
          </cell>
          <cell r="AK139">
            <v>21.553659631791625</v>
          </cell>
          <cell r="AN139">
            <v>21.867983834755279</v>
          </cell>
        </row>
        <row r="140">
          <cell r="A140">
            <v>2012</v>
          </cell>
          <cell r="C140">
            <v>1.73</v>
          </cell>
          <cell r="D140">
            <v>4.4000000000000004</v>
          </cell>
          <cell r="E140">
            <v>5.69</v>
          </cell>
          <cell r="P140">
            <v>15.64</v>
          </cell>
          <cell r="S140">
            <v>11.59</v>
          </cell>
          <cell r="U140">
            <v>2012</v>
          </cell>
          <cell r="V140">
            <v>49.99</v>
          </cell>
          <cell r="X140">
            <v>3.4606921384276852</v>
          </cell>
          <cell r="Y140">
            <v>8.8017603520704153</v>
          </cell>
          <cell r="Z140">
            <v>11.382276455291059</v>
          </cell>
          <cell r="AA140">
            <v>21.424284856971195</v>
          </cell>
          <cell r="AK140">
            <v>31.286257251450287</v>
          </cell>
          <cell r="AN140">
            <v>36.847369473894773</v>
          </cell>
        </row>
        <row r="141">
          <cell r="A141">
            <v>2013</v>
          </cell>
          <cell r="C141">
            <v>2.02</v>
          </cell>
          <cell r="D141">
            <v>3.34</v>
          </cell>
          <cell r="E141">
            <v>7.32</v>
          </cell>
          <cell r="P141">
            <v>14.9</v>
          </cell>
          <cell r="S141">
            <v>7.37</v>
          </cell>
          <cell r="U141">
            <v>2013</v>
          </cell>
          <cell r="V141">
            <v>43.03</v>
          </cell>
          <cell r="X141">
            <v>4.6943992563327912</v>
          </cell>
          <cell r="Y141">
            <v>7.762026493144317</v>
          </cell>
          <cell r="Z141">
            <v>17.011387404136649</v>
          </cell>
          <cell r="AA141">
            <v>17.940971415291656</v>
          </cell>
          <cell r="AK141">
            <v>34.627004415524056</v>
          </cell>
          <cell r="AN141">
            <v>21.589588659075062</v>
          </cell>
        </row>
        <row r="142">
          <cell r="A142">
            <v>2014</v>
          </cell>
          <cell r="C142">
            <v>1.69</v>
          </cell>
          <cell r="D142">
            <v>4.3099999999999996</v>
          </cell>
          <cell r="E142">
            <v>4.5</v>
          </cell>
          <cell r="P142">
            <v>18.02</v>
          </cell>
          <cell r="S142">
            <v>12.41</v>
          </cell>
          <cell r="U142">
            <v>2014</v>
          </cell>
          <cell r="V142">
            <v>49.44</v>
          </cell>
          <cell r="X142">
            <v>3.4182847896440132</v>
          </cell>
          <cell r="Y142">
            <v>8.7176375404530742</v>
          </cell>
          <cell r="Z142">
            <v>9.1019417475728162</v>
          </cell>
          <cell r="AA142">
            <v>16.62621359223299</v>
          </cell>
          <cell r="AK142">
            <v>36.448220064724921</v>
          </cell>
          <cell r="AN142">
            <v>30.622977346278319</v>
          </cell>
        </row>
        <row r="143">
          <cell r="A143">
            <v>2015</v>
          </cell>
          <cell r="C143">
            <v>1.44</v>
          </cell>
          <cell r="D143">
            <v>2.81</v>
          </cell>
          <cell r="E143">
            <v>6.56</v>
          </cell>
          <cell r="P143">
            <v>9.1300000000000008</v>
          </cell>
          <cell r="S143">
            <v>7.52</v>
          </cell>
          <cell r="U143">
            <v>2015</v>
          </cell>
          <cell r="V143">
            <v>42.04</v>
          </cell>
          <cell r="X143">
            <v>3.425309229305423</v>
          </cell>
          <cell r="Y143">
            <v>6.6841103710751666</v>
          </cell>
          <cell r="Z143">
            <v>15.604186489058039</v>
          </cell>
          <cell r="AA143">
            <v>33.991436726926736</v>
          </cell>
          <cell r="AK143">
            <v>21.717411988582306</v>
          </cell>
          <cell r="AN143">
            <v>22.07421503330162</v>
          </cell>
        </row>
        <row r="144">
          <cell r="A144">
            <v>2016</v>
          </cell>
          <cell r="C144">
            <v>1.47</v>
          </cell>
          <cell r="D144">
            <v>4.0999999999999996</v>
          </cell>
          <cell r="E144">
            <v>8.9499999999999993</v>
          </cell>
          <cell r="P144">
            <v>7.2099999999999893</v>
          </cell>
          <cell r="S144">
            <v>9.42</v>
          </cell>
          <cell r="U144">
            <v>2016</v>
          </cell>
          <cell r="V144">
            <v>43.61</v>
          </cell>
          <cell r="X144">
            <v>3.3707865168539324</v>
          </cell>
          <cell r="Y144">
            <v>9.4015134143545058</v>
          </cell>
          <cell r="Z144">
            <v>20.522815867920201</v>
          </cell>
          <cell r="AA144">
            <v>28.158679202017655</v>
          </cell>
          <cell r="AK144">
            <v>16.532905296950215</v>
          </cell>
          <cell r="AN144">
            <v>25.452877780325615</v>
          </cell>
        </row>
        <row r="145">
          <cell r="A145">
            <v>2017</v>
          </cell>
          <cell r="C145">
            <v>1.83</v>
          </cell>
          <cell r="D145">
            <v>3.46999999999999</v>
          </cell>
          <cell r="E145">
            <v>6.67</v>
          </cell>
          <cell r="P145">
            <v>16.309999999999988</v>
          </cell>
          <cell r="S145">
            <v>11.92</v>
          </cell>
          <cell r="U145">
            <v>2017</v>
          </cell>
          <cell r="V145">
            <v>46.62</v>
          </cell>
          <cell r="X145">
            <v>3.9253539253539258</v>
          </cell>
          <cell r="Y145">
            <v>7.4431574431574221</v>
          </cell>
          <cell r="Z145">
            <v>14.307164307164308</v>
          </cell>
          <cell r="AA145">
            <v>13.256113256113256</v>
          </cell>
          <cell r="AK145">
            <v>34.984984984984962</v>
          </cell>
          <cell r="AN145">
            <v>25.91162591162589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umber of Events"/>
      <sheetName val="Amount of Events"/>
      <sheetName val="NB Four Plots"/>
    </sheetNames>
    <sheetDataSet>
      <sheetData sheetId="0">
        <row r="2">
          <cell r="A2">
            <v>1896</v>
          </cell>
          <cell r="C2">
            <v>23</v>
          </cell>
          <cell r="D2">
            <v>22</v>
          </cell>
          <cell r="E2">
            <v>10</v>
          </cell>
          <cell r="F2">
            <v>13</v>
          </cell>
          <cell r="P2">
            <v>8</v>
          </cell>
          <cell r="S2">
            <v>0</v>
          </cell>
        </row>
        <row r="3">
          <cell r="A3">
            <v>1897</v>
          </cell>
          <cell r="C3">
            <v>31</v>
          </cell>
          <cell r="D3">
            <v>25</v>
          </cell>
          <cell r="E3">
            <v>17</v>
          </cell>
          <cell r="F3">
            <v>19</v>
          </cell>
          <cell r="P3">
            <v>14</v>
          </cell>
          <cell r="S3">
            <v>1</v>
          </cell>
        </row>
        <row r="4">
          <cell r="A4">
            <v>1898</v>
          </cell>
          <cell r="C4">
            <v>32</v>
          </cell>
          <cell r="D4">
            <v>29</v>
          </cell>
          <cell r="E4">
            <v>29</v>
          </cell>
          <cell r="F4">
            <v>21</v>
          </cell>
          <cell r="P4">
            <v>11</v>
          </cell>
          <cell r="S4">
            <v>3</v>
          </cell>
        </row>
        <row r="5">
          <cell r="A5">
            <v>1899</v>
          </cell>
          <cell r="C5">
            <v>28</v>
          </cell>
          <cell r="D5">
            <v>21</v>
          </cell>
          <cell r="E5">
            <v>29</v>
          </cell>
          <cell r="F5">
            <v>20</v>
          </cell>
          <cell r="P5">
            <v>11</v>
          </cell>
          <cell r="S5">
            <v>2</v>
          </cell>
        </row>
        <row r="6">
          <cell r="A6">
            <v>1900</v>
          </cell>
          <cell r="C6">
            <v>31</v>
          </cell>
          <cell r="D6">
            <v>20</v>
          </cell>
          <cell r="E6">
            <v>15</v>
          </cell>
          <cell r="F6">
            <v>18</v>
          </cell>
          <cell r="P6">
            <v>9</v>
          </cell>
          <cell r="S6">
            <v>2</v>
          </cell>
        </row>
        <row r="7">
          <cell r="A7">
            <v>1901</v>
          </cell>
          <cell r="C7">
            <v>31</v>
          </cell>
          <cell r="D7">
            <v>31</v>
          </cell>
          <cell r="E7">
            <v>17</v>
          </cell>
          <cell r="F7">
            <v>16</v>
          </cell>
          <cell r="P7">
            <v>11</v>
          </cell>
          <cell r="S7">
            <v>5</v>
          </cell>
        </row>
        <row r="8">
          <cell r="A8">
            <v>1902</v>
          </cell>
          <cell r="C8">
            <v>38</v>
          </cell>
          <cell r="D8">
            <v>25</v>
          </cell>
          <cell r="E8">
            <v>18</v>
          </cell>
          <cell r="F8">
            <v>27</v>
          </cell>
          <cell r="P8">
            <v>12</v>
          </cell>
          <cell r="S8">
            <v>2</v>
          </cell>
        </row>
        <row r="9">
          <cell r="A9">
            <v>1903</v>
          </cell>
          <cell r="C9">
            <v>30</v>
          </cell>
          <cell r="D9">
            <v>29</v>
          </cell>
          <cell r="E9">
            <v>22</v>
          </cell>
          <cell r="F9">
            <v>21</v>
          </cell>
          <cell r="P9">
            <v>8</v>
          </cell>
          <cell r="S9">
            <v>3</v>
          </cell>
        </row>
        <row r="10">
          <cell r="A10">
            <v>1904</v>
          </cell>
          <cell r="C10">
            <v>38</v>
          </cell>
          <cell r="D10">
            <v>30</v>
          </cell>
          <cell r="E10">
            <v>14</v>
          </cell>
          <cell r="F10">
            <v>21</v>
          </cell>
          <cell r="P10">
            <v>9</v>
          </cell>
          <cell r="S10">
            <v>5</v>
          </cell>
        </row>
        <row r="11">
          <cell r="A11">
            <v>1905</v>
          </cell>
          <cell r="C11">
            <v>30</v>
          </cell>
          <cell r="D11">
            <v>22</v>
          </cell>
          <cell r="E11">
            <v>24</v>
          </cell>
          <cell r="F11">
            <v>14</v>
          </cell>
          <cell r="P11">
            <v>11</v>
          </cell>
          <cell r="S11">
            <v>0</v>
          </cell>
        </row>
        <row r="12">
          <cell r="A12">
            <v>1906</v>
          </cell>
          <cell r="C12">
            <v>27</v>
          </cell>
          <cell r="D12">
            <v>32</v>
          </cell>
          <cell r="E12">
            <v>20</v>
          </cell>
          <cell r="F12">
            <v>19</v>
          </cell>
          <cell r="P12">
            <v>11</v>
          </cell>
          <cell r="S12">
            <v>0</v>
          </cell>
        </row>
        <row r="13">
          <cell r="A13">
            <v>1907</v>
          </cell>
          <cell r="C13">
            <v>21</v>
          </cell>
          <cell r="D13">
            <v>34</v>
          </cell>
          <cell r="E13">
            <v>25</v>
          </cell>
          <cell r="F13">
            <v>15</v>
          </cell>
          <cell r="P13">
            <v>11</v>
          </cell>
          <cell r="S13">
            <v>2</v>
          </cell>
        </row>
        <row r="14">
          <cell r="A14">
            <v>1908</v>
          </cell>
          <cell r="C14">
            <v>25</v>
          </cell>
          <cell r="D14">
            <v>27</v>
          </cell>
          <cell r="E14">
            <v>18</v>
          </cell>
          <cell r="F14">
            <v>14</v>
          </cell>
          <cell r="P14">
            <v>7</v>
          </cell>
          <cell r="S14">
            <v>4</v>
          </cell>
        </row>
        <row r="15">
          <cell r="A15">
            <v>1909</v>
          </cell>
          <cell r="C15">
            <v>35</v>
          </cell>
          <cell r="D15">
            <v>33</v>
          </cell>
          <cell r="E15">
            <v>23</v>
          </cell>
          <cell r="F15">
            <v>15</v>
          </cell>
          <cell r="P15">
            <v>5</v>
          </cell>
          <cell r="S15">
            <v>4</v>
          </cell>
        </row>
        <row r="16">
          <cell r="A16">
            <v>1910</v>
          </cell>
          <cell r="C16">
            <v>44</v>
          </cell>
          <cell r="D16">
            <v>22</v>
          </cell>
          <cell r="E16">
            <v>18</v>
          </cell>
          <cell r="F16">
            <v>13</v>
          </cell>
          <cell r="P16">
            <v>8</v>
          </cell>
          <cell r="S16">
            <v>3</v>
          </cell>
        </row>
        <row r="17">
          <cell r="A17">
            <v>1911</v>
          </cell>
          <cell r="C17">
            <v>27</v>
          </cell>
          <cell r="D17">
            <v>24</v>
          </cell>
          <cell r="E17">
            <v>26</v>
          </cell>
          <cell r="F17">
            <v>25</v>
          </cell>
          <cell r="P17">
            <v>9</v>
          </cell>
          <cell r="S17">
            <v>3</v>
          </cell>
        </row>
        <row r="18">
          <cell r="A18">
            <v>1912</v>
          </cell>
          <cell r="C18">
            <v>22</v>
          </cell>
          <cell r="D18">
            <v>12</v>
          </cell>
          <cell r="E18">
            <v>26</v>
          </cell>
          <cell r="F18">
            <v>19</v>
          </cell>
          <cell r="P18">
            <v>11</v>
          </cell>
          <cell r="S18">
            <v>2</v>
          </cell>
        </row>
        <row r="19">
          <cell r="A19">
            <v>1913</v>
          </cell>
          <cell r="C19">
            <v>27</v>
          </cell>
          <cell r="D19">
            <v>24</v>
          </cell>
          <cell r="E19">
            <v>23</v>
          </cell>
          <cell r="F19">
            <v>18</v>
          </cell>
          <cell r="P19">
            <v>10</v>
          </cell>
          <cell r="S19">
            <v>1</v>
          </cell>
        </row>
        <row r="20">
          <cell r="A20">
            <v>1914</v>
          </cell>
          <cell r="C20">
            <v>24</v>
          </cell>
          <cell r="D20">
            <v>17</v>
          </cell>
          <cell r="E20">
            <v>31</v>
          </cell>
          <cell r="F20">
            <v>15</v>
          </cell>
          <cell r="P20">
            <v>8</v>
          </cell>
          <cell r="S20">
            <v>0</v>
          </cell>
        </row>
        <row r="21">
          <cell r="A21">
            <v>1915</v>
          </cell>
          <cell r="C21">
            <v>25</v>
          </cell>
          <cell r="D21">
            <v>24</v>
          </cell>
          <cell r="E21">
            <v>20</v>
          </cell>
          <cell r="F21">
            <v>16</v>
          </cell>
          <cell r="P21">
            <v>12</v>
          </cell>
          <cell r="S21">
            <v>2</v>
          </cell>
        </row>
        <row r="22">
          <cell r="A22">
            <v>1916</v>
          </cell>
          <cell r="C22">
            <v>34</v>
          </cell>
          <cell r="D22">
            <v>22</v>
          </cell>
          <cell r="E22">
            <v>22</v>
          </cell>
          <cell r="F22">
            <v>18</v>
          </cell>
          <cell r="P22">
            <v>9</v>
          </cell>
          <cell r="S22">
            <v>0</v>
          </cell>
        </row>
        <row r="23">
          <cell r="A23">
            <v>1917</v>
          </cell>
          <cell r="C23">
            <v>34</v>
          </cell>
          <cell r="D23">
            <v>24</v>
          </cell>
          <cell r="E23">
            <v>18</v>
          </cell>
          <cell r="F23">
            <v>13</v>
          </cell>
          <cell r="P23">
            <v>10</v>
          </cell>
          <cell r="S23">
            <v>1</v>
          </cell>
        </row>
        <row r="24">
          <cell r="A24">
            <v>1918</v>
          </cell>
          <cell r="C24">
            <v>28</v>
          </cell>
          <cell r="D24">
            <v>16</v>
          </cell>
          <cell r="E24">
            <v>19</v>
          </cell>
          <cell r="F24">
            <v>18</v>
          </cell>
          <cell r="P24">
            <v>6</v>
          </cell>
          <cell r="S24">
            <v>2</v>
          </cell>
        </row>
        <row r="25">
          <cell r="A25">
            <v>1919</v>
          </cell>
          <cell r="C25">
            <v>41</v>
          </cell>
          <cell r="D25">
            <v>25</v>
          </cell>
          <cell r="E25">
            <v>16</v>
          </cell>
          <cell r="F25">
            <v>29</v>
          </cell>
          <cell r="P25">
            <v>9</v>
          </cell>
          <cell r="S25">
            <v>2</v>
          </cell>
        </row>
        <row r="26">
          <cell r="A26">
            <v>1920</v>
          </cell>
          <cell r="C26">
            <v>30</v>
          </cell>
          <cell r="D26">
            <v>26</v>
          </cell>
          <cell r="E26">
            <v>18</v>
          </cell>
          <cell r="F26">
            <v>26</v>
          </cell>
          <cell r="P26">
            <v>12</v>
          </cell>
          <cell r="S26">
            <v>2</v>
          </cell>
        </row>
        <row r="27">
          <cell r="A27">
            <v>1921</v>
          </cell>
          <cell r="C27">
            <v>33</v>
          </cell>
          <cell r="D27">
            <v>27</v>
          </cell>
          <cell r="E27">
            <v>16</v>
          </cell>
          <cell r="F27">
            <v>15</v>
          </cell>
          <cell r="P27">
            <v>7</v>
          </cell>
          <cell r="S27">
            <v>3</v>
          </cell>
        </row>
        <row r="28">
          <cell r="A28">
            <v>1922</v>
          </cell>
          <cell r="C28">
            <v>27</v>
          </cell>
          <cell r="D28">
            <v>32</v>
          </cell>
          <cell r="E28">
            <v>21</v>
          </cell>
          <cell r="F28">
            <v>20</v>
          </cell>
          <cell r="P28">
            <v>7</v>
          </cell>
          <cell r="S28">
            <v>2</v>
          </cell>
        </row>
        <row r="29">
          <cell r="A29">
            <v>1923</v>
          </cell>
          <cell r="C29">
            <v>25</v>
          </cell>
          <cell r="D29">
            <v>28</v>
          </cell>
          <cell r="E29">
            <v>25</v>
          </cell>
          <cell r="F29">
            <v>17</v>
          </cell>
          <cell r="P29">
            <v>3</v>
          </cell>
          <cell r="S29">
            <v>2</v>
          </cell>
        </row>
        <row r="30">
          <cell r="A30">
            <v>1924</v>
          </cell>
          <cell r="C30">
            <v>25</v>
          </cell>
          <cell r="D30">
            <v>25</v>
          </cell>
          <cell r="E30">
            <v>18</v>
          </cell>
          <cell r="F30">
            <v>12</v>
          </cell>
          <cell r="P30">
            <v>11</v>
          </cell>
          <cell r="S30">
            <v>3</v>
          </cell>
        </row>
        <row r="31">
          <cell r="A31">
            <v>1925</v>
          </cell>
          <cell r="C31">
            <v>28</v>
          </cell>
          <cell r="D31">
            <v>19</v>
          </cell>
          <cell r="E31">
            <v>25</v>
          </cell>
          <cell r="F31">
            <v>11</v>
          </cell>
          <cell r="P31">
            <v>11</v>
          </cell>
          <cell r="S31">
            <v>0</v>
          </cell>
        </row>
        <row r="32">
          <cell r="A32">
            <v>1926</v>
          </cell>
          <cell r="C32">
            <v>36</v>
          </cell>
          <cell r="D32">
            <v>27</v>
          </cell>
          <cell r="E32">
            <v>25</v>
          </cell>
          <cell r="F32">
            <v>14</v>
          </cell>
          <cell r="P32">
            <v>9</v>
          </cell>
          <cell r="S32">
            <v>2</v>
          </cell>
        </row>
        <row r="33">
          <cell r="A33">
            <v>1927</v>
          </cell>
          <cell r="C33">
            <v>33</v>
          </cell>
          <cell r="D33">
            <v>21</v>
          </cell>
          <cell r="E33">
            <v>21</v>
          </cell>
          <cell r="F33">
            <v>17</v>
          </cell>
          <cell r="P33">
            <v>11</v>
          </cell>
          <cell r="S33">
            <v>3</v>
          </cell>
        </row>
        <row r="34">
          <cell r="A34">
            <v>1928</v>
          </cell>
          <cell r="C34">
            <v>32</v>
          </cell>
          <cell r="D34">
            <v>23</v>
          </cell>
          <cell r="E34">
            <v>16</v>
          </cell>
          <cell r="F34">
            <v>22</v>
          </cell>
          <cell r="P34">
            <v>12</v>
          </cell>
          <cell r="S34">
            <v>1</v>
          </cell>
        </row>
        <row r="35">
          <cell r="A35">
            <v>1929</v>
          </cell>
          <cell r="C35">
            <v>23</v>
          </cell>
          <cell r="D35">
            <v>22</v>
          </cell>
          <cell r="E35">
            <v>34</v>
          </cell>
          <cell r="F35">
            <v>17</v>
          </cell>
          <cell r="P35">
            <v>10</v>
          </cell>
          <cell r="S35">
            <v>0</v>
          </cell>
        </row>
        <row r="36">
          <cell r="A36">
            <v>1930</v>
          </cell>
          <cell r="C36">
            <v>28</v>
          </cell>
          <cell r="D36">
            <v>21</v>
          </cell>
          <cell r="E36">
            <v>17</v>
          </cell>
          <cell r="F36">
            <v>14</v>
          </cell>
          <cell r="P36">
            <v>5</v>
          </cell>
          <cell r="S36">
            <v>2</v>
          </cell>
        </row>
        <row r="37">
          <cell r="A37">
            <v>1931</v>
          </cell>
          <cell r="C37">
            <v>29</v>
          </cell>
          <cell r="D37">
            <v>19</v>
          </cell>
          <cell r="E37">
            <v>21</v>
          </cell>
          <cell r="F37">
            <v>19</v>
          </cell>
          <cell r="P37">
            <v>7</v>
          </cell>
          <cell r="S37">
            <v>0</v>
          </cell>
        </row>
        <row r="38">
          <cell r="A38">
            <v>1932</v>
          </cell>
          <cell r="C38">
            <v>27</v>
          </cell>
          <cell r="D38">
            <v>32</v>
          </cell>
          <cell r="E38">
            <v>18</v>
          </cell>
          <cell r="F38">
            <v>13</v>
          </cell>
          <cell r="P38">
            <v>9</v>
          </cell>
          <cell r="S38">
            <v>3</v>
          </cell>
        </row>
        <row r="39">
          <cell r="A39">
            <v>1933</v>
          </cell>
          <cell r="C39">
            <v>31</v>
          </cell>
          <cell r="D39">
            <v>26</v>
          </cell>
          <cell r="E39">
            <v>12</v>
          </cell>
          <cell r="F39">
            <v>29</v>
          </cell>
          <cell r="P39">
            <v>9</v>
          </cell>
          <cell r="S39">
            <v>1</v>
          </cell>
        </row>
        <row r="40">
          <cell r="A40">
            <v>1934</v>
          </cell>
          <cell r="C40">
            <v>37</v>
          </cell>
          <cell r="D40">
            <v>22</v>
          </cell>
          <cell r="E40">
            <v>23</v>
          </cell>
          <cell r="F40">
            <v>15</v>
          </cell>
          <cell r="P40">
            <v>8</v>
          </cell>
          <cell r="S40">
            <v>2</v>
          </cell>
        </row>
        <row r="41">
          <cell r="A41">
            <v>1935</v>
          </cell>
          <cell r="C41">
            <v>31</v>
          </cell>
          <cell r="D41">
            <v>29</v>
          </cell>
          <cell r="E41">
            <v>30</v>
          </cell>
          <cell r="F41">
            <v>14</v>
          </cell>
          <cell r="P41">
            <v>6</v>
          </cell>
          <cell r="S41">
            <v>2</v>
          </cell>
        </row>
        <row r="42">
          <cell r="A42">
            <v>1936</v>
          </cell>
          <cell r="C42">
            <v>31</v>
          </cell>
          <cell r="D42">
            <v>24</v>
          </cell>
          <cell r="E42">
            <v>22</v>
          </cell>
          <cell r="F42">
            <v>17</v>
          </cell>
          <cell r="P42">
            <v>11</v>
          </cell>
          <cell r="S42">
            <v>1</v>
          </cell>
        </row>
        <row r="43">
          <cell r="A43">
            <v>1937</v>
          </cell>
          <cell r="C43">
            <v>34</v>
          </cell>
          <cell r="D43">
            <v>15</v>
          </cell>
          <cell r="E43">
            <v>24</v>
          </cell>
          <cell r="F43">
            <v>19</v>
          </cell>
          <cell r="P43">
            <v>11</v>
          </cell>
          <cell r="S43">
            <v>1</v>
          </cell>
        </row>
        <row r="44">
          <cell r="A44">
            <v>1938</v>
          </cell>
          <cell r="C44">
            <v>38</v>
          </cell>
          <cell r="D44">
            <v>34</v>
          </cell>
          <cell r="E44">
            <v>28</v>
          </cell>
          <cell r="F44">
            <v>14</v>
          </cell>
          <cell r="P44">
            <v>9</v>
          </cell>
          <cell r="S44">
            <v>2</v>
          </cell>
        </row>
        <row r="45">
          <cell r="A45">
            <v>1939</v>
          </cell>
          <cell r="C45">
            <v>28</v>
          </cell>
          <cell r="D45">
            <v>33</v>
          </cell>
          <cell r="E45">
            <v>16</v>
          </cell>
          <cell r="F45">
            <v>15</v>
          </cell>
          <cell r="P45">
            <v>10</v>
          </cell>
          <cell r="S45">
            <v>0</v>
          </cell>
        </row>
        <row r="46">
          <cell r="A46">
            <v>1940</v>
          </cell>
          <cell r="C46">
            <v>28</v>
          </cell>
          <cell r="D46">
            <v>23</v>
          </cell>
          <cell r="E46">
            <v>15</v>
          </cell>
          <cell r="F46">
            <v>27</v>
          </cell>
          <cell r="P46">
            <v>8</v>
          </cell>
          <cell r="S46">
            <v>2</v>
          </cell>
        </row>
        <row r="47">
          <cell r="A47">
            <v>1941</v>
          </cell>
          <cell r="C47">
            <v>26</v>
          </cell>
          <cell r="D47">
            <v>23</v>
          </cell>
          <cell r="E47">
            <v>15</v>
          </cell>
          <cell r="F47">
            <v>19</v>
          </cell>
          <cell r="P47">
            <v>9</v>
          </cell>
          <cell r="S47">
            <v>0</v>
          </cell>
        </row>
        <row r="48">
          <cell r="A48">
            <v>1942</v>
          </cell>
          <cell r="C48">
            <v>19</v>
          </cell>
          <cell r="D48">
            <v>17</v>
          </cell>
          <cell r="E48">
            <v>19</v>
          </cell>
          <cell r="F48">
            <v>30</v>
          </cell>
          <cell r="P48">
            <v>11</v>
          </cell>
          <cell r="S48">
            <v>1</v>
          </cell>
        </row>
        <row r="49">
          <cell r="A49">
            <v>1943</v>
          </cell>
          <cell r="C49">
            <v>30</v>
          </cell>
          <cell r="D49">
            <v>23</v>
          </cell>
          <cell r="E49">
            <v>9</v>
          </cell>
          <cell r="F49">
            <v>17</v>
          </cell>
          <cell r="P49">
            <v>12</v>
          </cell>
          <cell r="S49">
            <v>0</v>
          </cell>
        </row>
        <row r="50">
          <cell r="A50">
            <v>1944</v>
          </cell>
          <cell r="C50">
            <v>28</v>
          </cell>
          <cell r="D50">
            <v>19</v>
          </cell>
          <cell r="E50">
            <v>14</v>
          </cell>
          <cell r="F50">
            <v>16</v>
          </cell>
          <cell r="P50">
            <v>10</v>
          </cell>
          <cell r="S50">
            <v>5</v>
          </cell>
        </row>
        <row r="51">
          <cell r="A51">
            <v>1945</v>
          </cell>
          <cell r="C51">
            <v>25</v>
          </cell>
          <cell r="D51">
            <v>33</v>
          </cell>
          <cell r="E51">
            <v>32</v>
          </cell>
          <cell r="F51">
            <v>23</v>
          </cell>
          <cell r="P51">
            <v>8</v>
          </cell>
          <cell r="S51">
            <v>2</v>
          </cell>
        </row>
        <row r="52">
          <cell r="A52">
            <v>1946</v>
          </cell>
          <cell r="C52">
            <v>27</v>
          </cell>
          <cell r="D52">
            <v>27</v>
          </cell>
          <cell r="E52">
            <v>12</v>
          </cell>
          <cell r="F52">
            <v>15</v>
          </cell>
          <cell r="P52">
            <v>6</v>
          </cell>
          <cell r="S52">
            <v>2</v>
          </cell>
        </row>
        <row r="53">
          <cell r="A53">
            <v>1947</v>
          </cell>
          <cell r="C53">
            <v>27</v>
          </cell>
          <cell r="D53">
            <v>29</v>
          </cell>
          <cell r="E53">
            <v>12</v>
          </cell>
          <cell r="F53">
            <v>25</v>
          </cell>
          <cell r="P53">
            <v>7</v>
          </cell>
          <cell r="S53">
            <v>3</v>
          </cell>
        </row>
        <row r="54">
          <cell r="A54">
            <v>1948</v>
          </cell>
          <cell r="C54">
            <v>41</v>
          </cell>
          <cell r="D54">
            <v>24</v>
          </cell>
          <cell r="E54">
            <v>31</v>
          </cell>
          <cell r="F54">
            <v>18</v>
          </cell>
          <cell r="P54">
            <v>11</v>
          </cell>
          <cell r="S54">
            <v>1</v>
          </cell>
        </row>
        <row r="55">
          <cell r="A55">
            <v>1949</v>
          </cell>
          <cell r="C55">
            <v>30</v>
          </cell>
          <cell r="D55">
            <v>18</v>
          </cell>
          <cell r="E55">
            <v>20</v>
          </cell>
          <cell r="F55">
            <v>24</v>
          </cell>
          <cell r="P55">
            <v>5</v>
          </cell>
          <cell r="S55">
            <v>1</v>
          </cell>
        </row>
        <row r="56">
          <cell r="A56">
            <v>1950</v>
          </cell>
          <cell r="C56">
            <v>40</v>
          </cell>
          <cell r="D56">
            <v>31</v>
          </cell>
          <cell r="E56">
            <v>15</v>
          </cell>
          <cell r="F56">
            <v>19</v>
          </cell>
          <cell r="P56">
            <v>5</v>
          </cell>
          <cell r="S56">
            <v>2</v>
          </cell>
        </row>
        <row r="57">
          <cell r="A57">
            <v>1951</v>
          </cell>
          <cell r="C57">
            <v>37</v>
          </cell>
          <cell r="D57">
            <v>21</v>
          </cell>
          <cell r="E57">
            <v>22</v>
          </cell>
          <cell r="F57">
            <v>19</v>
          </cell>
          <cell r="P57">
            <v>14</v>
          </cell>
          <cell r="S57">
            <v>1</v>
          </cell>
        </row>
        <row r="58">
          <cell r="A58">
            <v>1952</v>
          </cell>
          <cell r="C58">
            <v>32</v>
          </cell>
          <cell r="D58">
            <v>19</v>
          </cell>
          <cell r="E58">
            <v>18</v>
          </cell>
          <cell r="F58">
            <v>21</v>
          </cell>
          <cell r="P58">
            <v>13</v>
          </cell>
          <cell r="S58">
            <v>2</v>
          </cell>
        </row>
        <row r="59">
          <cell r="A59">
            <v>1953</v>
          </cell>
          <cell r="C59">
            <v>22</v>
          </cell>
          <cell r="D59">
            <v>25</v>
          </cell>
          <cell r="E59">
            <v>23</v>
          </cell>
          <cell r="F59">
            <v>19</v>
          </cell>
          <cell r="P59">
            <v>11</v>
          </cell>
          <cell r="S59">
            <v>1</v>
          </cell>
        </row>
        <row r="60">
          <cell r="A60">
            <v>1954</v>
          </cell>
          <cell r="C60">
            <v>27</v>
          </cell>
          <cell r="D60">
            <v>23</v>
          </cell>
          <cell r="E60">
            <v>15</v>
          </cell>
          <cell r="F60">
            <v>24</v>
          </cell>
          <cell r="P60">
            <v>2</v>
          </cell>
          <cell r="S60">
            <v>4</v>
          </cell>
        </row>
        <row r="61">
          <cell r="A61">
            <v>1955</v>
          </cell>
          <cell r="C61">
            <v>29</v>
          </cell>
          <cell r="D61">
            <v>22</v>
          </cell>
          <cell r="E61">
            <v>11</v>
          </cell>
          <cell r="F61">
            <v>17</v>
          </cell>
          <cell r="P61">
            <v>5</v>
          </cell>
          <cell r="S61">
            <v>4</v>
          </cell>
        </row>
        <row r="62">
          <cell r="A62">
            <v>1956</v>
          </cell>
          <cell r="C62">
            <v>28</v>
          </cell>
          <cell r="D62">
            <v>36</v>
          </cell>
          <cell r="E62">
            <v>30</v>
          </cell>
          <cell r="F62">
            <v>16</v>
          </cell>
          <cell r="P62">
            <v>11</v>
          </cell>
          <cell r="S62">
            <v>0</v>
          </cell>
        </row>
        <row r="63">
          <cell r="A63">
            <v>1957</v>
          </cell>
          <cell r="C63">
            <v>37</v>
          </cell>
          <cell r="D63">
            <v>21</v>
          </cell>
          <cell r="E63">
            <v>24</v>
          </cell>
          <cell r="F63">
            <v>19</v>
          </cell>
          <cell r="P63">
            <v>5</v>
          </cell>
          <cell r="S63">
            <v>0</v>
          </cell>
        </row>
        <row r="64">
          <cell r="A64">
            <v>1958</v>
          </cell>
          <cell r="C64">
            <v>25</v>
          </cell>
          <cell r="D64">
            <v>23</v>
          </cell>
          <cell r="E64">
            <v>22</v>
          </cell>
          <cell r="F64">
            <v>20</v>
          </cell>
          <cell r="P64">
            <v>14</v>
          </cell>
          <cell r="S64">
            <v>0</v>
          </cell>
        </row>
        <row r="65">
          <cell r="A65">
            <v>1959</v>
          </cell>
          <cell r="C65">
            <v>26</v>
          </cell>
          <cell r="D65">
            <v>19</v>
          </cell>
          <cell r="E65">
            <v>19</v>
          </cell>
          <cell r="F65">
            <v>16</v>
          </cell>
          <cell r="P65">
            <v>9</v>
          </cell>
          <cell r="S65">
            <v>2</v>
          </cell>
        </row>
        <row r="66">
          <cell r="A66">
            <v>1960</v>
          </cell>
          <cell r="C66">
            <v>21</v>
          </cell>
          <cell r="D66">
            <v>20</v>
          </cell>
          <cell r="E66">
            <v>17</v>
          </cell>
          <cell r="F66">
            <v>18</v>
          </cell>
          <cell r="P66">
            <v>9</v>
          </cell>
          <cell r="S66">
            <v>4</v>
          </cell>
        </row>
        <row r="67">
          <cell r="A67">
            <v>1961</v>
          </cell>
          <cell r="C67">
            <v>24</v>
          </cell>
          <cell r="D67">
            <v>30</v>
          </cell>
          <cell r="E67">
            <v>24</v>
          </cell>
          <cell r="F67">
            <v>19</v>
          </cell>
          <cell r="P67">
            <v>11</v>
          </cell>
          <cell r="S67">
            <v>1</v>
          </cell>
        </row>
        <row r="68">
          <cell r="A68">
            <v>1962</v>
          </cell>
          <cell r="C68">
            <v>34</v>
          </cell>
          <cell r="D68">
            <v>12</v>
          </cell>
          <cell r="E68">
            <v>16</v>
          </cell>
          <cell r="F68">
            <v>19</v>
          </cell>
          <cell r="P68">
            <v>12</v>
          </cell>
          <cell r="S68">
            <v>0</v>
          </cell>
        </row>
        <row r="69">
          <cell r="A69">
            <v>1963</v>
          </cell>
          <cell r="C69">
            <v>29</v>
          </cell>
          <cell r="D69">
            <v>19</v>
          </cell>
          <cell r="E69">
            <v>23</v>
          </cell>
          <cell r="F69">
            <v>11</v>
          </cell>
          <cell r="P69">
            <v>2</v>
          </cell>
          <cell r="S69">
            <v>3</v>
          </cell>
        </row>
        <row r="70">
          <cell r="A70">
            <v>1964</v>
          </cell>
          <cell r="C70">
            <v>27</v>
          </cell>
          <cell r="D70">
            <v>23</v>
          </cell>
          <cell r="E70">
            <v>21</v>
          </cell>
          <cell r="F70">
            <v>15</v>
          </cell>
          <cell r="P70">
            <v>8</v>
          </cell>
          <cell r="S70">
            <v>1</v>
          </cell>
        </row>
        <row r="71">
          <cell r="A71">
            <v>1965</v>
          </cell>
          <cell r="C71">
            <v>33</v>
          </cell>
          <cell r="D71">
            <v>25</v>
          </cell>
          <cell r="E71">
            <v>17</v>
          </cell>
          <cell r="F71">
            <v>14</v>
          </cell>
          <cell r="P71">
            <v>4</v>
          </cell>
          <cell r="S71">
            <v>0</v>
          </cell>
        </row>
        <row r="72">
          <cell r="A72">
            <v>1966</v>
          </cell>
          <cell r="C72">
            <v>24</v>
          </cell>
          <cell r="D72">
            <v>16</v>
          </cell>
          <cell r="E72">
            <v>20</v>
          </cell>
          <cell r="F72">
            <v>17</v>
          </cell>
          <cell r="P72">
            <v>4</v>
          </cell>
          <cell r="S72">
            <v>6</v>
          </cell>
        </row>
        <row r="73">
          <cell r="A73">
            <v>1967</v>
          </cell>
          <cell r="C73">
            <v>22</v>
          </cell>
          <cell r="D73">
            <v>25</v>
          </cell>
          <cell r="E73">
            <v>29</v>
          </cell>
          <cell r="F73">
            <v>21</v>
          </cell>
          <cell r="P73">
            <v>9</v>
          </cell>
          <cell r="S73">
            <v>2</v>
          </cell>
        </row>
        <row r="74">
          <cell r="A74">
            <v>1968</v>
          </cell>
          <cell r="C74">
            <v>28</v>
          </cell>
          <cell r="D74">
            <v>14</v>
          </cell>
          <cell r="E74">
            <v>13</v>
          </cell>
          <cell r="F74">
            <v>24</v>
          </cell>
          <cell r="P74">
            <v>6</v>
          </cell>
          <cell r="S74">
            <v>3</v>
          </cell>
        </row>
        <row r="75">
          <cell r="A75">
            <v>1969</v>
          </cell>
          <cell r="C75">
            <v>31</v>
          </cell>
          <cell r="D75">
            <v>22</v>
          </cell>
          <cell r="E75">
            <v>27</v>
          </cell>
          <cell r="F75">
            <v>20</v>
          </cell>
          <cell r="P75">
            <v>9</v>
          </cell>
          <cell r="S75">
            <v>1</v>
          </cell>
        </row>
        <row r="76">
          <cell r="A76">
            <v>1970</v>
          </cell>
          <cell r="C76">
            <v>26</v>
          </cell>
          <cell r="D76">
            <v>18</v>
          </cell>
          <cell r="E76">
            <v>19</v>
          </cell>
          <cell r="F76">
            <v>24</v>
          </cell>
          <cell r="P76">
            <v>8</v>
          </cell>
          <cell r="S76">
            <v>0</v>
          </cell>
        </row>
        <row r="77">
          <cell r="A77">
            <v>1971</v>
          </cell>
          <cell r="C77">
            <v>29</v>
          </cell>
          <cell r="D77">
            <v>25</v>
          </cell>
          <cell r="E77">
            <v>20</v>
          </cell>
          <cell r="F77">
            <v>16</v>
          </cell>
          <cell r="P77">
            <v>11</v>
          </cell>
          <cell r="S77">
            <v>3</v>
          </cell>
        </row>
        <row r="78">
          <cell r="A78">
            <v>1972</v>
          </cell>
          <cell r="C78">
            <v>35</v>
          </cell>
          <cell r="D78">
            <v>24</v>
          </cell>
          <cell r="E78">
            <v>22</v>
          </cell>
          <cell r="F78">
            <v>26</v>
          </cell>
          <cell r="P78">
            <v>12</v>
          </cell>
          <cell r="S78">
            <v>3</v>
          </cell>
        </row>
        <row r="79">
          <cell r="A79">
            <v>1973</v>
          </cell>
          <cell r="C79">
            <v>26</v>
          </cell>
          <cell r="D79">
            <v>24</v>
          </cell>
          <cell r="E79">
            <v>17</v>
          </cell>
          <cell r="F79">
            <v>21</v>
          </cell>
          <cell r="P79">
            <v>14</v>
          </cell>
          <cell r="S79">
            <v>4</v>
          </cell>
        </row>
        <row r="80">
          <cell r="A80">
            <v>1974</v>
          </cell>
          <cell r="C80">
            <v>22</v>
          </cell>
          <cell r="D80">
            <v>21</v>
          </cell>
          <cell r="E80">
            <v>24</v>
          </cell>
          <cell r="F80">
            <v>18</v>
          </cell>
          <cell r="P80">
            <v>9</v>
          </cell>
          <cell r="S80">
            <v>2</v>
          </cell>
        </row>
        <row r="81">
          <cell r="A81">
            <v>1975</v>
          </cell>
          <cell r="C81">
            <v>28</v>
          </cell>
          <cell r="D81">
            <v>30</v>
          </cell>
          <cell r="E81">
            <v>23</v>
          </cell>
          <cell r="F81">
            <v>24</v>
          </cell>
          <cell r="P81">
            <v>16</v>
          </cell>
          <cell r="S81">
            <v>3</v>
          </cell>
        </row>
        <row r="82">
          <cell r="A82">
            <v>1976</v>
          </cell>
          <cell r="C82">
            <v>29</v>
          </cell>
          <cell r="D82">
            <v>29</v>
          </cell>
          <cell r="E82">
            <v>19</v>
          </cell>
          <cell r="F82">
            <v>12</v>
          </cell>
          <cell r="P82">
            <v>6</v>
          </cell>
          <cell r="S82">
            <v>3</v>
          </cell>
        </row>
        <row r="83">
          <cell r="A83">
            <v>1977</v>
          </cell>
          <cell r="C83">
            <v>26</v>
          </cell>
          <cell r="D83">
            <v>28</v>
          </cell>
          <cell r="E83">
            <v>20</v>
          </cell>
          <cell r="F83">
            <v>24</v>
          </cell>
          <cell r="P83">
            <v>9</v>
          </cell>
          <cell r="S83">
            <v>3</v>
          </cell>
        </row>
        <row r="84">
          <cell r="A84">
            <v>1978</v>
          </cell>
          <cell r="C84">
            <v>24</v>
          </cell>
          <cell r="D84">
            <v>23</v>
          </cell>
          <cell r="E84">
            <v>20</v>
          </cell>
          <cell r="F84">
            <v>17</v>
          </cell>
          <cell r="P84">
            <v>13</v>
          </cell>
          <cell r="S84">
            <v>1</v>
          </cell>
        </row>
        <row r="85">
          <cell r="A85">
            <v>1979</v>
          </cell>
          <cell r="C85">
            <v>26</v>
          </cell>
          <cell r="D85">
            <v>30</v>
          </cell>
          <cell r="E85">
            <v>25</v>
          </cell>
          <cell r="F85">
            <v>18</v>
          </cell>
          <cell r="P85">
            <v>13</v>
          </cell>
          <cell r="S85">
            <v>5</v>
          </cell>
        </row>
        <row r="86">
          <cell r="A86">
            <v>1980</v>
          </cell>
          <cell r="C86">
            <v>22</v>
          </cell>
          <cell r="D86">
            <v>24</v>
          </cell>
          <cell r="E86">
            <v>15</v>
          </cell>
          <cell r="F86">
            <v>16</v>
          </cell>
          <cell r="P86">
            <v>9</v>
          </cell>
          <cell r="S86">
            <v>1</v>
          </cell>
        </row>
        <row r="87">
          <cell r="A87">
            <v>1981</v>
          </cell>
          <cell r="C87">
            <v>32</v>
          </cell>
          <cell r="D87">
            <v>16</v>
          </cell>
          <cell r="E87">
            <v>18</v>
          </cell>
          <cell r="F87">
            <v>16</v>
          </cell>
          <cell r="P87">
            <v>9</v>
          </cell>
          <cell r="S87">
            <v>2</v>
          </cell>
        </row>
        <row r="88">
          <cell r="A88">
            <v>1982</v>
          </cell>
          <cell r="C88">
            <v>25</v>
          </cell>
          <cell r="D88">
            <v>19</v>
          </cell>
          <cell r="E88">
            <v>16</v>
          </cell>
          <cell r="F88">
            <v>15</v>
          </cell>
          <cell r="P88">
            <v>12</v>
          </cell>
          <cell r="S88">
            <v>1</v>
          </cell>
        </row>
        <row r="89">
          <cell r="A89">
            <v>1983</v>
          </cell>
          <cell r="C89">
            <v>19</v>
          </cell>
          <cell r="D89">
            <v>21</v>
          </cell>
          <cell r="E89">
            <v>16</v>
          </cell>
          <cell r="F89">
            <v>20</v>
          </cell>
          <cell r="P89">
            <v>22</v>
          </cell>
          <cell r="S89">
            <v>3</v>
          </cell>
        </row>
        <row r="90">
          <cell r="A90">
            <v>1984</v>
          </cell>
          <cell r="C90">
            <v>25</v>
          </cell>
          <cell r="D90">
            <v>17</v>
          </cell>
          <cell r="E90">
            <v>22</v>
          </cell>
          <cell r="F90">
            <v>27</v>
          </cell>
          <cell r="P90">
            <v>13</v>
          </cell>
          <cell r="S90">
            <v>1</v>
          </cell>
        </row>
        <row r="91">
          <cell r="A91">
            <v>1985</v>
          </cell>
          <cell r="C91">
            <v>34</v>
          </cell>
          <cell r="D91">
            <v>18</v>
          </cell>
          <cell r="E91">
            <v>11</v>
          </cell>
          <cell r="F91">
            <v>19</v>
          </cell>
          <cell r="P91">
            <v>12</v>
          </cell>
          <cell r="S91">
            <v>2</v>
          </cell>
        </row>
        <row r="92">
          <cell r="A92">
            <v>1986</v>
          </cell>
          <cell r="C92">
            <v>35</v>
          </cell>
          <cell r="D92">
            <v>23</v>
          </cell>
          <cell r="E92">
            <v>21</v>
          </cell>
          <cell r="F92">
            <v>18</v>
          </cell>
          <cell r="P92">
            <v>10</v>
          </cell>
          <cell r="S92">
            <v>1</v>
          </cell>
        </row>
        <row r="93">
          <cell r="A93">
            <v>1987</v>
          </cell>
          <cell r="C93">
            <v>31</v>
          </cell>
          <cell r="D93">
            <v>22</v>
          </cell>
          <cell r="E93">
            <v>19</v>
          </cell>
          <cell r="F93">
            <v>23</v>
          </cell>
          <cell r="P93">
            <v>13</v>
          </cell>
          <cell r="S93">
            <v>1</v>
          </cell>
        </row>
        <row r="94">
          <cell r="A94">
            <v>1988</v>
          </cell>
          <cell r="C94">
            <v>17</v>
          </cell>
          <cell r="D94">
            <v>20</v>
          </cell>
          <cell r="E94">
            <v>22</v>
          </cell>
          <cell r="F94">
            <v>17</v>
          </cell>
          <cell r="P94">
            <v>12</v>
          </cell>
          <cell r="S94">
            <v>3</v>
          </cell>
        </row>
        <row r="95">
          <cell r="A95">
            <v>1989</v>
          </cell>
          <cell r="C95">
            <v>36</v>
          </cell>
          <cell r="D95">
            <v>24</v>
          </cell>
          <cell r="E95">
            <v>23</v>
          </cell>
          <cell r="F95">
            <v>22</v>
          </cell>
          <cell r="P95">
            <v>10</v>
          </cell>
          <cell r="S95">
            <v>4</v>
          </cell>
        </row>
        <row r="96">
          <cell r="A96">
            <v>1990</v>
          </cell>
          <cell r="C96">
            <v>39</v>
          </cell>
          <cell r="D96">
            <v>24</v>
          </cell>
          <cell r="E96">
            <v>23</v>
          </cell>
          <cell r="F96">
            <v>19</v>
          </cell>
          <cell r="P96">
            <v>13</v>
          </cell>
          <cell r="S96">
            <v>2</v>
          </cell>
        </row>
        <row r="97">
          <cell r="A97">
            <v>1991</v>
          </cell>
          <cell r="C97">
            <v>24</v>
          </cell>
          <cell r="D97">
            <v>20</v>
          </cell>
          <cell r="E97">
            <v>23</v>
          </cell>
          <cell r="F97">
            <v>21</v>
          </cell>
          <cell r="P97">
            <v>9</v>
          </cell>
          <cell r="S97">
            <v>1</v>
          </cell>
        </row>
        <row r="98">
          <cell r="A98">
            <v>1992</v>
          </cell>
          <cell r="C98">
            <v>31</v>
          </cell>
          <cell r="D98">
            <v>26</v>
          </cell>
          <cell r="E98">
            <v>19</v>
          </cell>
          <cell r="F98">
            <v>16</v>
          </cell>
          <cell r="P98">
            <v>6</v>
          </cell>
          <cell r="S98">
            <v>4</v>
          </cell>
        </row>
        <row r="99">
          <cell r="A99">
            <v>1993</v>
          </cell>
          <cell r="C99">
            <v>28</v>
          </cell>
          <cell r="D99">
            <v>25</v>
          </cell>
          <cell r="E99">
            <v>20</v>
          </cell>
          <cell r="F99">
            <v>16</v>
          </cell>
          <cell r="P99">
            <v>14</v>
          </cell>
          <cell r="S99">
            <v>2</v>
          </cell>
        </row>
        <row r="100">
          <cell r="A100">
            <v>1994</v>
          </cell>
          <cell r="C100">
            <v>26</v>
          </cell>
          <cell r="D100">
            <v>18</v>
          </cell>
          <cell r="E100">
            <v>17</v>
          </cell>
          <cell r="F100">
            <v>26</v>
          </cell>
          <cell r="P100">
            <v>9</v>
          </cell>
          <cell r="S100">
            <v>2</v>
          </cell>
        </row>
        <row r="101">
          <cell r="A101">
            <v>1995</v>
          </cell>
          <cell r="C101">
            <v>22</v>
          </cell>
          <cell r="D101">
            <v>25</v>
          </cell>
          <cell r="E101">
            <v>19</v>
          </cell>
          <cell r="F101">
            <v>15</v>
          </cell>
          <cell r="P101">
            <v>10</v>
          </cell>
          <cell r="S101">
            <v>0</v>
          </cell>
        </row>
        <row r="102">
          <cell r="A102">
            <v>1996</v>
          </cell>
          <cell r="C102">
            <v>40</v>
          </cell>
          <cell r="D102">
            <v>26</v>
          </cell>
          <cell r="E102">
            <v>22</v>
          </cell>
          <cell r="F102">
            <v>19</v>
          </cell>
          <cell r="P102">
            <v>18</v>
          </cell>
          <cell r="S102">
            <v>3</v>
          </cell>
        </row>
        <row r="103">
          <cell r="A103">
            <v>1997</v>
          </cell>
          <cell r="C103">
            <v>38</v>
          </cell>
          <cell r="D103">
            <v>22</v>
          </cell>
          <cell r="E103">
            <v>23</v>
          </cell>
          <cell r="F103">
            <v>20</v>
          </cell>
          <cell r="P103">
            <v>9</v>
          </cell>
          <cell r="S103">
            <v>1</v>
          </cell>
        </row>
        <row r="104">
          <cell r="A104">
            <v>1998</v>
          </cell>
          <cell r="C104">
            <v>34</v>
          </cell>
          <cell r="D104">
            <v>16</v>
          </cell>
          <cell r="E104">
            <v>16</v>
          </cell>
          <cell r="F104">
            <v>20</v>
          </cell>
          <cell r="P104">
            <v>9</v>
          </cell>
          <cell r="S104">
            <v>3</v>
          </cell>
        </row>
        <row r="105">
          <cell r="A105">
            <v>1999</v>
          </cell>
          <cell r="C105">
            <v>28</v>
          </cell>
          <cell r="D105">
            <v>24</v>
          </cell>
          <cell r="E105">
            <v>20</v>
          </cell>
          <cell r="F105">
            <v>20</v>
          </cell>
          <cell r="P105">
            <v>7</v>
          </cell>
          <cell r="S105">
            <v>2</v>
          </cell>
        </row>
        <row r="106">
          <cell r="A106">
            <v>2000</v>
          </cell>
          <cell r="C106">
            <v>34</v>
          </cell>
          <cell r="D106">
            <v>21</v>
          </cell>
          <cell r="E106">
            <v>16</v>
          </cell>
          <cell r="F106">
            <v>20</v>
          </cell>
          <cell r="P106">
            <v>9</v>
          </cell>
          <cell r="S106">
            <v>2</v>
          </cell>
        </row>
        <row r="107">
          <cell r="A107">
            <v>2001</v>
          </cell>
          <cell r="C107">
            <v>34</v>
          </cell>
          <cell r="D107">
            <v>16</v>
          </cell>
          <cell r="E107">
            <v>17</v>
          </cell>
          <cell r="F107">
            <v>16</v>
          </cell>
          <cell r="P107">
            <v>11</v>
          </cell>
          <cell r="S107">
            <v>1</v>
          </cell>
        </row>
        <row r="108">
          <cell r="A108">
            <v>2002</v>
          </cell>
          <cell r="C108">
            <v>26</v>
          </cell>
          <cell r="D108">
            <v>19</v>
          </cell>
          <cell r="E108">
            <v>17</v>
          </cell>
          <cell r="F108">
            <v>26</v>
          </cell>
          <cell r="P108">
            <v>12</v>
          </cell>
          <cell r="S108">
            <v>1</v>
          </cell>
        </row>
        <row r="109">
          <cell r="A109">
            <v>2003</v>
          </cell>
          <cell r="C109">
            <v>31</v>
          </cell>
          <cell r="D109">
            <v>34</v>
          </cell>
          <cell r="E109">
            <v>19</v>
          </cell>
          <cell r="F109">
            <v>28</v>
          </cell>
          <cell r="P109">
            <v>14</v>
          </cell>
          <cell r="S109">
            <v>2</v>
          </cell>
        </row>
        <row r="110">
          <cell r="A110">
            <v>2004</v>
          </cell>
          <cell r="C110">
            <v>28</v>
          </cell>
          <cell r="D110">
            <v>23</v>
          </cell>
          <cell r="E110">
            <v>28</v>
          </cell>
          <cell r="F110">
            <v>18</v>
          </cell>
          <cell r="P110">
            <v>9</v>
          </cell>
          <cell r="S110">
            <v>2</v>
          </cell>
        </row>
        <row r="111">
          <cell r="A111">
            <v>2005</v>
          </cell>
          <cell r="C111">
            <v>32</v>
          </cell>
          <cell r="D111">
            <v>22</v>
          </cell>
          <cell r="E111">
            <v>20</v>
          </cell>
          <cell r="F111">
            <v>20</v>
          </cell>
          <cell r="P111">
            <v>12</v>
          </cell>
          <cell r="S111">
            <v>4</v>
          </cell>
        </row>
        <row r="112">
          <cell r="A112">
            <v>2006</v>
          </cell>
          <cell r="C112">
            <v>18</v>
          </cell>
          <cell r="D112">
            <v>27</v>
          </cell>
          <cell r="E112">
            <v>26</v>
          </cell>
          <cell r="F112">
            <v>19</v>
          </cell>
          <cell r="P112">
            <v>12</v>
          </cell>
          <cell r="S112">
            <v>3</v>
          </cell>
        </row>
        <row r="113">
          <cell r="A113">
            <v>2007</v>
          </cell>
          <cell r="C113">
            <v>30</v>
          </cell>
          <cell r="D113">
            <v>24</v>
          </cell>
          <cell r="E113">
            <v>23</v>
          </cell>
          <cell r="F113">
            <v>17</v>
          </cell>
          <cell r="P113">
            <v>13</v>
          </cell>
          <cell r="S113">
            <v>2</v>
          </cell>
        </row>
        <row r="114">
          <cell r="A114">
            <v>2008</v>
          </cell>
          <cell r="C114">
            <v>33</v>
          </cell>
          <cell r="D114">
            <v>23</v>
          </cell>
          <cell r="E114">
            <v>20</v>
          </cell>
          <cell r="F114">
            <v>26</v>
          </cell>
          <cell r="P114">
            <v>9</v>
          </cell>
          <cell r="S114">
            <v>3</v>
          </cell>
        </row>
        <row r="115">
          <cell r="A115">
            <v>2009</v>
          </cell>
          <cell r="C115">
            <v>34</v>
          </cell>
          <cell r="D115">
            <v>19</v>
          </cell>
          <cell r="E115">
            <v>27</v>
          </cell>
          <cell r="F115">
            <v>28</v>
          </cell>
          <cell r="P115">
            <v>12</v>
          </cell>
          <cell r="S115">
            <v>0</v>
          </cell>
        </row>
        <row r="116">
          <cell r="A116">
            <v>2010</v>
          </cell>
          <cell r="C116">
            <v>27</v>
          </cell>
          <cell r="D116">
            <v>17</v>
          </cell>
          <cell r="E116">
            <v>17</v>
          </cell>
          <cell r="F116">
            <v>19</v>
          </cell>
          <cell r="P116">
            <v>12</v>
          </cell>
          <cell r="S116">
            <v>1</v>
          </cell>
        </row>
        <row r="117">
          <cell r="A117">
            <v>2011</v>
          </cell>
          <cell r="C117">
            <v>26</v>
          </cell>
          <cell r="D117">
            <v>21</v>
          </cell>
          <cell r="E117">
            <v>25</v>
          </cell>
          <cell r="F117">
            <v>20</v>
          </cell>
          <cell r="P117">
            <v>9</v>
          </cell>
          <cell r="S117">
            <v>9</v>
          </cell>
        </row>
        <row r="118">
          <cell r="A118">
            <v>2012</v>
          </cell>
          <cell r="C118">
            <v>27</v>
          </cell>
          <cell r="D118">
            <v>26</v>
          </cell>
          <cell r="E118">
            <v>21</v>
          </cell>
          <cell r="F118">
            <v>22</v>
          </cell>
          <cell r="P118">
            <v>6</v>
          </cell>
          <cell r="S118">
            <v>1</v>
          </cell>
        </row>
        <row r="119">
          <cell r="A119">
            <v>2013</v>
          </cell>
          <cell r="C119">
            <v>30</v>
          </cell>
          <cell r="D119">
            <v>28</v>
          </cell>
          <cell r="E119">
            <v>18</v>
          </cell>
          <cell r="F119">
            <v>17</v>
          </cell>
          <cell r="P119">
            <v>9</v>
          </cell>
          <cell r="S119">
            <v>2</v>
          </cell>
        </row>
        <row r="120">
          <cell r="A120">
            <v>2014</v>
          </cell>
          <cell r="C120">
            <v>20</v>
          </cell>
          <cell r="D120">
            <v>25</v>
          </cell>
          <cell r="E120">
            <v>33</v>
          </cell>
          <cell r="F120">
            <v>16</v>
          </cell>
          <cell r="P120">
            <v>8</v>
          </cell>
          <cell r="S120">
            <v>4</v>
          </cell>
        </row>
        <row r="121">
          <cell r="A121">
            <v>2015</v>
          </cell>
          <cell r="C121">
            <v>32</v>
          </cell>
          <cell r="D121">
            <v>21</v>
          </cell>
          <cell r="E121">
            <v>19</v>
          </cell>
          <cell r="F121">
            <v>18</v>
          </cell>
          <cell r="P121">
            <v>10</v>
          </cell>
          <cell r="S121">
            <v>0</v>
          </cell>
        </row>
        <row r="122">
          <cell r="A122">
            <v>2016</v>
          </cell>
          <cell r="C122">
            <v>31</v>
          </cell>
          <cell r="D122">
            <v>24</v>
          </cell>
          <cell r="E122">
            <v>28</v>
          </cell>
          <cell r="F122">
            <v>15</v>
          </cell>
          <cell r="P122">
            <v>6</v>
          </cell>
          <cell r="S122">
            <v>1</v>
          </cell>
        </row>
        <row r="123">
          <cell r="A123">
            <v>2017</v>
          </cell>
          <cell r="C123">
            <v>39</v>
          </cell>
          <cell r="D123">
            <v>20</v>
          </cell>
          <cell r="E123">
            <v>25</v>
          </cell>
          <cell r="F123">
            <v>19</v>
          </cell>
          <cell r="P123">
            <v>11</v>
          </cell>
          <cell r="S123">
            <v>2</v>
          </cell>
        </row>
      </sheetData>
      <sheetData sheetId="1">
        <row r="2">
          <cell r="A2">
            <v>1896</v>
          </cell>
          <cell r="B2">
            <v>29.43</v>
          </cell>
          <cell r="C2">
            <v>1.52</v>
          </cell>
          <cell r="D2">
            <v>3.64</v>
          </cell>
          <cell r="E2">
            <v>3.44999999999999</v>
          </cell>
          <cell r="F2">
            <v>9.52</v>
          </cell>
          <cell r="P2">
            <v>11.06</v>
          </cell>
          <cell r="S2">
            <v>0</v>
          </cell>
          <cell r="X2">
            <v>5.1647978253482843E-2</v>
          </cell>
          <cell r="Y2">
            <v>0.12368331634386681</v>
          </cell>
          <cell r="Z2">
            <v>0.1172273190621811</v>
          </cell>
          <cell r="AA2">
            <v>0.32347944274549778</v>
          </cell>
          <cell r="AK2">
            <v>0.37580699966021069</v>
          </cell>
          <cell r="AN2">
            <v>0</v>
          </cell>
        </row>
        <row r="3">
          <cell r="A3">
            <v>1897</v>
          </cell>
          <cell r="B3">
            <v>50</v>
          </cell>
          <cell r="C3">
            <v>1.78</v>
          </cell>
          <cell r="D3">
            <v>4.22</v>
          </cell>
          <cell r="E3">
            <v>6.45</v>
          </cell>
          <cell r="F3">
            <v>13.059999999999899</v>
          </cell>
          <cell r="P3">
            <v>20.979999999999997</v>
          </cell>
          <cell r="S3">
            <v>3.22</v>
          </cell>
          <cell r="X3">
            <v>3.56E-2</v>
          </cell>
          <cell r="Y3">
            <v>8.4399999999999989E-2</v>
          </cell>
          <cell r="Z3">
            <v>0.129</v>
          </cell>
          <cell r="AA3">
            <v>0.26119999999999799</v>
          </cell>
          <cell r="AK3">
            <v>0.41959999999999997</v>
          </cell>
          <cell r="AN3">
            <v>6.4399999999999999E-2</v>
          </cell>
        </row>
        <row r="4">
          <cell r="A4">
            <v>1898</v>
          </cell>
          <cell r="B4">
            <v>53.17</v>
          </cell>
          <cell r="C4">
            <v>1.88</v>
          </cell>
          <cell r="D4">
            <v>5.39</v>
          </cell>
          <cell r="E4">
            <v>10.039999999999999</v>
          </cell>
          <cell r="F4">
            <v>13.61</v>
          </cell>
          <cell r="P4">
            <v>13.88999999999989</v>
          </cell>
          <cell r="S4">
            <v>7.33</v>
          </cell>
          <cell r="X4">
            <v>3.5358284747037803E-2</v>
          </cell>
          <cell r="Y4">
            <v>0.10137295467368816</v>
          </cell>
          <cell r="Z4">
            <v>0.1888282866277976</v>
          </cell>
          <cell r="AA4">
            <v>0.25597141245063004</v>
          </cell>
          <cell r="AK4">
            <v>0.26123753996614424</v>
          </cell>
          <cell r="AN4">
            <v>0.13785969531690803</v>
          </cell>
        </row>
        <row r="5">
          <cell r="A5">
            <v>1899</v>
          </cell>
          <cell r="B5">
            <v>48.98</v>
          </cell>
          <cell r="C5">
            <v>1.94</v>
          </cell>
          <cell r="D5">
            <v>3.5199999999999898</v>
          </cell>
          <cell r="E5">
            <v>11.1</v>
          </cell>
          <cell r="F5">
            <v>14.389999999999899</v>
          </cell>
          <cell r="P5">
            <v>15.129999999999999</v>
          </cell>
          <cell r="S5">
            <v>4.68</v>
          </cell>
          <cell r="X5">
            <v>3.9608003266639449E-2</v>
          </cell>
          <cell r="Y5">
            <v>7.1866067782768273E-2</v>
          </cell>
          <cell r="Z5">
            <v>0.22662311147407105</v>
          </cell>
          <cell r="AA5">
            <v>0.29379338505512248</v>
          </cell>
          <cell r="AK5">
            <v>0.30890159248672933</v>
          </cell>
          <cell r="AN5">
            <v>9.5549203756635365E-2</v>
          </cell>
        </row>
        <row r="6">
          <cell r="A6">
            <v>1900</v>
          </cell>
          <cell r="B6">
            <v>40.619999999999997</v>
          </cell>
          <cell r="C6">
            <v>1.86</v>
          </cell>
          <cell r="D6">
            <v>3.32</v>
          </cell>
          <cell r="E6">
            <v>5.41</v>
          </cell>
          <cell r="F6">
            <v>12.63</v>
          </cell>
          <cell r="P6">
            <v>12.559999999999981</v>
          </cell>
          <cell r="S6">
            <v>5.43</v>
          </cell>
          <cell r="X6">
            <v>4.579025110782866E-2</v>
          </cell>
          <cell r="Y6">
            <v>8.1733136386016744E-2</v>
          </cell>
          <cell r="Z6">
            <v>0.13318562284588872</v>
          </cell>
          <cell r="AA6">
            <v>0.31093057607090108</v>
          </cell>
          <cell r="AK6">
            <v>0.30920728705071343</v>
          </cell>
          <cell r="AN6">
            <v>0.13367799113737078</v>
          </cell>
        </row>
        <row r="7">
          <cell r="A7">
            <v>1901</v>
          </cell>
          <cell r="B7">
            <v>52.45</v>
          </cell>
          <cell r="C7">
            <v>1.9</v>
          </cell>
          <cell r="D7">
            <v>5.18</v>
          </cell>
          <cell r="E7">
            <v>6.4599999999999902</v>
          </cell>
          <cell r="F7">
            <v>10.969999999999899</v>
          </cell>
          <cell r="P7">
            <v>14.31</v>
          </cell>
          <cell r="S7">
            <v>13.43</v>
          </cell>
          <cell r="X7">
            <v>3.6224976167778832E-2</v>
          </cell>
          <cell r="Y7">
            <v>9.8760724499523347E-2</v>
          </cell>
          <cell r="Z7">
            <v>0.12316491897044785</v>
          </cell>
          <cell r="AA7">
            <v>0.20915157292659484</v>
          </cell>
          <cell r="AK7">
            <v>0.27283126787416589</v>
          </cell>
          <cell r="AN7">
            <v>0.25605338417540513</v>
          </cell>
        </row>
        <row r="8">
          <cell r="A8">
            <v>1902</v>
          </cell>
          <cell r="B8">
            <v>54.76</v>
          </cell>
          <cell r="C8">
            <v>2.4900000000000002</v>
          </cell>
          <cell r="D8">
            <v>4.1399999999999997</v>
          </cell>
          <cell r="E8">
            <v>6.8</v>
          </cell>
          <cell r="F8">
            <v>19.89</v>
          </cell>
          <cell r="P8">
            <v>16.749999999999901</v>
          </cell>
          <cell r="S8">
            <v>4.58</v>
          </cell>
          <cell r="X8">
            <v>4.5471146822498178E-2</v>
          </cell>
          <cell r="Y8">
            <v>7.5602629656683712E-2</v>
          </cell>
          <cell r="Z8">
            <v>0.1241782322863404</v>
          </cell>
          <cell r="AA8">
            <v>0.3632213294375457</v>
          </cell>
          <cell r="AK8">
            <v>0.3058802045288514</v>
          </cell>
          <cell r="AN8">
            <v>8.3637691745799853E-2</v>
          </cell>
        </row>
        <row r="9">
          <cell r="A9">
            <v>1903</v>
          </cell>
          <cell r="B9">
            <v>52.05</v>
          </cell>
          <cell r="C9">
            <v>1.47</v>
          </cell>
          <cell r="D9">
            <v>5.2799999999999896</v>
          </cell>
          <cell r="E9">
            <v>8.17</v>
          </cell>
          <cell r="F9">
            <v>15.43</v>
          </cell>
          <cell r="P9">
            <v>11.690000000000001</v>
          </cell>
          <cell r="S9">
            <v>9.82</v>
          </cell>
          <cell r="X9">
            <v>2.8242074927953893E-2</v>
          </cell>
          <cell r="Y9">
            <v>0.10144092219020154</v>
          </cell>
          <cell r="Z9">
            <v>0.15696445725264169</v>
          </cell>
          <cell r="AA9">
            <v>0.29644572526416907</v>
          </cell>
          <cell r="AK9">
            <v>0.22459173871277621</v>
          </cell>
          <cell r="AN9">
            <v>0.18866474543707976</v>
          </cell>
        </row>
        <row r="10">
          <cell r="A10">
            <v>1904</v>
          </cell>
          <cell r="B10">
            <v>54.12</v>
          </cell>
          <cell r="C10">
            <v>2.1800000000000002</v>
          </cell>
          <cell r="D10">
            <v>4.9400000000000004</v>
          </cell>
          <cell r="E10">
            <v>4.62</v>
          </cell>
          <cell r="F10">
            <v>13.749999999999901</v>
          </cell>
          <cell r="P10">
            <v>12.26</v>
          </cell>
          <cell r="S10">
            <v>16.18</v>
          </cell>
          <cell r="X10">
            <v>4.0280857354028088E-2</v>
          </cell>
          <cell r="Y10">
            <v>9.1278640059127877E-2</v>
          </cell>
          <cell r="Z10">
            <v>8.5365853658536592E-2</v>
          </cell>
          <cell r="AA10">
            <v>0.25406504065040469</v>
          </cell>
          <cell r="AK10">
            <v>0.22653362897265333</v>
          </cell>
          <cell r="AN10">
            <v>0.29896526237989651</v>
          </cell>
        </row>
        <row r="11">
          <cell r="A11">
            <v>1905</v>
          </cell>
          <cell r="B11">
            <v>39.369999999999997</v>
          </cell>
          <cell r="C11">
            <v>1.97</v>
          </cell>
          <cell r="D11">
            <v>3.75999999999999</v>
          </cell>
          <cell r="E11">
            <v>8.51</v>
          </cell>
          <cell r="F11">
            <v>9.76</v>
          </cell>
          <cell r="P11">
            <v>14.75</v>
          </cell>
          <cell r="S11">
            <v>0</v>
          </cell>
          <cell r="X11">
            <v>5.0038100076200152E-2</v>
          </cell>
          <cell r="Y11">
            <v>9.550419100838177E-2</v>
          </cell>
          <cell r="Z11">
            <v>0.21615443230886464</v>
          </cell>
          <cell r="AA11">
            <v>0.24790449580899163</v>
          </cell>
          <cell r="AK11">
            <v>0.37465074930149866</v>
          </cell>
          <cell r="AN11">
            <v>0</v>
          </cell>
        </row>
        <row r="12">
          <cell r="A12">
            <v>1906</v>
          </cell>
          <cell r="B12">
            <v>41.87</v>
          </cell>
          <cell r="C12">
            <v>1.45</v>
          </cell>
          <cell r="D12">
            <v>5.3</v>
          </cell>
          <cell r="E12">
            <v>7.0799999999999903</v>
          </cell>
          <cell r="F12">
            <v>13.29</v>
          </cell>
          <cell r="P12">
            <v>14.73999999999999</v>
          </cell>
          <cell r="S12">
            <v>0</v>
          </cell>
          <cell r="X12">
            <v>3.4631000716503463E-2</v>
          </cell>
          <cell r="Y12">
            <v>0.12658227848101267</v>
          </cell>
          <cell r="Z12">
            <v>0.16909481729161668</v>
          </cell>
          <cell r="AA12">
            <v>0.31741103415333172</v>
          </cell>
          <cell r="AK12">
            <v>0.35204203486983499</v>
          </cell>
          <cell r="AN12">
            <v>0</v>
          </cell>
        </row>
        <row r="13">
          <cell r="A13">
            <v>1907</v>
          </cell>
          <cell r="B13">
            <v>48.02</v>
          </cell>
          <cell r="C13">
            <v>1.42</v>
          </cell>
          <cell r="D13">
            <v>5.88</v>
          </cell>
          <cell r="E13">
            <v>9.01</v>
          </cell>
          <cell r="F13">
            <v>11.03</v>
          </cell>
          <cell r="P13">
            <v>14.3699999999999</v>
          </cell>
          <cell r="S13">
            <v>6.31</v>
          </cell>
          <cell r="X13">
            <v>2.9571012078300703E-2</v>
          </cell>
          <cell r="Y13">
            <v>0.12244897959183672</v>
          </cell>
          <cell r="Z13">
            <v>0.18763015410245729</v>
          </cell>
          <cell r="AA13">
            <v>0.22969596001665971</v>
          </cell>
          <cell r="AK13">
            <v>0.29925031236984379</v>
          </cell>
          <cell r="AN13">
            <v>0.13140358184089962</v>
          </cell>
        </row>
        <row r="14">
          <cell r="A14">
            <v>1908</v>
          </cell>
          <cell r="B14">
            <v>38.869999999999997</v>
          </cell>
          <cell r="C14">
            <v>1.43</v>
          </cell>
          <cell r="D14">
            <v>4.78</v>
          </cell>
          <cell r="E14">
            <v>6.4299999999999899</v>
          </cell>
          <cell r="F14">
            <v>10.09</v>
          </cell>
          <cell r="P14">
            <v>8.32</v>
          </cell>
          <cell r="S14">
            <v>9.9299999999999891</v>
          </cell>
          <cell r="X14">
            <v>3.678929765886288E-2</v>
          </cell>
          <cell r="Y14">
            <v>0.12297401595060459</v>
          </cell>
          <cell r="Z14">
            <v>0.16542320555698459</v>
          </cell>
          <cell r="AA14">
            <v>0.25958322613841012</v>
          </cell>
          <cell r="AK14">
            <v>0.21404682274247494</v>
          </cell>
          <cell r="AN14">
            <v>0.25546694108566992</v>
          </cell>
        </row>
        <row r="15">
          <cell r="A15">
            <v>1909</v>
          </cell>
          <cell r="B15">
            <v>48.65</v>
          </cell>
          <cell r="C15">
            <v>2.0699999999999998</v>
          </cell>
          <cell r="D15">
            <v>5.47</v>
          </cell>
          <cell r="E15">
            <v>8.2699999999999907</v>
          </cell>
          <cell r="F15">
            <v>11.2</v>
          </cell>
          <cell r="P15">
            <v>7.6799999999999899</v>
          </cell>
          <cell r="S15">
            <v>13.679999999999989</v>
          </cell>
          <cell r="X15">
            <v>4.2548818088386432E-2</v>
          </cell>
          <cell r="Y15">
            <v>0.11243576567317574</v>
          </cell>
          <cell r="Z15">
            <v>0.16998972250770794</v>
          </cell>
          <cell r="AA15">
            <v>0.23021582733812948</v>
          </cell>
          <cell r="AK15">
            <v>0.15786228160328858</v>
          </cell>
          <cell r="AN15">
            <v>0.28119218910585797</v>
          </cell>
        </row>
        <row r="16">
          <cell r="A16">
            <v>1910</v>
          </cell>
          <cell r="B16">
            <v>44.05</v>
          </cell>
          <cell r="C16">
            <v>2.37</v>
          </cell>
          <cell r="D16">
            <v>3.46999999999999</v>
          </cell>
          <cell r="E16">
            <v>6.64</v>
          </cell>
          <cell r="F16">
            <v>9.58</v>
          </cell>
          <cell r="P16">
            <v>10.45999999999999</v>
          </cell>
          <cell r="S16">
            <v>8.32</v>
          </cell>
          <cell r="X16">
            <v>5.3802497162315555E-2</v>
          </cell>
          <cell r="Y16">
            <v>7.877412031782044E-2</v>
          </cell>
          <cell r="Z16">
            <v>0.1507377979568672</v>
          </cell>
          <cell r="AA16">
            <v>0.21748013620885359</v>
          </cell>
          <cell r="AK16">
            <v>0.23745743473325745</v>
          </cell>
          <cell r="AN16">
            <v>0.1888762769580023</v>
          </cell>
        </row>
        <row r="17">
          <cell r="A17">
            <v>1911</v>
          </cell>
          <cell r="B17">
            <v>58.19</v>
          </cell>
          <cell r="C17">
            <v>1.74</v>
          </cell>
          <cell r="D17">
            <v>4.2300000000000004</v>
          </cell>
          <cell r="E17">
            <v>9.6</v>
          </cell>
          <cell r="F17">
            <v>17.989999999999998</v>
          </cell>
          <cell r="P17">
            <v>12.74</v>
          </cell>
          <cell r="S17">
            <v>11.01</v>
          </cell>
          <cell r="X17">
            <v>2.9902045024918372E-2</v>
          </cell>
          <cell r="Y17">
            <v>7.2692902560577435E-2</v>
          </cell>
          <cell r="Z17">
            <v>0.16497680013748067</v>
          </cell>
          <cell r="AA17">
            <v>0.30915964942429969</v>
          </cell>
          <cell r="AK17">
            <v>0.21893796184911499</v>
          </cell>
          <cell r="AN17">
            <v>0.18920776765767314</v>
          </cell>
        </row>
        <row r="18">
          <cell r="A18">
            <v>1912</v>
          </cell>
          <cell r="B18">
            <v>48</v>
          </cell>
          <cell r="C18">
            <v>1.32</v>
          </cell>
          <cell r="D18">
            <v>1.94999999999999</v>
          </cell>
          <cell r="E18">
            <v>9.18</v>
          </cell>
          <cell r="F18">
            <v>12.86</v>
          </cell>
          <cell r="P18">
            <v>18.049999999999997</v>
          </cell>
          <cell r="S18">
            <v>4.51</v>
          </cell>
          <cell r="X18">
            <v>2.75E-2</v>
          </cell>
          <cell r="Y18">
            <v>4.0624999999999793E-2</v>
          </cell>
          <cell r="Z18">
            <v>0.19125</v>
          </cell>
          <cell r="AA18">
            <v>0.26791666666666664</v>
          </cell>
          <cell r="AK18">
            <v>0.37604166666666661</v>
          </cell>
          <cell r="AN18">
            <v>9.3958333333333324E-2</v>
          </cell>
        </row>
        <row r="19">
          <cell r="A19">
            <v>1913</v>
          </cell>
          <cell r="B19">
            <v>42.15</v>
          </cell>
          <cell r="C19">
            <v>1.44</v>
          </cell>
          <cell r="D19">
            <v>4.1900000000000004</v>
          </cell>
          <cell r="E19">
            <v>8.39</v>
          </cell>
          <cell r="F19">
            <v>12</v>
          </cell>
          <cell r="P19">
            <v>13.969999999999999</v>
          </cell>
          <cell r="S19">
            <v>2.02</v>
          </cell>
          <cell r="X19">
            <v>3.4163701067615661E-2</v>
          </cell>
          <cell r="Y19">
            <v>9.9406880189798347E-2</v>
          </cell>
          <cell r="Z19">
            <v>0.19905100830367736</v>
          </cell>
          <cell r="AA19">
            <v>0.28469750889679718</v>
          </cell>
          <cell r="AK19">
            <v>0.33143534994068802</v>
          </cell>
          <cell r="AN19">
            <v>4.792408066429419E-2</v>
          </cell>
        </row>
        <row r="20">
          <cell r="A20">
            <v>1914</v>
          </cell>
          <cell r="B20">
            <v>36.590000000000003</v>
          </cell>
          <cell r="C20">
            <v>1.39</v>
          </cell>
          <cell r="D20">
            <v>2.84</v>
          </cell>
          <cell r="E20">
            <v>11.239999999999901</v>
          </cell>
          <cell r="F20">
            <v>10.62</v>
          </cell>
          <cell r="P20">
            <v>10.43</v>
          </cell>
          <cell r="S20">
            <v>0</v>
          </cell>
          <cell r="X20">
            <v>3.798852145394916E-2</v>
          </cell>
          <cell r="Y20">
            <v>7.7616835200874548E-2</v>
          </cell>
          <cell r="Z20">
            <v>0.30718775621754302</v>
          </cell>
          <cell r="AA20">
            <v>0.2902432358567914</v>
          </cell>
          <cell r="AK20">
            <v>0.28505056026236675</v>
          </cell>
          <cell r="AN20">
            <v>0</v>
          </cell>
        </row>
        <row r="21">
          <cell r="A21">
            <v>1915</v>
          </cell>
          <cell r="B21">
            <v>47.34</v>
          </cell>
          <cell r="C21">
            <v>1.58</v>
          </cell>
          <cell r="D21">
            <v>4.1900000000000004</v>
          </cell>
          <cell r="E21">
            <v>7.23</v>
          </cell>
          <cell r="F21">
            <v>11.069999999999901</v>
          </cell>
          <cell r="P21">
            <v>16.039999999999889</v>
          </cell>
          <cell r="S21">
            <v>7.05</v>
          </cell>
          <cell r="X21">
            <v>3.3375580904098014E-2</v>
          </cell>
          <cell r="Y21">
            <v>8.8508660752006765E-2</v>
          </cell>
          <cell r="Z21">
            <v>0.15272496831432192</v>
          </cell>
          <cell r="AA21">
            <v>0.2338403041825074</v>
          </cell>
          <cell r="AK21">
            <v>0.33882551753273954</v>
          </cell>
          <cell r="AN21">
            <v>0.14892268694550062</v>
          </cell>
        </row>
        <row r="22">
          <cell r="A22">
            <v>1916</v>
          </cell>
          <cell r="B22">
            <v>39.32</v>
          </cell>
          <cell r="C22">
            <v>2.2000000000000002</v>
          </cell>
          <cell r="D22">
            <v>4</v>
          </cell>
          <cell r="E22">
            <v>8.52</v>
          </cell>
          <cell r="F22">
            <v>11.85</v>
          </cell>
          <cell r="P22">
            <v>12.58</v>
          </cell>
          <cell r="S22">
            <v>0</v>
          </cell>
          <cell r="X22">
            <v>5.5951169888097667E-2</v>
          </cell>
          <cell r="Y22">
            <v>0.10172939979654121</v>
          </cell>
          <cell r="Z22">
            <v>0.21668362156663273</v>
          </cell>
          <cell r="AA22">
            <v>0.30137334689725331</v>
          </cell>
          <cell r="AK22">
            <v>0.31993896236012209</v>
          </cell>
          <cell r="AN22">
            <v>0</v>
          </cell>
        </row>
        <row r="23">
          <cell r="A23">
            <v>1917</v>
          </cell>
          <cell r="B23">
            <v>39.14</v>
          </cell>
          <cell r="C23">
            <v>2.0099999999999998</v>
          </cell>
          <cell r="D23">
            <v>4.1100000000000003</v>
          </cell>
          <cell r="E23">
            <v>6.6099999999999897</v>
          </cell>
          <cell r="F23">
            <v>9.15</v>
          </cell>
          <cell r="P23">
            <v>14.67</v>
          </cell>
          <cell r="S23">
            <v>2.4</v>
          </cell>
          <cell r="X23">
            <v>5.1354113438937143E-2</v>
          </cell>
          <cell r="Y23">
            <v>0.1050076647930506</v>
          </cell>
          <cell r="Z23">
            <v>0.16888094021461394</v>
          </cell>
          <cell r="AA23">
            <v>0.23377618804292286</v>
          </cell>
          <cell r="AK23">
            <v>0.3748083801737353</v>
          </cell>
          <cell r="AN23">
            <v>6.1318344404701068E-2</v>
          </cell>
        </row>
        <row r="24">
          <cell r="A24">
            <v>1918</v>
          </cell>
          <cell r="B24">
            <v>36.56</v>
          </cell>
          <cell r="C24">
            <v>1.34</v>
          </cell>
          <cell r="D24">
            <v>2.78</v>
          </cell>
          <cell r="E24">
            <v>6.9399999999999897</v>
          </cell>
          <cell r="F24">
            <v>12.59</v>
          </cell>
          <cell r="P24">
            <v>7.17</v>
          </cell>
          <cell r="S24">
            <v>5.45</v>
          </cell>
          <cell r="X24">
            <v>3.665207877461707E-2</v>
          </cell>
          <cell r="Y24">
            <v>7.6039387308533907E-2</v>
          </cell>
          <cell r="Z24">
            <v>0.18982494529540453</v>
          </cell>
          <cell r="AA24">
            <v>0.34436542669584241</v>
          </cell>
          <cell r="AK24">
            <v>0.19611597374179429</v>
          </cell>
          <cell r="AN24">
            <v>0.14907002188183807</v>
          </cell>
        </row>
        <row r="25">
          <cell r="A25">
            <v>1919</v>
          </cell>
          <cell r="B25">
            <v>50.82</v>
          </cell>
          <cell r="C25">
            <v>2.5499999999999998</v>
          </cell>
          <cell r="D25">
            <v>4.25999999999999</v>
          </cell>
          <cell r="E25">
            <v>6.0399999999999903</v>
          </cell>
          <cell r="F25">
            <v>21.74</v>
          </cell>
          <cell r="P25">
            <v>11.92</v>
          </cell>
          <cell r="S25">
            <v>4.1500000000000004</v>
          </cell>
          <cell r="X25">
            <v>5.0177095631641085E-2</v>
          </cell>
          <cell r="Y25">
            <v>8.3825265643447264E-2</v>
          </cell>
          <cell r="Z25">
            <v>0.1188508461235732</v>
          </cell>
          <cell r="AA25">
            <v>0.42778433687524592</v>
          </cell>
          <cell r="AK25">
            <v>0.23455332546241636</v>
          </cell>
          <cell r="AN25">
            <v>8.1660763478945297E-2</v>
          </cell>
        </row>
        <row r="26">
          <cell r="A26">
            <v>1920</v>
          </cell>
          <cell r="B26">
            <v>54.45</v>
          </cell>
          <cell r="C26">
            <v>1.94</v>
          </cell>
          <cell r="D26">
            <v>4.0199999999999996</v>
          </cell>
          <cell r="E26">
            <v>6.52</v>
          </cell>
          <cell r="F26">
            <v>19.2699999999999</v>
          </cell>
          <cell r="P26">
            <v>18.089999999999989</v>
          </cell>
          <cell r="S26">
            <v>4.42</v>
          </cell>
          <cell r="X26">
            <v>3.5629017447199263E-2</v>
          </cell>
          <cell r="Y26">
            <v>7.3829201101928366E-2</v>
          </cell>
          <cell r="Z26">
            <v>0.119742883379247</v>
          </cell>
          <cell r="AA26">
            <v>0.35390266299357021</v>
          </cell>
          <cell r="AK26">
            <v>0.33223140495867753</v>
          </cell>
          <cell r="AN26">
            <v>8.1175390266299358E-2</v>
          </cell>
        </row>
        <row r="27">
          <cell r="A27">
            <v>1921</v>
          </cell>
          <cell r="B27">
            <v>42.14</v>
          </cell>
          <cell r="C27">
            <v>2.12</v>
          </cell>
          <cell r="D27">
            <v>4.68</v>
          </cell>
          <cell r="E27">
            <v>5.78</v>
          </cell>
          <cell r="F27">
            <v>10.09</v>
          </cell>
          <cell r="P27">
            <v>9.76</v>
          </cell>
          <cell r="S27">
            <v>9.5500000000000007</v>
          </cell>
          <cell r="X27">
            <v>5.0308495491219747E-2</v>
          </cell>
          <cell r="Y27">
            <v>0.11105837683910773</v>
          </cell>
          <cell r="Z27">
            <v>0.13716184148077837</v>
          </cell>
          <cell r="AA27">
            <v>0.23943996203132414</v>
          </cell>
          <cell r="AK27">
            <v>0.23160892263882299</v>
          </cell>
          <cell r="AN27">
            <v>0.22662553393450402</v>
          </cell>
        </row>
        <row r="28">
          <cell r="A28">
            <v>1922</v>
          </cell>
          <cell r="B28">
            <v>42.52</v>
          </cell>
          <cell r="C28">
            <v>1.39</v>
          </cell>
          <cell r="D28">
            <v>5.98</v>
          </cell>
          <cell r="E28">
            <v>7.4799999999999898</v>
          </cell>
          <cell r="F28">
            <v>14.309999999999899</v>
          </cell>
          <cell r="P28">
            <v>8.31</v>
          </cell>
          <cell r="S28">
            <v>4.91</v>
          </cell>
          <cell r="X28">
            <v>3.2690498588899337E-2</v>
          </cell>
          <cell r="Y28">
            <v>0.14063969896519285</v>
          </cell>
          <cell r="Z28">
            <v>0.17591721542803362</v>
          </cell>
          <cell r="AA28">
            <v>0.33654750705550091</v>
          </cell>
          <cell r="AK28">
            <v>0.1954374412041392</v>
          </cell>
          <cell r="AN28">
            <v>0.11547507055503292</v>
          </cell>
        </row>
        <row r="29">
          <cell r="A29">
            <v>1923</v>
          </cell>
          <cell r="B29">
            <v>35.18</v>
          </cell>
          <cell r="C29">
            <v>1.63</v>
          </cell>
          <cell r="D29">
            <v>4.9800000000000004</v>
          </cell>
          <cell r="E29">
            <v>9.07</v>
          </cell>
          <cell r="F29">
            <v>11.33</v>
          </cell>
          <cell r="P29">
            <v>3.91</v>
          </cell>
          <cell r="S29">
            <v>4.09</v>
          </cell>
          <cell r="X29">
            <v>4.6333143831722566E-2</v>
          </cell>
          <cell r="Y29">
            <v>0.14155770324047756</v>
          </cell>
          <cell r="Z29">
            <v>0.2578169414440023</v>
          </cell>
          <cell r="AA29">
            <v>0.32205798749289372</v>
          </cell>
          <cell r="AK29">
            <v>0.11114269471290507</v>
          </cell>
          <cell r="AN29">
            <v>0.11625923820352473</v>
          </cell>
        </row>
        <row r="30">
          <cell r="A30">
            <v>1924</v>
          </cell>
          <cell r="B30">
            <v>45.65</v>
          </cell>
          <cell r="C30">
            <v>1.61</v>
          </cell>
          <cell r="D30">
            <v>4.4599999999999902</v>
          </cell>
          <cell r="E30">
            <v>6.63</v>
          </cell>
          <cell r="F30">
            <v>8.7799999999999994</v>
          </cell>
          <cell r="P30">
            <v>15.469999999999899</v>
          </cell>
          <cell r="S30">
            <v>8.52</v>
          </cell>
          <cell r="X30">
            <v>3.5268346111719612E-2</v>
          </cell>
          <cell r="Y30">
            <v>9.769989047097459E-2</v>
          </cell>
          <cell r="Z30">
            <v>0.14523548740416212</v>
          </cell>
          <cell r="AA30">
            <v>0.19233296823658269</v>
          </cell>
          <cell r="AK30">
            <v>0.33888280394304271</v>
          </cell>
          <cell r="AN30">
            <v>0.18663745892661557</v>
          </cell>
        </row>
        <row r="31">
          <cell r="A31">
            <v>1925</v>
          </cell>
          <cell r="B31">
            <v>36.49</v>
          </cell>
          <cell r="C31">
            <v>1.66</v>
          </cell>
          <cell r="D31">
            <v>3.59</v>
          </cell>
          <cell r="E31">
            <v>9.94</v>
          </cell>
          <cell r="F31">
            <v>7.55</v>
          </cell>
          <cell r="P31">
            <v>13.569999999999899</v>
          </cell>
          <cell r="S31">
            <v>0</v>
          </cell>
          <cell r="X31">
            <v>4.5491915593313233E-2</v>
          </cell>
          <cell r="Y31">
            <v>9.838311866264729E-2</v>
          </cell>
          <cell r="Z31">
            <v>0.27240339819128523</v>
          </cell>
          <cell r="AA31">
            <v>0.2069060016442861</v>
          </cell>
          <cell r="AK31">
            <v>0.37188270759111808</v>
          </cell>
          <cell r="AN31">
            <v>0</v>
          </cell>
        </row>
        <row r="32">
          <cell r="A32">
            <v>1926</v>
          </cell>
          <cell r="B32">
            <v>45.78</v>
          </cell>
          <cell r="C32">
            <v>2.3199999999999998</v>
          </cell>
          <cell r="D32">
            <v>4.93</v>
          </cell>
          <cell r="E32">
            <v>9.9899999999999896</v>
          </cell>
          <cell r="F32">
            <v>11</v>
          </cell>
          <cell r="P32">
            <v>11.19</v>
          </cell>
          <cell r="S32">
            <v>6.13</v>
          </cell>
          <cell r="X32">
            <v>5.0677151594582782E-2</v>
          </cell>
          <cell r="Y32">
            <v>0.10768894713848841</v>
          </cell>
          <cell r="Z32">
            <v>0.21821756225425926</v>
          </cell>
          <cell r="AA32">
            <v>0.2402795980777632</v>
          </cell>
          <cell r="AK32">
            <v>0.24442988204456093</v>
          </cell>
          <cell r="AN32">
            <v>0.13390126692878987</v>
          </cell>
        </row>
        <row r="33">
          <cell r="A33">
            <v>1927</v>
          </cell>
          <cell r="B33">
            <v>50.91</v>
          </cell>
          <cell r="C33">
            <v>1.93</v>
          </cell>
          <cell r="D33">
            <v>3.15</v>
          </cell>
          <cell r="E33">
            <v>7.41</v>
          </cell>
          <cell r="F33">
            <v>11.82</v>
          </cell>
          <cell r="P33">
            <v>16.77</v>
          </cell>
          <cell r="S33">
            <v>9.6300000000000008</v>
          </cell>
          <cell r="X33">
            <v>3.7910037320762133E-2</v>
          </cell>
          <cell r="Y33">
            <v>6.1873895109015913E-2</v>
          </cell>
          <cell r="Z33">
            <v>0.14555097230406602</v>
          </cell>
          <cell r="AA33">
            <v>0.23217442545668829</v>
          </cell>
          <cell r="AK33">
            <v>0.32940483205657045</v>
          </cell>
          <cell r="AN33">
            <v>0.18915733647613436</v>
          </cell>
        </row>
        <row r="34">
          <cell r="A34">
            <v>1928</v>
          </cell>
          <cell r="B34">
            <v>45.52</v>
          </cell>
          <cell r="C34">
            <v>2.0299999999999998</v>
          </cell>
          <cell r="D34">
            <v>3.68</v>
          </cell>
          <cell r="E34">
            <v>5.65</v>
          </cell>
          <cell r="F34">
            <v>15.93</v>
          </cell>
          <cell r="P34">
            <v>15.91</v>
          </cell>
          <cell r="S34">
            <v>2.13</v>
          </cell>
          <cell r="X34">
            <v>4.4595782073813699E-2</v>
          </cell>
          <cell r="Y34">
            <v>8.0843585237258347E-2</v>
          </cell>
          <cell r="Z34">
            <v>0.12412126537785588</v>
          </cell>
          <cell r="AA34">
            <v>0.34995606326889278</v>
          </cell>
          <cell r="AK34">
            <v>0.3495166959578207</v>
          </cell>
          <cell r="AN34">
            <v>4.6792618629173985E-2</v>
          </cell>
        </row>
        <row r="35">
          <cell r="A35">
            <v>1929</v>
          </cell>
          <cell r="B35">
            <v>45.08</v>
          </cell>
          <cell r="C35">
            <v>1.46</v>
          </cell>
          <cell r="D35">
            <v>3.55</v>
          </cell>
          <cell r="E35">
            <v>12.7</v>
          </cell>
          <cell r="F35">
            <v>12.22</v>
          </cell>
          <cell r="P35">
            <v>14.87</v>
          </cell>
          <cell r="S35">
            <v>0</v>
          </cell>
          <cell r="X35">
            <v>3.2386867790594499E-2</v>
          </cell>
          <cell r="Y35">
            <v>7.8748890860692103E-2</v>
          </cell>
          <cell r="Z35">
            <v>0.28172138420585624</v>
          </cell>
          <cell r="AA35">
            <v>0.27107364685004437</v>
          </cell>
          <cell r="AK35">
            <v>0.32985803016858917</v>
          </cell>
          <cell r="AN35">
            <v>0</v>
          </cell>
        </row>
        <row r="36">
          <cell r="A36">
            <v>1930</v>
          </cell>
          <cell r="B36">
            <v>32.9</v>
          </cell>
          <cell r="C36">
            <v>1.72</v>
          </cell>
          <cell r="D36">
            <v>3.48</v>
          </cell>
          <cell r="E36">
            <v>6.09</v>
          </cell>
          <cell r="F36">
            <v>9.5500000000000007</v>
          </cell>
          <cell r="P36">
            <v>7.1899999999999906</v>
          </cell>
          <cell r="S36">
            <v>4.71</v>
          </cell>
          <cell r="X36">
            <v>5.2279635258358666E-2</v>
          </cell>
          <cell r="Y36">
            <v>0.10577507598784194</v>
          </cell>
          <cell r="Z36">
            <v>0.18510638297872342</v>
          </cell>
          <cell r="AA36">
            <v>0.29027355623100309</v>
          </cell>
          <cell r="AK36">
            <v>0.21854103343465017</v>
          </cell>
          <cell r="AN36">
            <v>0.14316109422492401</v>
          </cell>
        </row>
        <row r="37">
          <cell r="A37">
            <v>1931</v>
          </cell>
          <cell r="B37">
            <v>35.770000000000003</v>
          </cell>
          <cell r="C37">
            <v>1.51</v>
          </cell>
          <cell r="D37">
            <v>3.36</v>
          </cell>
          <cell r="E37">
            <v>7.6099999999999897</v>
          </cell>
          <cell r="F37">
            <v>13.4</v>
          </cell>
          <cell r="P37">
            <v>9.66</v>
          </cell>
          <cell r="S37">
            <v>0</v>
          </cell>
          <cell r="X37">
            <v>4.2214145932345536E-2</v>
          </cell>
          <cell r="Y37">
            <v>9.393346379647749E-2</v>
          </cell>
          <cell r="Z37">
            <v>0.21274811294380735</v>
          </cell>
          <cell r="AA37">
            <v>0.37461559966452335</v>
          </cell>
          <cell r="AK37">
            <v>0.27005870841487278</v>
          </cell>
          <cell r="AN37">
            <v>0</v>
          </cell>
        </row>
        <row r="38">
          <cell r="A38">
            <v>1932</v>
          </cell>
          <cell r="B38">
            <v>43.16</v>
          </cell>
          <cell r="C38">
            <v>1.55</v>
          </cell>
          <cell r="D38">
            <v>5.25</v>
          </cell>
          <cell r="E38">
            <v>6.83</v>
          </cell>
          <cell r="F38">
            <v>8.44</v>
          </cell>
          <cell r="P38">
            <v>13.629999999999992</v>
          </cell>
          <cell r="S38">
            <v>7.34</v>
          </cell>
          <cell r="X38">
            <v>3.5912882298424473E-2</v>
          </cell>
          <cell r="Y38">
            <v>0.12164040778498611</v>
          </cell>
          <cell r="Z38">
            <v>0.15824837812789622</v>
          </cell>
          <cell r="AA38">
            <v>0.19555143651529194</v>
          </cell>
          <cell r="AK38">
            <v>0.31580166821130662</v>
          </cell>
          <cell r="AN38">
            <v>0.17006487488415201</v>
          </cell>
        </row>
        <row r="39">
          <cell r="A39">
            <v>1933</v>
          </cell>
          <cell r="B39">
            <v>46.95</v>
          </cell>
          <cell r="C39">
            <v>2.0099999999999998</v>
          </cell>
          <cell r="D39">
            <v>4.68</v>
          </cell>
          <cell r="E39">
            <v>4.59</v>
          </cell>
          <cell r="F39">
            <v>21.5</v>
          </cell>
          <cell r="P39">
            <v>11.58</v>
          </cell>
          <cell r="S39">
            <v>2.38</v>
          </cell>
          <cell r="X39">
            <v>4.2811501597444082E-2</v>
          </cell>
          <cell r="Y39">
            <v>9.9680511182108619E-2</v>
          </cell>
          <cell r="Z39">
            <v>9.7763578274760371E-2</v>
          </cell>
          <cell r="AA39">
            <v>0.45793397231096911</v>
          </cell>
          <cell r="AK39">
            <v>0.24664536741214055</v>
          </cell>
          <cell r="AN39">
            <v>5.0692225772097969E-2</v>
          </cell>
        </row>
        <row r="40">
          <cell r="A40">
            <v>1934</v>
          </cell>
          <cell r="B40">
            <v>42.4</v>
          </cell>
          <cell r="C40">
            <v>2.08</v>
          </cell>
          <cell r="D40">
            <v>4.2799999999999896</v>
          </cell>
          <cell r="E40">
            <v>8.27</v>
          </cell>
          <cell r="F40">
            <v>10.82</v>
          </cell>
          <cell r="P40">
            <v>11.27</v>
          </cell>
          <cell r="S40">
            <v>5.4499999999999904</v>
          </cell>
          <cell r="X40">
            <v>4.9056603773584909E-2</v>
          </cell>
          <cell r="Y40">
            <v>0.10094339622641485</v>
          </cell>
          <cell r="Z40">
            <v>0.19504716981132075</v>
          </cell>
          <cell r="AA40">
            <v>0.25518867924528305</v>
          </cell>
          <cell r="AK40">
            <v>0.26580188679245281</v>
          </cell>
          <cell r="AN40">
            <v>0.12853773584905639</v>
          </cell>
        </row>
        <row r="41">
          <cell r="A41">
            <v>1935</v>
          </cell>
          <cell r="B41">
            <v>41.37</v>
          </cell>
          <cell r="C41">
            <v>1.73</v>
          </cell>
          <cell r="D41">
            <v>5.13</v>
          </cell>
          <cell r="E41">
            <v>10.65</v>
          </cell>
          <cell r="F41">
            <v>10.3799999999999</v>
          </cell>
          <cell r="P41">
            <v>8.0699999999999896</v>
          </cell>
          <cell r="S41">
            <v>5.1400000000000006</v>
          </cell>
          <cell r="X41">
            <v>4.1817742325356538E-2</v>
          </cell>
          <cell r="Y41">
            <v>0.12400290065264685</v>
          </cell>
          <cell r="Z41">
            <v>0.25743292240754173</v>
          </cell>
          <cell r="AA41">
            <v>0.25090645395213684</v>
          </cell>
          <cell r="AK41">
            <v>0.19506889050036236</v>
          </cell>
          <cell r="AN41">
            <v>0.12424462170655065</v>
          </cell>
        </row>
        <row r="42">
          <cell r="A42">
            <v>1936</v>
          </cell>
          <cell r="B42">
            <v>45.97</v>
          </cell>
          <cell r="C42">
            <v>2.09</v>
          </cell>
          <cell r="D42">
            <v>3.83</v>
          </cell>
          <cell r="E42">
            <v>7.8699999999999903</v>
          </cell>
          <cell r="F42">
            <v>12.639999999999899</v>
          </cell>
          <cell r="P42">
            <v>16.709999999999887</v>
          </cell>
          <cell r="S42">
            <v>2.64</v>
          </cell>
          <cell r="X42">
            <v>4.5464433326082222E-2</v>
          </cell>
          <cell r="Y42">
            <v>8.3315205568849249E-2</v>
          </cell>
          <cell r="Z42">
            <v>0.17119860778768742</v>
          </cell>
          <cell r="AA42">
            <v>0.27496193169458122</v>
          </cell>
          <cell r="AK42">
            <v>0.36349793343484638</v>
          </cell>
          <cell r="AN42">
            <v>5.7428757885577553E-2</v>
          </cell>
        </row>
        <row r="43">
          <cell r="A43">
            <v>1937</v>
          </cell>
          <cell r="B43">
            <v>42.75</v>
          </cell>
          <cell r="C43">
            <v>2.0099999999999998</v>
          </cell>
          <cell r="D43">
            <v>2.61</v>
          </cell>
          <cell r="E43">
            <v>8.3699999999999992</v>
          </cell>
          <cell r="F43">
            <v>12.82</v>
          </cell>
          <cell r="P43">
            <v>14.61</v>
          </cell>
          <cell r="S43">
            <v>2.12</v>
          </cell>
          <cell r="X43">
            <v>4.7017543859649118E-2</v>
          </cell>
          <cell r="Y43">
            <v>6.1052631578947365E-2</v>
          </cell>
          <cell r="Z43">
            <v>0.19578947368421051</v>
          </cell>
          <cell r="AA43">
            <v>0.29988304093567253</v>
          </cell>
          <cell r="AK43">
            <v>0.34175438596491226</v>
          </cell>
          <cell r="AN43">
            <v>4.9590643274853803E-2</v>
          </cell>
        </row>
        <row r="44">
          <cell r="A44">
            <v>1938</v>
          </cell>
          <cell r="B44">
            <v>48.62</v>
          </cell>
          <cell r="C44">
            <v>2.29</v>
          </cell>
          <cell r="D44">
            <v>6.11</v>
          </cell>
          <cell r="E44">
            <v>10.36</v>
          </cell>
          <cell r="F44">
            <v>9.4499999999999993</v>
          </cell>
          <cell r="P44">
            <v>13.260000000000002</v>
          </cell>
          <cell r="S44">
            <v>6.99</v>
          </cell>
          <cell r="X44">
            <v>4.7099958864664747E-2</v>
          </cell>
          <cell r="Y44">
            <v>0.12566844919786097</v>
          </cell>
          <cell r="Z44">
            <v>0.21308103661044839</v>
          </cell>
          <cell r="AA44">
            <v>0.19436445907034142</v>
          </cell>
          <cell r="AK44">
            <v>0.27272727272727276</v>
          </cell>
          <cell r="AN44">
            <v>0.14376799670917317</v>
          </cell>
        </row>
        <row r="45">
          <cell r="A45">
            <v>1939</v>
          </cell>
          <cell r="B45">
            <v>37.450000000000003</v>
          </cell>
          <cell r="C45">
            <v>1.45</v>
          </cell>
          <cell r="D45">
            <v>5.74</v>
          </cell>
          <cell r="E45">
            <v>6.2299999999999898</v>
          </cell>
          <cell r="F45">
            <v>10.239999999999901</v>
          </cell>
          <cell r="P45">
            <v>13.66</v>
          </cell>
          <cell r="S45">
            <v>0</v>
          </cell>
          <cell r="X45">
            <v>3.8718291054739652E-2</v>
          </cell>
          <cell r="Y45">
            <v>0.15327102803738318</v>
          </cell>
          <cell r="Z45">
            <v>0.16635514018691561</v>
          </cell>
          <cell r="AA45">
            <v>0.27343124165553806</v>
          </cell>
          <cell r="AK45">
            <v>0.36475300400534039</v>
          </cell>
          <cell r="AN45">
            <v>0</v>
          </cell>
        </row>
        <row r="46">
          <cell r="A46">
            <v>1940</v>
          </cell>
          <cell r="B46">
            <v>45.9</v>
          </cell>
          <cell r="C46">
            <v>1.63</v>
          </cell>
          <cell r="D46">
            <v>3.5399999999999898</v>
          </cell>
          <cell r="E46">
            <v>5.7</v>
          </cell>
          <cell r="F46">
            <v>20.149999999999899</v>
          </cell>
          <cell r="P46">
            <v>10.1</v>
          </cell>
          <cell r="S46">
            <v>4.62</v>
          </cell>
          <cell r="X46">
            <v>3.5511982570806101E-2</v>
          </cell>
          <cell r="Y46">
            <v>7.7124183006535729E-2</v>
          </cell>
          <cell r="Z46">
            <v>0.12418300653594772</v>
          </cell>
          <cell r="AA46">
            <v>0.43899782135076032</v>
          </cell>
          <cell r="AK46">
            <v>0.22004357298474944</v>
          </cell>
          <cell r="AN46">
            <v>0.10065359477124183</v>
          </cell>
        </row>
        <row r="47">
          <cell r="A47">
            <v>1941</v>
          </cell>
          <cell r="B47">
            <v>36.14</v>
          </cell>
          <cell r="C47">
            <v>1.55</v>
          </cell>
          <cell r="D47">
            <v>3.38</v>
          </cell>
          <cell r="E47">
            <v>5.6899999999999897</v>
          </cell>
          <cell r="F47">
            <v>13.569999999999901</v>
          </cell>
          <cell r="P47">
            <v>11.760000000000002</v>
          </cell>
          <cell r="S47">
            <v>0</v>
          </cell>
          <cell r="X47">
            <v>4.2888765910348646E-2</v>
          </cell>
          <cell r="Y47">
            <v>9.3525179856115109E-2</v>
          </cell>
          <cell r="Z47">
            <v>0.15744327614831183</v>
          </cell>
          <cell r="AA47">
            <v>0.37548422800221087</v>
          </cell>
          <cell r="AK47">
            <v>0.32540121748754847</v>
          </cell>
          <cell r="AN47">
            <v>0</v>
          </cell>
        </row>
        <row r="48">
          <cell r="A48">
            <v>1942</v>
          </cell>
          <cell r="B48">
            <v>50.28</v>
          </cell>
          <cell r="C48">
            <v>1.19</v>
          </cell>
          <cell r="D48">
            <v>3.17</v>
          </cell>
          <cell r="E48">
            <v>6.89</v>
          </cell>
          <cell r="F48">
            <v>21.309999999999899</v>
          </cell>
          <cell r="P48">
            <v>14.51</v>
          </cell>
          <cell r="S48">
            <v>2.95</v>
          </cell>
          <cell r="X48">
            <v>2.3667462211614955E-2</v>
          </cell>
          <cell r="Y48">
            <v>6.3046937151949076E-2</v>
          </cell>
          <cell r="Z48">
            <v>0.13703261734287986</v>
          </cell>
          <cell r="AA48">
            <v>0.42382657120127087</v>
          </cell>
          <cell r="AK48">
            <v>0.28858392999204452</v>
          </cell>
          <cell r="AN48">
            <v>5.8671439936356408E-2</v>
          </cell>
        </row>
        <row r="49">
          <cell r="A49">
            <v>1943</v>
          </cell>
          <cell r="B49">
            <v>36.71</v>
          </cell>
          <cell r="C49">
            <v>1.74</v>
          </cell>
          <cell r="D49">
            <v>4.1199999999999903</v>
          </cell>
          <cell r="E49">
            <v>3.11</v>
          </cell>
          <cell r="F49">
            <v>12.57</v>
          </cell>
          <cell r="P49">
            <v>14.89</v>
          </cell>
          <cell r="S49">
            <v>0</v>
          </cell>
          <cell r="X49">
            <v>4.7398529011168616E-2</v>
          </cell>
          <cell r="Y49">
            <v>0.1122309997275944</v>
          </cell>
          <cell r="Z49">
            <v>8.4718060473985279E-2</v>
          </cell>
          <cell r="AA49">
            <v>0.34241351130482156</v>
          </cell>
          <cell r="AK49">
            <v>0.40561154998637977</v>
          </cell>
          <cell r="AN49">
            <v>0</v>
          </cell>
        </row>
        <row r="50">
          <cell r="A50">
            <v>1944</v>
          </cell>
          <cell r="B50">
            <v>50.54</v>
          </cell>
          <cell r="C50">
            <v>1.81</v>
          </cell>
          <cell r="D50">
            <v>3.36</v>
          </cell>
          <cell r="E50">
            <v>5.43</v>
          </cell>
          <cell r="F50">
            <v>10.83</v>
          </cell>
          <cell r="P50">
            <v>13.309999999999999</v>
          </cell>
          <cell r="S50">
            <v>15.629999999999999</v>
          </cell>
          <cell r="X50">
            <v>3.5813217253660469E-2</v>
          </cell>
          <cell r="Y50">
            <v>6.6481994459833799E-2</v>
          </cell>
          <cell r="Z50">
            <v>0.1074396517609814</v>
          </cell>
          <cell r="AA50">
            <v>0.2142857142857143</v>
          </cell>
          <cell r="AK50">
            <v>0.26335575781559162</v>
          </cell>
          <cell r="AN50">
            <v>0.30925999208547683</v>
          </cell>
        </row>
        <row r="51">
          <cell r="A51">
            <v>1945</v>
          </cell>
          <cell r="B51">
            <v>51.96</v>
          </cell>
          <cell r="C51">
            <v>1.58</v>
          </cell>
          <cell r="D51">
            <v>5.43</v>
          </cell>
          <cell r="E51">
            <v>11.67</v>
          </cell>
          <cell r="F51">
            <v>17.27</v>
          </cell>
          <cell r="P51">
            <v>10.110000000000001</v>
          </cell>
          <cell r="S51">
            <v>5.68</v>
          </cell>
          <cell r="X51">
            <v>3.0408006158583526E-2</v>
          </cell>
          <cell r="Y51">
            <v>0.10450346420323325</v>
          </cell>
          <cell r="Z51">
            <v>0.22459584295612009</v>
          </cell>
          <cell r="AA51">
            <v>0.33237105465742878</v>
          </cell>
          <cell r="AK51">
            <v>0.19457274826789839</v>
          </cell>
          <cell r="AN51">
            <v>0.10931485758275597</v>
          </cell>
        </row>
        <row r="52">
          <cell r="A52">
            <v>1946</v>
          </cell>
          <cell r="B52">
            <v>38.380000000000003</v>
          </cell>
          <cell r="C52">
            <v>1.74</v>
          </cell>
          <cell r="D52">
            <v>4.5</v>
          </cell>
          <cell r="E52">
            <v>4.3299999999999903</v>
          </cell>
          <cell r="F52">
            <v>10.99</v>
          </cell>
          <cell r="P52">
            <v>9.09</v>
          </cell>
          <cell r="S52">
            <v>7.5</v>
          </cell>
          <cell r="X52">
            <v>4.5336112558624284E-2</v>
          </cell>
          <cell r="Y52">
            <v>0.11724856696195934</v>
          </cell>
          <cell r="Z52">
            <v>0.1128191766545073</v>
          </cell>
          <cell r="AA52">
            <v>0.2863470557582074</v>
          </cell>
          <cell r="AK52">
            <v>0.23684210526315785</v>
          </cell>
          <cell r="AN52">
            <v>0.19541427826993224</v>
          </cell>
        </row>
        <row r="53">
          <cell r="A53">
            <v>1947</v>
          </cell>
          <cell r="B53">
            <v>44.78</v>
          </cell>
          <cell r="C53">
            <v>1.6</v>
          </cell>
          <cell r="D53">
            <v>5.14</v>
          </cell>
          <cell r="E53">
            <v>4.3</v>
          </cell>
          <cell r="F53">
            <v>17.849999999999898</v>
          </cell>
          <cell r="P53">
            <v>9.1799999999999908</v>
          </cell>
          <cell r="S53">
            <v>6.47</v>
          </cell>
          <cell r="X53">
            <v>3.5730236712818227E-2</v>
          </cell>
          <cell r="Y53">
            <v>0.11478338543992853</v>
          </cell>
          <cell r="Z53">
            <v>9.6025011165698962E-2</v>
          </cell>
          <cell r="AA53">
            <v>0.39861545332737602</v>
          </cell>
          <cell r="AK53">
            <v>0.20500223313979432</v>
          </cell>
          <cell r="AN53">
            <v>0.14448414470745868</v>
          </cell>
        </row>
        <row r="54">
          <cell r="A54">
            <v>1948</v>
          </cell>
          <cell r="B54">
            <v>49.58</v>
          </cell>
          <cell r="C54">
            <v>2.42</v>
          </cell>
          <cell r="D54">
            <v>4.45</v>
          </cell>
          <cell r="E54">
            <v>11.909999999999901</v>
          </cell>
          <cell r="F54">
            <v>12.34</v>
          </cell>
          <cell r="P54">
            <v>15.15</v>
          </cell>
          <cell r="S54">
            <v>3.1</v>
          </cell>
          <cell r="X54">
            <v>4.8810004033884628E-2</v>
          </cell>
          <cell r="Y54">
            <v>8.9753933037515138E-2</v>
          </cell>
          <cell r="Z54">
            <v>0.24021782977006659</v>
          </cell>
          <cell r="AA54">
            <v>0.24889068172650264</v>
          </cell>
          <cell r="AK54">
            <v>0.30556676079064138</v>
          </cell>
          <cell r="AN54">
            <v>6.2525211778943129E-2</v>
          </cell>
        </row>
        <row r="55">
          <cell r="A55">
            <v>1949</v>
          </cell>
          <cell r="B55">
            <v>39.08</v>
          </cell>
          <cell r="C55">
            <v>1.73</v>
          </cell>
          <cell r="D55">
            <v>3.22</v>
          </cell>
          <cell r="E55">
            <v>7.6199999999999903</v>
          </cell>
          <cell r="F55">
            <v>17.279999999999902</v>
          </cell>
          <cell r="P55">
            <v>7.0299999999999994</v>
          </cell>
          <cell r="S55">
            <v>2.0299999999999998</v>
          </cell>
          <cell r="X55">
            <v>4.4268167860798367E-2</v>
          </cell>
          <cell r="Y55">
            <v>8.2395087001023548E-2</v>
          </cell>
          <cell r="Z55">
            <v>0.19498464687819833</v>
          </cell>
          <cell r="AA55">
            <v>0.4421699078812667</v>
          </cell>
          <cell r="AK55">
            <v>0.17988741044012282</v>
          </cell>
          <cell r="AN55">
            <v>5.194472876151484E-2</v>
          </cell>
        </row>
        <row r="56">
          <cell r="A56">
            <v>1950</v>
          </cell>
          <cell r="B56">
            <v>39.880000000000003</v>
          </cell>
          <cell r="C56">
            <v>2.2200000000000002</v>
          </cell>
          <cell r="D56">
            <v>5.53</v>
          </cell>
          <cell r="E56">
            <v>5.96</v>
          </cell>
          <cell r="F56">
            <v>12.69</v>
          </cell>
          <cell r="P56">
            <v>7.0500000000000007</v>
          </cell>
          <cell r="S56">
            <v>6.15</v>
          </cell>
          <cell r="X56">
            <v>5.5667001003009031E-2</v>
          </cell>
          <cell r="Y56">
            <v>0.13866599799398194</v>
          </cell>
          <cell r="Z56">
            <v>0.14944834503510532</v>
          </cell>
          <cell r="AA56">
            <v>0.31820461384152454</v>
          </cell>
          <cell r="AK56">
            <v>0.17678034102306922</v>
          </cell>
          <cell r="AN56">
            <v>0.15421263791374121</v>
          </cell>
        </row>
        <row r="57">
          <cell r="A57">
            <v>1951</v>
          </cell>
          <cell r="B57">
            <v>47.26</v>
          </cell>
          <cell r="C57">
            <v>2.15</v>
          </cell>
          <cell r="D57">
            <v>3.34</v>
          </cell>
          <cell r="E57">
            <v>8.1199999999999992</v>
          </cell>
          <cell r="F57">
            <v>13.35</v>
          </cell>
          <cell r="P57">
            <v>17.91</v>
          </cell>
          <cell r="S57">
            <v>2.2999999999999998</v>
          </cell>
          <cell r="X57">
            <v>4.549301735082522E-2</v>
          </cell>
          <cell r="Y57">
            <v>7.0672873465933136E-2</v>
          </cell>
          <cell r="Z57">
            <v>0.17181548878544223</v>
          </cell>
          <cell r="AA57">
            <v>0.2824798984341938</v>
          </cell>
          <cell r="AK57">
            <v>0.37896741430385106</v>
          </cell>
          <cell r="AN57">
            <v>4.8666948793906047E-2</v>
          </cell>
        </row>
        <row r="58">
          <cell r="A58">
            <v>1952</v>
          </cell>
          <cell r="B58">
            <v>49.73</v>
          </cell>
          <cell r="C58">
            <v>2.14</v>
          </cell>
          <cell r="D58">
            <v>3.17</v>
          </cell>
          <cell r="E58">
            <v>6.23</v>
          </cell>
          <cell r="F58">
            <v>15.44</v>
          </cell>
          <cell r="P58">
            <v>17.350000000000001</v>
          </cell>
          <cell r="S58">
            <v>5.22</v>
          </cell>
          <cell r="X58">
            <v>4.3032374824049875E-2</v>
          </cell>
          <cell r="Y58">
            <v>6.374421878141967E-2</v>
          </cell>
          <cell r="Z58">
            <v>0.12527649306253771</v>
          </cell>
          <cell r="AA58">
            <v>0.31047657349688318</v>
          </cell>
          <cell r="AK58">
            <v>0.348883973456666</v>
          </cell>
          <cell r="AN58">
            <v>0.10496682083249548</v>
          </cell>
        </row>
        <row r="59">
          <cell r="A59">
            <v>1953</v>
          </cell>
          <cell r="B59">
            <v>45.77</v>
          </cell>
          <cell r="C59">
            <v>1.33</v>
          </cell>
          <cell r="D59">
            <v>4.55</v>
          </cell>
          <cell r="E59">
            <v>8.6399999999999899</v>
          </cell>
          <cell r="F59">
            <v>13.6899999999999</v>
          </cell>
          <cell r="P59">
            <v>14.95</v>
          </cell>
          <cell r="S59">
            <v>2.5</v>
          </cell>
          <cell r="X59">
            <v>2.9058335154031025E-2</v>
          </cell>
          <cell r="Y59">
            <v>9.9410093948000863E-2</v>
          </cell>
          <cell r="Z59">
            <v>0.18876993663972011</v>
          </cell>
          <cell r="AA59">
            <v>0.29910421673585097</v>
          </cell>
          <cell r="AK59">
            <v>0.3266331658291457</v>
          </cell>
          <cell r="AN59">
            <v>5.4620930740659816E-2</v>
          </cell>
        </row>
        <row r="60">
          <cell r="A60">
            <v>1954</v>
          </cell>
          <cell r="B60">
            <v>42.4</v>
          </cell>
          <cell r="C60">
            <v>1.42</v>
          </cell>
          <cell r="D60">
            <v>3.71999999999999</v>
          </cell>
          <cell r="E60">
            <v>5.5299999999999896</v>
          </cell>
          <cell r="F60">
            <v>17.18</v>
          </cell>
          <cell r="P60">
            <v>2.96</v>
          </cell>
          <cell r="S60">
            <v>11.46</v>
          </cell>
          <cell r="X60">
            <v>3.3490566037735849E-2</v>
          </cell>
          <cell r="Y60">
            <v>8.7735849056603546E-2</v>
          </cell>
          <cell r="Z60">
            <v>0.13042452830188656</v>
          </cell>
          <cell r="AA60">
            <v>0.40518867924528301</v>
          </cell>
          <cell r="AK60">
            <v>6.981132075471698E-2</v>
          </cell>
          <cell r="AN60">
            <v>0.2702830188679245</v>
          </cell>
        </row>
        <row r="61">
          <cell r="A61">
            <v>1955</v>
          </cell>
          <cell r="B61">
            <v>41.04</v>
          </cell>
          <cell r="C61">
            <v>1.76</v>
          </cell>
          <cell r="D61">
            <v>3.85</v>
          </cell>
          <cell r="E61">
            <v>4.0999999999999996</v>
          </cell>
          <cell r="F61">
            <v>12.739999999999901</v>
          </cell>
          <cell r="P61">
            <v>7.2699999999999898</v>
          </cell>
          <cell r="S61">
            <v>11.15</v>
          </cell>
          <cell r="X61">
            <v>4.2884990253411311E-2</v>
          </cell>
          <cell r="Y61">
            <v>9.3810916179337234E-2</v>
          </cell>
          <cell r="Z61">
            <v>9.9902534113060423E-2</v>
          </cell>
          <cell r="AA61">
            <v>0.31042884990253172</v>
          </cell>
          <cell r="AK61">
            <v>0.17714424951267033</v>
          </cell>
          <cell r="AN61">
            <v>0.27168615984405459</v>
          </cell>
        </row>
        <row r="62">
          <cell r="A62">
            <v>1956</v>
          </cell>
          <cell r="B62">
            <v>43.58</v>
          </cell>
          <cell r="C62">
            <v>1.98</v>
          </cell>
          <cell r="D62">
            <v>6.17</v>
          </cell>
          <cell r="E62">
            <v>10.18</v>
          </cell>
          <cell r="F62">
            <v>11.059999999999899</v>
          </cell>
          <cell r="P62">
            <v>13.969999999999899</v>
          </cell>
          <cell r="S62">
            <v>0</v>
          </cell>
          <cell r="X62">
            <v>4.5433685176686556E-2</v>
          </cell>
          <cell r="Y62">
            <v>0.14157870582836163</v>
          </cell>
          <cell r="Z62">
            <v>0.23359339146397431</v>
          </cell>
          <cell r="AA62">
            <v>0.25378614043138825</v>
          </cell>
          <cell r="AK62">
            <v>0.32055988985773065</v>
          </cell>
          <cell r="AN62">
            <v>0</v>
          </cell>
        </row>
        <row r="63">
          <cell r="A63">
            <v>1957</v>
          </cell>
          <cell r="B63">
            <v>35</v>
          </cell>
          <cell r="C63">
            <v>2.57</v>
          </cell>
          <cell r="D63">
            <v>3.49</v>
          </cell>
          <cell r="E63">
            <v>9.1899999999999906</v>
          </cell>
          <cell r="F63">
            <v>13.62</v>
          </cell>
          <cell r="P63">
            <v>5.98</v>
          </cell>
          <cell r="S63">
            <v>0</v>
          </cell>
          <cell r="X63">
            <v>7.3428571428571426E-2</v>
          </cell>
          <cell r="Y63">
            <v>9.9714285714285714E-2</v>
          </cell>
          <cell r="Z63">
            <v>0.26257142857142829</v>
          </cell>
          <cell r="AA63">
            <v>0.38914285714285712</v>
          </cell>
          <cell r="AK63">
            <v>0.17085714285714287</v>
          </cell>
          <cell r="AN63">
            <v>0</v>
          </cell>
        </row>
        <row r="64">
          <cell r="A64">
            <v>1958</v>
          </cell>
          <cell r="B64">
            <v>49.81</v>
          </cell>
          <cell r="C64">
            <v>1.56</v>
          </cell>
          <cell r="D64">
            <v>4</v>
          </cell>
          <cell r="E64">
            <v>8.34</v>
          </cell>
          <cell r="F64">
            <v>14.72</v>
          </cell>
          <cell r="P64">
            <v>20.990000000000002</v>
          </cell>
          <cell r="S64">
            <v>0</v>
          </cell>
          <cell r="X64">
            <v>3.131901224653684E-2</v>
          </cell>
          <cell r="Y64">
            <v>8.0305159606504709E-2</v>
          </cell>
          <cell r="Z64">
            <v>0.16743625777956234</v>
          </cell>
          <cell r="AA64">
            <v>0.29552298735193738</v>
          </cell>
          <cell r="AK64">
            <v>0.4214013250351335</v>
          </cell>
          <cell r="AN64">
            <v>0</v>
          </cell>
        </row>
        <row r="65">
          <cell r="A65">
            <v>1959</v>
          </cell>
          <cell r="B65">
            <v>41.32</v>
          </cell>
          <cell r="C65">
            <v>1.74</v>
          </cell>
          <cell r="D65">
            <v>3.18</v>
          </cell>
          <cell r="E65">
            <v>7.34</v>
          </cell>
          <cell r="F65">
            <v>11.9</v>
          </cell>
          <cell r="P65">
            <v>12.19999999999999</v>
          </cell>
          <cell r="S65">
            <v>4.72</v>
          </cell>
          <cell r="X65">
            <v>4.211035818005808E-2</v>
          </cell>
          <cell r="Y65">
            <v>7.6960309777347538E-2</v>
          </cell>
          <cell r="Z65">
            <v>0.1776379477250726</v>
          </cell>
          <cell r="AA65">
            <v>0.28799612778315586</v>
          </cell>
          <cell r="AK65">
            <v>0.29525653436592425</v>
          </cell>
          <cell r="AN65">
            <v>0.11423039690222651</v>
          </cell>
        </row>
        <row r="66">
          <cell r="A66">
            <v>1960</v>
          </cell>
          <cell r="B66">
            <v>49.41</v>
          </cell>
          <cell r="C66">
            <v>1.32</v>
          </cell>
          <cell r="D66">
            <v>3.64</v>
          </cell>
          <cell r="E66">
            <v>6.63</v>
          </cell>
          <cell r="F66">
            <v>13.79</v>
          </cell>
          <cell r="P66">
            <v>10.79</v>
          </cell>
          <cell r="S66">
            <v>13.059999999999999</v>
          </cell>
          <cell r="X66">
            <v>2.6715239829993933E-2</v>
          </cell>
          <cell r="Y66">
            <v>7.3669297713013573E-2</v>
          </cell>
          <cell r="Z66">
            <v>0.13418336369156042</v>
          </cell>
          <cell r="AA66">
            <v>0.27909330095122448</v>
          </cell>
          <cell r="AK66">
            <v>0.21837684679214733</v>
          </cell>
          <cell r="AN66">
            <v>0.26431896377251574</v>
          </cell>
        </row>
        <row r="67">
          <cell r="A67">
            <v>1961</v>
          </cell>
          <cell r="B67">
            <v>45.53</v>
          </cell>
          <cell r="C67">
            <v>1.36</v>
          </cell>
          <cell r="D67">
            <v>5.2299999999999898</v>
          </cell>
          <cell r="E67">
            <v>8.75</v>
          </cell>
          <cell r="F67">
            <v>13.92</v>
          </cell>
          <cell r="P67">
            <v>14.059999999999899</v>
          </cell>
          <cell r="S67">
            <v>2.1</v>
          </cell>
          <cell r="X67">
            <v>2.9870415110915882E-2</v>
          </cell>
          <cell r="Y67">
            <v>0.11486931693388952</v>
          </cell>
          <cell r="Z67">
            <v>0.19218097957390731</v>
          </cell>
          <cell r="AA67">
            <v>0.30573248407643311</v>
          </cell>
          <cell r="AK67">
            <v>0.30880737974961342</v>
          </cell>
          <cell r="AN67">
            <v>4.6123435097737753E-2</v>
          </cell>
        </row>
        <row r="68">
          <cell r="A68">
            <v>1962</v>
          </cell>
          <cell r="B68">
            <v>40.01</v>
          </cell>
          <cell r="C68">
            <v>2.1</v>
          </cell>
          <cell r="D68">
            <v>1.9199999999999899</v>
          </cell>
          <cell r="E68">
            <v>5.77</v>
          </cell>
          <cell r="F68">
            <v>13.7799999999999</v>
          </cell>
          <cell r="P68">
            <v>16.190000000000001</v>
          </cell>
          <cell r="S68">
            <v>0</v>
          </cell>
          <cell r="X68">
            <v>5.2486878280429895E-2</v>
          </cell>
          <cell r="Y68">
            <v>4.7988002999249942E-2</v>
          </cell>
          <cell r="Z68">
            <v>0.14421394651337166</v>
          </cell>
          <cell r="AA68">
            <v>0.34441389652586607</v>
          </cell>
          <cell r="AK68">
            <v>0.40464883779055238</v>
          </cell>
          <cell r="AN68">
            <v>0</v>
          </cell>
        </row>
        <row r="69">
          <cell r="A69">
            <v>1963</v>
          </cell>
          <cell r="B69">
            <v>32.950000000000003</v>
          </cell>
          <cell r="C69">
            <v>1.6</v>
          </cell>
          <cell r="D69">
            <v>3.3499999999999899</v>
          </cell>
          <cell r="E69">
            <v>8.93</v>
          </cell>
          <cell r="F69">
            <v>7.87</v>
          </cell>
          <cell r="P69">
            <v>2.4</v>
          </cell>
          <cell r="S69">
            <v>8.57</v>
          </cell>
          <cell r="X69">
            <v>4.8558421851289835E-2</v>
          </cell>
          <cell r="Y69">
            <v>0.10166919575113777</v>
          </cell>
          <cell r="Z69">
            <v>0.27101669195751132</v>
          </cell>
          <cell r="AA69">
            <v>0.23884673748103186</v>
          </cell>
          <cell r="AK69">
            <v>7.2837632776934738E-2</v>
          </cell>
          <cell r="AN69">
            <v>0.26009104704097114</v>
          </cell>
        </row>
        <row r="70">
          <cell r="A70">
            <v>1964</v>
          </cell>
          <cell r="B70">
            <v>37.479999999999997</v>
          </cell>
          <cell r="C70">
            <v>1.78</v>
          </cell>
          <cell r="D70">
            <v>4.1399999999999997</v>
          </cell>
          <cell r="E70">
            <v>7.8199999999999896</v>
          </cell>
          <cell r="F70">
            <v>10.96</v>
          </cell>
          <cell r="P70">
            <v>9.91</v>
          </cell>
          <cell r="S70">
            <v>2.71</v>
          </cell>
          <cell r="X70">
            <v>4.7491995731056572E-2</v>
          </cell>
          <cell r="Y70">
            <v>0.1104589114194237</v>
          </cell>
          <cell r="Z70">
            <v>0.20864461045891117</v>
          </cell>
          <cell r="AA70">
            <v>0.29242262540021352</v>
          </cell>
          <cell r="AK70">
            <v>0.26440768409818571</v>
          </cell>
          <cell r="AN70">
            <v>7.2305229455709719E-2</v>
          </cell>
        </row>
        <row r="71">
          <cell r="A71">
            <v>1965</v>
          </cell>
          <cell r="B71">
            <v>27.51</v>
          </cell>
          <cell r="C71">
            <v>1.89</v>
          </cell>
          <cell r="D71">
            <v>4.62</v>
          </cell>
          <cell r="E71">
            <v>6.14</v>
          </cell>
          <cell r="F71">
            <v>9.5299999999999994</v>
          </cell>
          <cell r="P71">
            <v>5.21</v>
          </cell>
          <cell r="S71">
            <v>0</v>
          </cell>
          <cell r="X71">
            <v>6.8702290076335867E-2</v>
          </cell>
          <cell r="Y71">
            <v>0.16793893129770993</v>
          </cell>
          <cell r="Z71">
            <v>0.22319156670301707</v>
          </cell>
          <cell r="AA71">
            <v>0.34641948382406396</v>
          </cell>
          <cell r="AK71">
            <v>0.18938567793529623</v>
          </cell>
          <cell r="AN71">
            <v>0</v>
          </cell>
        </row>
        <row r="72">
          <cell r="A72">
            <v>1966</v>
          </cell>
          <cell r="B72">
            <v>45.17</v>
          </cell>
          <cell r="C72">
            <v>1.49</v>
          </cell>
          <cell r="D72">
            <v>2.8</v>
          </cell>
          <cell r="E72">
            <v>7.00999999999999</v>
          </cell>
          <cell r="F72">
            <v>12.06</v>
          </cell>
          <cell r="P72">
            <v>4.5999999999999996</v>
          </cell>
          <cell r="S72">
            <v>17.010000000000002</v>
          </cell>
          <cell r="X72">
            <v>3.2986495461589549E-2</v>
          </cell>
          <cell r="Y72">
            <v>6.1988045162718615E-2</v>
          </cell>
          <cell r="Z72">
            <v>0.15519149878237745</v>
          </cell>
          <cell r="AA72">
            <v>0.26699136595085232</v>
          </cell>
          <cell r="AK72">
            <v>0.10183750276732344</v>
          </cell>
          <cell r="AN72">
            <v>0.37657737436351557</v>
          </cell>
        </row>
        <row r="73">
          <cell r="A73">
            <v>1967</v>
          </cell>
          <cell r="B73">
            <v>49.06</v>
          </cell>
          <cell r="C73">
            <v>1.37</v>
          </cell>
          <cell r="D73">
            <v>4.3499999999999996</v>
          </cell>
          <cell r="E73">
            <v>10.979999999999899</v>
          </cell>
          <cell r="F73">
            <v>14.99</v>
          </cell>
          <cell r="P73">
            <v>12.77</v>
          </cell>
          <cell r="S73">
            <v>4.53</v>
          </cell>
          <cell r="X73">
            <v>2.7924989808397881E-2</v>
          </cell>
          <cell r="Y73">
            <v>8.8666938442723178E-2</v>
          </cell>
          <cell r="Z73">
            <v>0.22380758255197511</v>
          </cell>
          <cell r="AA73">
            <v>0.30554423155320015</v>
          </cell>
          <cell r="AK73">
            <v>0.26029351814105173</v>
          </cell>
          <cell r="AN73">
            <v>9.2335915205870367E-2</v>
          </cell>
        </row>
        <row r="74">
          <cell r="A74">
            <v>1968</v>
          </cell>
          <cell r="B74">
            <v>46.15</v>
          </cell>
          <cell r="C74">
            <v>1.7</v>
          </cell>
          <cell r="D74">
            <v>2.5499999999999998</v>
          </cell>
          <cell r="E74">
            <v>5.0999999999999996</v>
          </cell>
          <cell r="F74">
            <v>17.71</v>
          </cell>
          <cell r="P74">
            <v>8.7100000000000009</v>
          </cell>
          <cell r="S74">
            <v>10.16</v>
          </cell>
          <cell r="X74">
            <v>3.6836403033586131E-2</v>
          </cell>
          <cell r="Y74">
            <v>5.5254604550379199E-2</v>
          </cell>
          <cell r="Z74">
            <v>0.1105092091007584</v>
          </cell>
          <cell r="AA74">
            <v>0.38374864572047673</v>
          </cell>
          <cell r="AK74">
            <v>0.18873239436619721</v>
          </cell>
          <cell r="AN74">
            <v>0.22015167930660889</v>
          </cell>
        </row>
        <row r="75">
          <cell r="A75">
            <v>1969</v>
          </cell>
          <cell r="B75">
            <v>45.18</v>
          </cell>
          <cell r="C75">
            <v>1.78</v>
          </cell>
          <cell r="D75">
            <v>3.64</v>
          </cell>
          <cell r="E75">
            <v>9.1499999999999897</v>
          </cell>
          <cell r="F75">
            <v>13.68</v>
          </cell>
          <cell r="P75">
            <v>12.29</v>
          </cell>
          <cell r="S75">
            <v>4.45</v>
          </cell>
          <cell r="X75">
            <v>3.9397963700752547E-2</v>
          </cell>
          <cell r="Y75">
            <v>8.0566622399291729E-2</v>
          </cell>
          <cell r="Z75">
            <v>0.20252324037184571</v>
          </cell>
          <cell r="AA75">
            <v>0.30278884462151395</v>
          </cell>
          <cell r="AK75">
            <v>0.27202301903497123</v>
          </cell>
          <cell r="AN75">
            <v>9.8494909251881368E-2</v>
          </cell>
        </row>
        <row r="76">
          <cell r="A76">
            <v>1970</v>
          </cell>
          <cell r="B76">
            <v>40.92</v>
          </cell>
          <cell r="C76">
            <v>1.46</v>
          </cell>
          <cell r="D76">
            <v>3.43</v>
          </cell>
          <cell r="E76">
            <v>7.59</v>
          </cell>
          <cell r="F76">
            <v>17.36</v>
          </cell>
          <cell r="P76">
            <v>10.8</v>
          </cell>
          <cell r="S76">
            <v>0</v>
          </cell>
          <cell r="X76">
            <v>3.5679374389051804E-2</v>
          </cell>
          <cell r="Y76">
            <v>8.3822091886608011E-2</v>
          </cell>
          <cell r="Z76">
            <v>0.18548387096774194</v>
          </cell>
          <cell r="AA76">
            <v>0.4242424242424242</v>
          </cell>
          <cell r="AK76">
            <v>0.26392961876832843</v>
          </cell>
          <cell r="AN76">
            <v>0</v>
          </cell>
        </row>
        <row r="77">
          <cell r="A77">
            <v>1971</v>
          </cell>
          <cell r="B77">
            <v>51.96</v>
          </cell>
          <cell r="C77">
            <v>1.74</v>
          </cell>
          <cell r="D77">
            <v>3.97</v>
          </cell>
          <cell r="E77">
            <v>7.49</v>
          </cell>
          <cell r="F77">
            <v>11.55</v>
          </cell>
          <cell r="P77">
            <v>14.25</v>
          </cell>
          <cell r="S77">
            <v>12.67</v>
          </cell>
          <cell r="X77">
            <v>3.348729792147806E-2</v>
          </cell>
          <cell r="Y77">
            <v>7.6404926866820627E-2</v>
          </cell>
          <cell r="Z77">
            <v>0.14414934565050039</v>
          </cell>
          <cell r="AA77">
            <v>0.22228637413394919</v>
          </cell>
          <cell r="AK77">
            <v>0.27424942263279445</v>
          </cell>
          <cell r="AN77">
            <v>0.24384141647421093</v>
          </cell>
        </row>
        <row r="78">
          <cell r="A78">
            <v>1972</v>
          </cell>
          <cell r="B78">
            <v>57.25</v>
          </cell>
          <cell r="C78">
            <v>2.2200000000000002</v>
          </cell>
          <cell r="D78">
            <v>4.0199999999999996</v>
          </cell>
          <cell r="E78">
            <v>8.0299999999999994</v>
          </cell>
          <cell r="F78">
            <v>18.579999999999998</v>
          </cell>
          <cell r="P78">
            <v>15.4299999999999</v>
          </cell>
          <cell r="S78">
            <v>8.6999999999999993</v>
          </cell>
          <cell r="X78">
            <v>3.8777292576419216E-2</v>
          </cell>
          <cell r="Y78">
            <v>7.0218340611353708E-2</v>
          </cell>
          <cell r="Z78">
            <v>0.14026200873362443</v>
          </cell>
          <cell r="AA78">
            <v>0.32454148471615718</v>
          </cell>
          <cell r="AK78">
            <v>0.26951965065502009</v>
          </cell>
          <cell r="AN78">
            <v>0.15196506550218342</v>
          </cell>
        </row>
        <row r="79">
          <cell r="A79">
            <v>1973</v>
          </cell>
          <cell r="B79">
            <v>56.53</v>
          </cell>
          <cell r="C79">
            <v>1.58</v>
          </cell>
          <cell r="D79">
            <v>4.51</v>
          </cell>
          <cell r="E79">
            <v>5.8599999999999897</v>
          </cell>
          <cell r="F79">
            <v>14.87</v>
          </cell>
          <cell r="P79">
            <v>18.810000000000002</v>
          </cell>
          <cell r="S79">
            <v>10.74</v>
          </cell>
          <cell r="X79">
            <v>2.7949761188749336E-2</v>
          </cell>
          <cell r="Y79">
            <v>7.9780647443835132E-2</v>
          </cell>
          <cell r="Z79">
            <v>0.1036617725101714</v>
          </cell>
          <cell r="AA79">
            <v>0.26304617017512821</v>
          </cell>
          <cell r="AK79">
            <v>0.332743675924288</v>
          </cell>
          <cell r="AN79">
            <v>0.18998761719441004</v>
          </cell>
        </row>
        <row r="80">
          <cell r="A80">
            <v>1974</v>
          </cell>
          <cell r="B80">
            <v>43.09</v>
          </cell>
          <cell r="C80">
            <v>1.39</v>
          </cell>
          <cell r="D80">
            <v>3.8799999999999901</v>
          </cell>
          <cell r="E80">
            <v>8.7499999999999893</v>
          </cell>
          <cell r="F80">
            <v>12.99</v>
          </cell>
          <cell r="P80">
            <v>11.41</v>
          </cell>
          <cell r="S80">
            <v>4.38</v>
          </cell>
          <cell r="X80">
            <v>3.2258064516129024E-2</v>
          </cell>
          <cell r="Y80">
            <v>9.0044093757252031E-2</v>
          </cell>
          <cell r="Z80">
            <v>0.20306335576699905</v>
          </cell>
          <cell r="AA80">
            <v>0.30146205616152238</v>
          </cell>
          <cell r="AK80">
            <v>0.26479461592016706</v>
          </cell>
          <cell r="AN80">
            <v>0.10164771408679507</v>
          </cell>
        </row>
        <row r="81">
          <cell r="A81">
            <v>1975</v>
          </cell>
          <cell r="B81">
            <v>65.849999999999994</v>
          </cell>
          <cell r="C81">
            <v>1.66</v>
          </cell>
          <cell r="D81">
            <v>5.24</v>
          </cell>
          <cell r="E81">
            <v>8.21999999999999</v>
          </cell>
          <cell r="F81">
            <v>16.84</v>
          </cell>
          <cell r="P81">
            <v>24.61</v>
          </cell>
          <cell r="S81">
            <v>8.9699999999999989</v>
          </cell>
          <cell r="X81">
            <v>2.5208807896735005E-2</v>
          </cell>
          <cell r="Y81">
            <v>7.957479119210327E-2</v>
          </cell>
          <cell r="Z81">
            <v>0.1248291571753985</v>
          </cell>
          <cell r="AA81">
            <v>0.25573272589217921</v>
          </cell>
          <cell r="AK81">
            <v>0.37372817008352321</v>
          </cell>
          <cell r="AN81">
            <v>0.13621867881548977</v>
          </cell>
        </row>
        <row r="82">
          <cell r="A82">
            <v>1976</v>
          </cell>
          <cell r="B82">
            <v>36.159999999999997</v>
          </cell>
          <cell r="C82">
            <v>1.78</v>
          </cell>
          <cell r="D82">
            <v>5.13</v>
          </cell>
          <cell r="E82">
            <v>6.74</v>
          </cell>
          <cell r="F82">
            <v>8.43</v>
          </cell>
          <cell r="P82">
            <v>7.22</v>
          </cell>
          <cell r="S82">
            <v>6.65</v>
          </cell>
          <cell r="X82">
            <v>4.9225663716814166E-2</v>
          </cell>
          <cell r="Y82">
            <v>0.14186946902654868</v>
          </cell>
          <cell r="Z82">
            <v>0.18639380530973454</v>
          </cell>
          <cell r="AA82">
            <v>0.23313053097345135</v>
          </cell>
          <cell r="AK82">
            <v>0.19966814159292035</v>
          </cell>
          <cell r="AN82">
            <v>0.18390486725663718</v>
          </cell>
        </row>
        <row r="83">
          <cell r="A83">
            <v>1977</v>
          </cell>
          <cell r="B83">
            <v>51.38</v>
          </cell>
          <cell r="C83">
            <v>1.44</v>
          </cell>
          <cell r="D83">
            <v>4.4400000000000004</v>
          </cell>
          <cell r="E83">
            <v>7.5999999999999899</v>
          </cell>
          <cell r="F83">
            <v>16.87</v>
          </cell>
          <cell r="P83">
            <v>12.469999999999999</v>
          </cell>
          <cell r="S83">
            <v>8.26</v>
          </cell>
          <cell r="X83">
            <v>2.8026469443363174E-2</v>
          </cell>
          <cell r="Y83">
            <v>8.6414947450369803E-2</v>
          </cell>
          <cell r="Z83">
            <v>0.1479174776177499</v>
          </cell>
          <cell r="AA83">
            <v>0.32833787465940056</v>
          </cell>
          <cell r="AK83">
            <v>0.24270144024912416</v>
          </cell>
          <cell r="AN83">
            <v>0.16076294277929154</v>
          </cell>
        </row>
        <row r="84">
          <cell r="A84">
            <v>1978</v>
          </cell>
          <cell r="B84">
            <v>46.12</v>
          </cell>
          <cell r="C84">
            <v>1.35</v>
          </cell>
          <cell r="D84">
            <v>3.44</v>
          </cell>
          <cell r="E84">
            <v>7.97</v>
          </cell>
          <cell r="F84">
            <v>12.7699999999999</v>
          </cell>
          <cell r="P84">
            <v>18.1299999999999</v>
          </cell>
          <cell r="S84">
            <v>2.1800000000000002</v>
          </cell>
          <cell r="X84">
            <v>2.9271465741543802E-2</v>
          </cell>
          <cell r="Y84">
            <v>7.4588031222896797E-2</v>
          </cell>
          <cell r="Z84">
            <v>0.17281006071118821</v>
          </cell>
          <cell r="AA84">
            <v>0.2768863833477862</v>
          </cell>
          <cell r="AK84">
            <v>0.39310494362532311</v>
          </cell>
          <cell r="AN84">
            <v>4.7267996530789252E-2</v>
          </cell>
        </row>
        <row r="85">
          <cell r="A85">
            <v>1979</v>
          </cell>
          <cell r="B85">
            <v>59.11</v>
          </cell>
          <cell r="C85">
            <v>1.62</v>
          </cell>
          <cell r="D85">
            <v>5.09</v>
          </cell>
          <cell r="E85">
            <v>9.0299999999999994</v>
          </cell>
          <cell r="F85">
            <v>12.76</v>
          </cell>
          <cell r="P85">
            <v>16.37</v>
          </cell>
          <cell r="S85">
            <v>14.009999999999991</v>
          </cell>
          <cell r="X85">
            <v>2.7406530197936055E-2</v>
          </cell>
          <cell r="Y85">
            <v>8.6110641177465738E-2</v>
          </cell>
          <cell r="Z85">
            <v>0.15276602943664352</v>
          </cell>
          <cell r="AA85">
            <v>0.21586871933682963</v>
          </cell>
          <cell r="AK85">
            <v>0.27694129588902044</v>
          </cell>
          <cell r="AN85">
            <v>0.23701573337844678</v>
          </cell>
        </row>
        <row r="86">
          <cell r="A86">
            <v>1980</v>
          </cell>
          <cell r="B86">
            <v>38.97</v>
          </cell>
          <cell r="C86">
            <v>1.35</v>
          </cell>
          <cell r="D86">
            <v>4.17</v>
          </cell>
          <cell r="E86">
            <v>5.69</v>
          </cell>
          <cell r="F86">
            <v>11.72</v>
          </cell>
          <cell r="P86">
            <v>12.75999999999998</v>
          </cell>
          <cell r="S86">
            <v>3.01</v>
          </cell>
          <cell r="X86">
            <v>3.4642032332563515E-2</v>
          </cell>
          <cell r="Y86">
            <v>0.10700538876058506</v>
          </cell>
          <cell r="Z86">
            <v>0.14600975109058251</v>
          </cell>
          <cell r="AA86">
            <v>0.30074416217603289</v>
          </cell>
          <cell r="AK86">
            <v>0.32743135745445162</v>
          </cell>
          <cell r="AN86">
            <v>7.7238901719271225E-2</v>
          </cell>
        </row>
        <row r="87">
          <cell r="A87">
            <v>1981</v>
          </cell>
          <cell r="B87">
            <v>40</v>
          </cell>
          <cell r="C87">
            <v>1.85</v>
          </cell>
          <cell r="D87">
            <v>2.82</v>
          </cell>
          <cell r="E87">
            <v>6.7099999999999902</v>
          </cell>
          <cell r="F87">
            <v>11.01</v>
          </cell>
          <cell r="P87">
            <v>12.79</v>
          </cell>
          <cell r="S87">
            <v>4.4800000000000004</v>
          </cell>
          <cell r="X87">
            <v>4.6249999999999999E-2</v>
          </cell>
          <cell r="Y87">
            <v>7.0499999999999993E-2</v>
          </cell>
          <cell r="Z87">
            <v>0.16774999999999976</v>
          </cell>
          <cell r="AA87">
            <v>0.27524999999999999</v>
          </cell>
          <cell r="AK87">
            <v>0.31974999999999998</v>
          </cell>
          <cell r="AN87">
            <v>0.11200000000000002</v>
          </cell>
        </row>
        <row r="88">
          <cell r="A88">
            <v>1982</v>
          </cell>
          <cell r="B88">
            <v>40.98</v>
          </cell>
          <cell r="C88">
            <v>1.54</v>
          </cell>
          <cell r="D88">
            <v>3.5399999999999898</v>
          </cell>
          <cell r="E88">
            <v>6.1199999999999903</v>
          </cell>
          <cell r="F88">
            <v>10.48</v>
          </cell>
          <cell r="P88">
            <v>16.689999999999998</v>
          </cell>
          <cell r="S88">
            <v>2.3199999999999998</v>
          </cell>
          <cell r="X88">
            <v>3.7579306979014154E-2</v>
          </cell>
          <cell r="Y88">
            <v>8.6383601756954365E-2</v>
          </cell>
          <cell r="Z88">
            <v>0.14934114202049759</v>
          </cell>
          <cell r="AA88">
            <v>0.25573450463640801</v>
          </cell>
          <cell r="AK88">
            <v>0.40727183992191318</v>
          </cell>
          <cell r="AN88">
            <v>5.6612981942410934E-2</v>
          </cell>
        </row>
        <row r="89">
          <cell r="A89">
            <v>1983</v>
          </cell>
          <cell r="B89">
            <v>61.82</v>
          </cell>
          <cell r="C89">
            <v>1</v>
          </cell>
          <cell r="D89">
            <v>3.57</v>
          </cell>
          <cell r="E89">
            <v>5.92</v>
          </cell>
          <cell r="F89">
            <v>13.93</v>
          </cell>
          <cell r="P89">
            <v>30.379999999999797</v>
          </cell>
          <cell r="S89">
            <v>6.86</v>
          </cell>
          <cell r="X89">
            <v>1.6175994823681657E-2</v>
          </cell>
          <cell r="Y89">
            <v>5.7748301520543513E-2</v>
          </cell>
          <cell r="Z89">
            <v>9.5761889356195409E-2</v>
          </cell>
          <cell r="AA89">
            <v>0.22533160789388545</v>
          </cell>
          <cell r="AK89">
            <v>0.49142672274344545</v>
          </cell>
          <cell r="AN89">
            <v>0.11096732449045617</v>
          </cell>
        </row>
        <row r="90">
          <cell r="A90">
            <v>1984</v>
          </cell>
          <cell r="B90">
            <v>52.93</v>
          </cell>
          <cell r="C90">
            <v>1.43</v>
          </cell>
          <cell r="D90">
            <v>2.8699999999999899</v>
          </cell>
          <cell r="E90">
            <v>8.18</v>
          </cell>
          <cell r="F90">
            <v>19.170000000000002</v>
          </cell>
          <cell r="P90">
            <v>18.2</v>
          </cell>
          <cell r="S90">
            <v>2.84</v>
          </cell>
          <cell r="X90">
            <v>2.701681466087285E-2</v>
          </cell>
          <cell r="Y90">
            <v>5.422255809559777E-2</v>
          </cell>
          <cell r="Z90">
            <v>0.15454373701114679</v>
          </cell>
          <cell r="AA90">
            <v>0.36217645947477806</v>
          </cell>
          <cell r="AK90">
            <v>0.343850368411109</v>
          </cell>
          <cell r="AN90">
            <v>5.3655771774041183E-2</v>
          </cell>
        </row>
        <row r="91">
          <cell r="A91">
            <v>1985</v>
          </cell>
          <cell r="B91">
            <v>43.42</v>
          </cell>
          <cell r="C91">
            <v>1.94</v>
          </cell>
          <cell r="D91">
            <v>2.95</v>
          </cell>
          <cell r="E91">
            <v>4.38</v>
          </cell>
          <cell r="F91">
            <v>13.14</v>
          </cell>
          <cell r="P91">
            <v>15.77</v>
          </cell>
          <cell r="S91">
            <v>4.8499999999999996</v>
          </cell>
          <cell r="X91">
            <v>4.4679871027176417E-2</v>
          </cell>
          <cell r="Y91">
            <v>6.7941040994933213E-2</v>
          </cell>
          <cell r="Z91">
            <v>0.10087517273146016</v>
          </cell>
          <cell r="AA91">
            <v>0.30262551819438049</v>
          </cell>
          <cell r="AK91">
            <v>0.36319668355596502</v>
          </cell>
          <cell r="AN91">
            <v>0.11169967756794104</v>
          </cell>
        </row>
        <row r="92">
          <cell r="A92">
            <v>1986</v>
          </cell>
          <cell r="B92">
            <v>41.51</v>
          </cell>
          <cell r="C92">
            <v>1.94</v>
          </cell>
          <cell r="D92">
            <v>4.04</v>
          </cell>
          <cell r="E92">
            <v>7.49</v>
          </cell>
          <cell r="F92">
            <v>11.969999999999899</v>
          </cell>
          <cell r="P92">
            <v>13.189999999999991</v>
          </cell>
          <cell r="S92">
            <v>2.59</v>
          </cell>
          <cell r="X92">
            <v>4.6735726331004576E-2</v>
          </cell>
          <cell r="Y92">
            <v>9.7325945555287882E-2</v>
          </cell>
          <cell r="Z92">
            <v>0.18043844856661048</v>
          </cell>
          <cell r="AA92">
            <v>0.28836424957841245</v>
          </cell>
          <cell r="AK92">
            <v>0.31775475788966495</v>
          </cell>
          <cell r="AN92">
            <v>6.2394603709949412E-2</v>
          </cell>
        </row>
        <row r="93">
          <cell r="A93">
            <v>1987</v>
          </cell>
          <cell r="B93">
            <v>49.53</v>
          </cell>
          <cell r="C93">
            <v>1.79</v>
          </cell>
          <cell r="D93">
            <v>3.95</v>
          </cell>
          <cell r="E93">
            <v>6.82</v>
          </cell>
          <cell r="F93">
            <v>15.79</v>
          </cell>
          <cell r="P93">
            <v>18.789999999999988</v>
          </cell>
          <cell r="S93">
            <v>2.09</v>
          </cell>
          <cell r="X93">
            <v>3.6139713305067635E-2</v>
          </cell>
          <cell r="Y93">
            <v>7.9749646678780539E-2</v>
          </cell>
          <cell r="Z93">
            <v>0.13769432667070464</v>
          </cell>
          <cell r="AA93">
            <v>0.318796688875429</v>
          </cell>
          <cell r="AK93">
            <v>0.37936604078336339</v>
          </cell>
          <cell r="AN93">
            <v>4.2196648495861092E-2</v>
          </cell>
        </row>
        <row r="94">
          <cell r="A94">
            <v>1988</v>
          </cell>
          <cell r="B94">
            <v>48.66</v>
          </cell>
          <cell r="C94">
            <v>0.99</v>
          </cell>
          <cell r="D94">
            <v>3.43</v>
          </cell>
          <cell r="E94">
            <v>8.2999999999999901</v>
          </cell>
          <cell r="F94">
            <v>11.37</v>
          </cell>
          <cell r="P94">
            <v>17.27</v>
          </cell>
          <cell r="S94">
            <v>7.07</v>
          </cell>
          <cell r="X94">
            <v>2.0345252774352653E-2</v>
          </cell>
          <cell r="Y94">
            <v>7.0489108096999598E-2</v>
          </cell>
          <cell r="Z94">
            <v>0.17057131113851193</v>
          </cell>
          <cell r="AA94">
            <v>0.23366214549938347</v>
          </cell>
          <cell r="AK94">
            <v>0.35491163173037404</v>
          </cell>
          <cell r="AN94">
            <v>0.14529387587340734</v>
          </cell>
        </row>
        <row r="95">
          <cell r="A95">
            <v>1989</v>
          </cell>
          <cell r="B95">
            <v>60.47</v>
          </cell>
          <cell r="C95">
            <v>2.14</v>
          </cell>
          <cell r="D95">
            <v>4.0599999999999996</v>
          </cell>
          <cell r="E95">
            <v>8.5299999999999994</v>
          </cell>
          <cell r="F95">
            <v>15.74</v>
          </cell>
          <cell r="P95">
            <v>13.95</v>
          </cell>
          <cell r="S95">
            <v>15.729999999999999</v>
          </cell>
          <cell r="X95">
            <v>3.5389449313709277E-2</v>
          </cell>
          <cell r="Y95">
            <v>6.7140730940962456E-2</v>
          </cell>
          <cell r="Z95">
            <v>0.14106168347941128</v>
          </cell>
          <cell r="AA95">
            <v>0.260294360840086</v>
          </cell>
          <cell r="AK95">
            <v>0.23069290557301142</v>
          </cell>
          <cell r="AN95">
            <v>0.26012898958161074</v>
          </cell>
        </row>
        <row r="96">
          <cell r="A96">
            <v>1990</v>
          </cell>
          <cell r="B96">
            <v>52.32</v>
          </cell>
          <cell r="C96">
            <v>2.04</v>
          </cell>
          <cell r="D96">
            <v>4.13</v>
          </cell>
          <cell r="E96">
            <v>8.1</v>
          </cell>
          <cell r="F96">
            <v>14.84</v>
          </cell>
          <cell r="P96">
            <v>17.810000000000002</v>
          </cell>
          <cell r="S96">
            <v>5.07</v>
          </cell>
          <cell r="X96">
            <v>3.8990825688073397E-2</v>
          </cell>
          <cell r="Y96">
            <v>7.8937308868501532E-2</v>
          </cell>
          <cell r="Z96">
            <v>0.15481651376146788</v>
          </cell>
          <cell r="AA96">
            <v>0.28363914373088683</v>
          </cell>
          <cell r="AK96">
            <v>0.3404051987767584</v>
          </cell>
          <cell r="AN96">
            <v>9.6903669724770658E-2</v>
          </cell>
        </row>
        <row r="97">
          <cell r="A97">
            <v>1991</v>
          </cell>
          <cell r="B97">
            <v>44.72</v>
          </cell>
          <cell r="C97">
            <v>1.38</v>
          </cell>
          <cell r="D97">
            <v>3.31</v>
          </cell>
          <cell r="E97">
            <v>8.11</v>
          </cell>
          <cell r="F97">
            <v>15.12</v>
          </cell>
          <cell r="P97">
            <v>12.239999999999991</v>
          </cell>
          <cell r="S97">
            <v>4.32</v>
          </cell>
          <cell r="X97">
            <v>3.0858676207513414E-2</v>
          </cell>
          <cell r="Y97">
            <v>7.4016100178890876E-2</v>
          </cell>
          <cell r="Z97">
            <v>0.18135062611806796</v>
          </cell>
          <cell r="AA97">
            <v>0.33810375670840787</v>
          </cell>
          <cell r="AK97">
            <v>0.2737030411449014</v>
          </cell>
          <cell r="AN97">
            <v>9.66010733452594E-2</v>
          </cell>
        </row>
        <row r="98">
          <cell r="A98">
            <v>1992</v>
          </cell>
          <cell r="B98">
            <v>42.04</v>
          </cell>
          <cell r="C98">
            <v>1.83</v>
          </cell>
          <cell r="D98">
            <v>4.6100000000000003</v>
          </cell>
          <cell r="E98">
            <v>6.9</v>
          </cell>
          <cell r="F98">
            <v>10.69</v>
          </cell>
          <cell r="P98">
            <v>8.68</v>
          </cell>
          <cell r="S98">
            <v>9.0899999999999892</v>
          </cell>
          <cell r="X98">
            <v>4.3529971455756426E-2</v>
          </cell>
          <cell r="Y98">
            <v>0.10965746907706947</v>
          </cell>
          <cell r="Z98">
            <v>0.16412940057088488</v>
          </cell>
          <cell r="AA98">
            <v>0.25428163653663177</v>
          </cell>
          <cell r="AK98">
            <v>0.20647002854424357</v>
          </cell>
          <cell r="AN98">
            <v>0.21622264509990463</v>
          </cell>
        </row>
        <row r="99">
          <cell r="A99">
            <v>1993</v>
          </cell>
          <cell r="B99">
            <v>48.02</v>
          </cell>
          <cell r="C99">
            <v>1.59</v>
          </cell>
          <cell r="D99">
            <v>4.2399999999999904</v>
          </cell>
          <cell r="E99">
            <v>6.97</v>
          </cell>
          <cell r="F99">
            <v>11.66</v>
          </cell>
          <cell r="P99">
            <v>18.8</v>
          </cell>
          <cell r="S99">
            <v>4.49</v>
          </cell>
          <cell r="X99">
            <v>3.3111203665139526E-2</v>
          </cell>
          <cell r="Y99">
            <v>8.8296543107038536E-2</v>
          </cell>
          <cell r="Z99">
            <v>0.14514785506039149</v>
          </cell>
          <cell r="AA99">
            <v>0.2428154935443565</v>
          </cell>
          <cell r="AK99">
            <v>0.39150354019158679</v>
          </cell>
          <cell r="AN99">
            <v>9.3502707205331104E-2</v>
          </cell>
        </row>
        <row r="100">
          <cell r="A100">
            <v>1994</v>
          </cell>
          <cell r="B100">
            <v>46.54</v>
          </cell>
          <cell r="C100">
            <v>1.64</v>
          </cell>
          <cell r="D100">
            <v>3.37</v>
          </cell>
          <cell r="E100">
            <v>5.9299999999999899</v>
          </cell>
          <cell r="F100">
            <v>17.999999999999901</v>
          </cell>
          <cell r="P100">
            <v>12.879999999999999</v>
          </cell>
          <cell r="S100">
            <v>4.46</v>
          </cell>
          <cell r="X100">
            <v>3.5238504512247526E-2</v>
          </cell>
          <cell r="Y100">
            <v>7.241082939406962E-2</v>
          </cell>
          <cell r="Z100">
            <v>0.12741727546196799</v>
          </cell>
          <cell r="AA100">
            <v>0.3867640739149098</v>
          </cell>
          <cell r="AK100">
            <v>0.27675118177911473</v>
          </cell>
          <cell r="AN100">
            <v>9.583154275891706E-2</v>
          </cell>
        </row>
        <row r="101">
          <cell r="A101">
            <v>1995</v>
          </cell>
          <cell r="B101">
            <v>38.119999999999997</v>
          </cell>
          <cell r="C101">
            <v>1.28</v>
          </cell>
          <cell r="D101">
            <v>4.4400000000000004</v>
          </cell>
          <cell r="E101">
            <v>6.74</v>
          </cell>
          <cell r="F101">
            <v>11.2799999999999</v>
          </cell>
          <cell r="P101">
            <v>13.86</v>
          </cell>
          <cell r="S101">
            <v>0</v>
          </cell>
          <cell r="X101">
            <v>3.3578174186778595E-2</v>
          </cell>
          <cell r="Y101">
            <v>0.11647429171038827</v>
          </cell>
          <cell r="Z101">
            <v>0.17681007345225605</v>
          </cell>
          <cell r="AA101">
            <v>0.29590766002098373</v>
          </cell>
          <cell r="AK101">
            <v>0.36358866736621198</v>
          </cell>
          <cell r="AN101">
            <v>0</v>
          </cell>
        </row>
        <row r="102">
          <cell r="A102">
            <v>1996</v>
          </cell>
          <cell r="B102">
            <v>61.45</v>
          </cell>
          <cell r="C102">
            <v>2.37</v>
          </cell>
          <cell r="D102">
            <v>4.1100000000000003</v>
          </cell>
          <cell r="E102">
            <v>8.32</v>
          </cell>
          <cell r="F102">
            <v>12.5299999999999</v>
          </cell>
          <cell r="P102">
            <v>23.169999999999991</v>
          </cell>
          <cell r="S102">
            <v>10.58</v>
          </cell>
          <cell r="X102">
            <v>3.8567941415785192E-2</v>
          </cell>
          <cell r="Y102">
            <v>6.6883645240032555E-2</v>
          </cell>
          <cell r="Z102">
            <v>0.13539462978030919</v>
          </cell>
          <cell r="AA102">
            <v>0.20390561432058421</v>
          </cell>
          <cell r="AK102">
            <v>0.37705451586655803</v>
          </cell>
          <cell r="AN102">
            <v>0.17217249796582584</v>
          </cell>
        </row>
        <row r="103">
          <cell r="A103">
            <v>1997</v>
          </cell>
          <cell r="B103">
            <v>48.62</v>
          </cell>
          <cell r="C103">
            <v>2.35</v>
          </cell>
          <cell r="D103">
            <v>3.58</v>
          </cell>
          <cell r="E103">
            <v>8.1199999999999992</v>
          </cell>
          <cell r="F103">
            <v>15.37</v>
          </cell>
          <cell r="P103">
            <v>12.71</v>
          </cell>
          <cell r="S103">
            <v>6.24</v>
          </cell>
          <cell r="X103">
            <v>4.8334018922254224E-2</v>
          </cell>
          <cell r="Y103">
            <v>7.3632250102838345E-2</v>
          </cell>
          <cell r="Z103">
            <v>0.16700946112710818</v>
          </cell>
          <cell r="AA103">
            <v>0.31612505141916908</v>
          </cell>
          <cell r="AK103">
            <v>0.26141505553270261</v>
          </cell>
          <cell r="AN103">
            <v>0.12834224598930483</v>
          </cell>
        </row>
        <row r="104">
          <cell r="A104">
            <v>1998</v>
          </cell>
          <cell r="B104">
            <v>44.11</v>
          </cell>
          <cell r="C104">
            <v>2.17</v>
          </cell>
          <cell r="D104">
            <v>2.96</v>
          </cell>
          <cell r="E104">
            <v>5.66</v>
          </cell>
          <cell r="F104">
            <v>14.16</v>
          </cell>
          <cell r="P104">
            <v>12.41</v>
          </cell>
          <cell r="S104">
            <v>6.47</v>
          </cell>
          <cell r="X104">
            <v>4.9195193833597821E-2</v>
          </cell>
          <cell r="Y104">
            <v>6.7104964860575836E-2</v>
          </cell>
          <cell r="Z104">
            <v>0.1283155746996146</v>
          </cell>
          <cell r="AA104">
            <v>0.32101564271140332</v>
          </cell>
          <cell r="AK104">
            <v>0.28134209929721155</v>
          </cell>
          <cell r="AN104">
            <v>0.14667875765132624</v>
          </cell>
        </row>
        <row r="105">
          <cell r="A105">
            <v>1999</v>
          </cell>
          <cell r="B105">
            <v>47.14</v>
          </cell>
          <cell r="C105">
            <v>1.58</v>
          </cell>
          <cell r="D105">
            <v>4.05</v>
          </cell>
          <cell r="E105">
            <v>7.4999999999999902</v>
          </cell>
          <cell r="F105">
            <v>14.71</v>
          </cell>
          <cell r="P105">
            <v>11.02</v>
          </cell>
          <cell r="S105">
            <v>8.17</v>
          </cell>
          <cell r="X105">
            <v>3.351718285956725E-2</v>
          </cell>
          <cell r="Y105">
            <v>8.59142978362325E-2</v>
          </cell>
          <cell r="Z105">
            <v>0.15910055154857849</v>
          </cell>
          <cell r="AA105">
            <v>0.31204921510394573</v>
          </cell>
          <cell r="AK105">
            <v>0.23377174374204499</v>
          </cell>
          <cell r="AN105">
            <v>0.17331353415358508</v>
          </cell>
        </row>
        <row r="106">
          <cell r="A106">
            <v>2000</v>
          </cell>
          <cell r="B106">
            <v>43.12</v>
          </cell>
          <cell r="C106">
            <v>2.0099999999999998</v>
          </cell>
          <cell r="D106">
            <v>3.92</v>
          </cell>
          <cell r="E106">
            <v>6.08</v>
          </cell>
          <cell r="F106">
            <v>15.11</v>
          </cell>
          <cell r="P106">
            <v>10.5</v>
          </cell>
          <cell r="S106">
            <v>5.24</v>
          </cell>
          <cell r="X106">
            <v>4.6614100185528758E-2</v>
          </cell>
          <cell r="Y106">
            <v>9.0909090909090912E-2</v>
          </cell>
          <cell r="Z106">
            <v>0.14100185528756959</v>
          </cell>
          <cell r="AA106">
            <v>0.35041743970315398</v>
          </cell>
          <cell r="AK106">
            <v>0.24350649350649353</v>
          </cell>
          <cell r="AN106">
            <v>0.1215213358070501</v>
          </cell>
        </row>
        <row r="107">
          <cell r="A107">
            <v>2001</v>
          </cell>
          <cell r="B107">
            <v>39.53</v>
          </cell>
          <cell r="C107">
            <v>1.85</v>
          </cell>
          <cell r="D107">
            <v>2.64</v>
          </cell>
          <cell r="E107">
            <v>6.1999999999999904</v>
          </cell>
          <cell r="F107">
            <v>11.0199999999999</v>
          </cell>
          <cell r="P107">
            <v>15.29999999999999</v>
          </cell>
          <cell r="S107">
            <v>2.3199999999999998</v>
          </cell>
          <cell r="X107">
            <v>4.6799898811029597E-2</v>
          </cell>
          <cell r="Y107">
            <v>6.6784720465469266E-2</v>
          </cell>
          <cell r="Z107">
            <v>0.15684290412345028</v>
          </cell>
          <cell r="AA107">
            <v>0.27877561345813051</v>
          </cell>
          <cell r="AK107">
            <v>0.38704781178851477</v>
          </cell>
          <cell r="AN107">
            <v>5.8689602833291166E-2</v>
          </cell>
        </row>
        <row r="108">
          <cell r="A108">
            <v>2002</v>
          </cell>
          <cell r="B108">
            <v>48.82</v>
          </cell>
          <cell r="C108">
            <v>1.43</v>
          </cell>
          <cell r="D108">
            <v>2.92</v>
          </cell>
          <cell r="E108">
            <v>5.81</v>
          </cell>
          <cell r="F108">
            <v>18.079999999999998</v>
          </cell>
          <cell r="P108">
            <v>17.759999999999998</v>
          </cell>
          <cell r="S108">
            <v>2.65</v>
          </cell>
          <cell r="X108">
            <v>2.9291274068004913E-2</v>
          </cell>
          <cell r="Y108">
            <v>5.981155264235969E-2</v>
          </cell>
          <cell r="Z108">
            <v>0.11900860303154444</v>
          </cell>
          <cell r="AA108">
            <v>0.37034002458009008</v>
          </cell>
          <cell r="AK108">
            <v>0.36378533387955753</v>
          </cell>
          <cell r="AN108">
            <v>5.4281032363785335E-2</v>
          </cell>
        </row>
        <row r="109">
          <cell r="A109">
            <v>2003</v>
          </cell>
          <cell r="B109">
            <v>60.85</v>
          </cell>
          <cell r="C109">
            <v>1.84</v>
          </cell>
          <cell r="D109">
            <v>5.67</v>
          </cell>
          <cell r="E109">
            <v>7.14</v>
          </cell>
          <cell r="F109">
            <v>20.71</v>
          </cell>
          <cell r="P109">
            <v>20.66</v>
          </cell>
          <cell r="S109">
            <v>4.57</v>
          </cell>
          <cell r="X109">
            <v>3.0238290879211177E-2</v>
          </cell>
          <cell r="Y109">
            <v>9.3179950698438777E-2</v>
          </cell>
          <cell r="Z109">
            <v>0.11733771569433031</v>
          </cell>
          <cell r="AA109">
            <v>0.34034511092851272</v>
          </cell>
          <cell r="AK109">
            <v>0.33952341824157761</v>
          </cell>
          <cell r="AN109">
            <v>7.5102711585866871E-2</v>
          </cell>
        </row>
        <row r="110">
          <cell r="A110">
            <v>2004</v>
          </cell>
          <cell r="B110">
            <v>49.2</v>
          </cell>
          <cell r="C110">
            <v>1.65</v>
          </cell>
          <cell r="D110">
            <v>4.04</v>
          </cell>
          <cell r="E110">
            <v>10.66</v>
          </cell>
          <cell r="F110">
            <v>12.33</v>
          </cell>
          <cell r="P110">
            <v>12.02</v>
          </cell>
          <cell r="S110">
            <v>8.2100000000000009</v>
          </cell>
          <cell r="X110">
            <v>3.3536585365853654E-2</v>
          </cell>
          <cell r="Y110">
            <v>8.2113821138211376E-2</v>
          </cell>
          <cell r="Z110">
            <v>0.21666666666666665</v>
          </cell>
          <cell r="AA110">
            <v>0.25060975609756098</v>
          </cell>
          <cell r="AK110">
            <v>0.24430894308943085</v>
          </cell>
          <cell r="AN110">
            <v>0.16686991869918699</v>
          </cell>
        </row>
        <row r="111">
          <cell r="A111">
            <v>2005</v>
          </cell>
          <cell r="B111">
            <v>52.47</v>
          </cell>
          <cell r="C111">
            <v>1.89</v>
          </cell>
          <cell r="D111">
            <v>3.69</v>
          </cell>
          <cell r="E111">
            <v>7.3</v>
          </cell>
          <cell r="F111">
            <v>14.83</v>
          </cell>
          <cell r="P111">
            <v>15.85</v>
          </cell>
          <cell r="S111">
            <v>8.71999999999999</v>
          </cell>
          <cell r="X111">
            <v>3.6020583190394508E-2</v>
          </cell>
          <cell r="Y111">
            <v>7.0325900514579764E-2</v>
          </cell>
          <cell r="Z111">
            <v>0.13912712025919574</v>
          </cell>
          <cell r="AA111">
            <v>0.28263769773203734</v>
          </cell>
          <cell r="AK111">
            <v>0.30207737754907565</v>
          </cell>
          <cell r="AN111">
            <v>0.1661902039260528</v>
          </cell>
        </row>
        <row r="112">
          <cell r="A112">
            <v>2006</v>
          </cell>
          <cell r="B112">
            <v>51.77</v>
          </cell>
          <cell r="C112">
            <v>1.1499999999999999</v>
          </cell>
          <cell r="D112">
            <v>4.55</v>
          </cell>
          <cell r="E112">
            <v>9.5</v>
          </cell>
          <cell r="F112">
            <v>13.28</v>
          </cell>
          <cell r="P112">
            <v>16.099999999999902</v>
          </cell>
          <cell r="S112">
            <v>7.1099999999999994</v>
          </cell>
          <cell r="X112">
            <v>2.2213637241645736E-2</v>
          </cell>
          <cell r="Y112">
            <v>8.788873865172879E-2</v>
          </cell>
          <cell r="Z112">
            <v>0.1835039598222909</v>
          </cell>
          <cell r="AA112">
            <v>0.25651921962526558</v>
          </cell>
          <cell r="AK112">
            <v>0.31099092138303841</v>
          </cell>
          <cell r="AN112">
            <v>0.13733822677226193</v>
          </cell>
        </row>
        <row r="113">
          <cell r="A113">
            <v>2007</v>
          </cell>
          <cell r="B113">
            <v>55.27</v>
          </cell>
          <cell r="C113">
            <v>1.6</v>
          </cell>
          <cell r="D113">
            <v>4.07</v>
          </cell>
          <cell r="E113">
            <v>9.1399999999999899</v>
          </cell>
          <cell r="F113">
            <v>13.08</v>
          </cell>
          <cell r="P113">
            <v>18.03</v>
          </cell>
          <cell r="S113">
            <v>9.16</v>
          </cell>
          <cell r="X113">
            <v>2.8948796815632349E-2</v>
          </cell>
          <cell r="Y113">
            <v>7.3638501899764786E-2</v>
          </cell>
          <cell r="Z113">
            <v>0.16537000180929962</v>
          </cell>
          <cell r="AA113">
            <v>0.23665641396779444</v>
          </cell>
          <cell r="AK113">
            <v>0.32621675411615703</v>
          </cell>
          <cell r="AN113">
            <v>0.16573186176949517</v>
          </cell>
        </row>
        <row r="114">
          <cell r="A114">
            <v>2008</v>
          </cell>
          <cell r="B114">
            <v>54.45</v>
          </cell>
          <cell r="C114">
            <v>2.11</v>
          </cell>
          <cell r="D114">
            <v>3.76</v>
          </cell>
          <cell r="E114">
            <v>7.19</v>
          </cell>
          <cell r="F114">
            <v>18.25</v>
          </cell>
          <cell r="P114">
            <v>12.83</v>
          </cell>
          <cell r="S114">
            <v>10.09</v>
          </cell>
          <cell r="X114">
            <v>3.8751147842056931E-2</v>
          </cell>
          <cell r="Y114">
            <v>6.9054178145087228E-2</v>
          </cell>
          <cell r="Z114">
            <v>0.13204775022956841</v>
          </cell>
          <cell r="AA114">
            <v>0.33516988062442604</v>
          </cell>
          <cell r="AK114">
            <v>0.23562901744719925</v>
          </cell>
          <cell r="AN114">
            <v>0.18530762167125803</v>
          </cell>
        </row>
        <row r="115">
          <cell r="A115">
            <v>2009</v>
          </cell>
          <cell r="B115">
            <v>51.89</v>
          </cell>
          <cell r="C115">
            <v>2.17</v>
          </cell>
          <cell r="D115">
            <v>2.97</v>
          </cell>
          <cell r="E115">
            <v>9.98</v>
          </cell>
          <cell r="F115">
            <v>21.12</v>
          </cell>
          <cell r="P115">
            <v>15.239999999999899</v>
          </cell>
          <cell r="S115">
            <v>0</v>
          </cell>
          <cell r="X115">
            <v>4.1819232992869527E-2</v>
          </cell>
          <cell r="Y115">
            <v>5.7236461746001159E-2</v>
          </cell>
          <cell r="Z115">
            <v>0.19232992869531701</v>
          </cell>
          <cell r="AA115">
            <v>0.40701483908267488</v>
          </cell>
          <cell r="AK115">
            <v>0.29369820774715549</v>
          </cell>
          <cell r="AN115">
            <v>0</v>
          </cell>
        </row>
        <row r="116">
          <cell r="A116">
            <v>2010</v>
          </cell>
          <cell r="B116">
            <v>46.04</v>
          </cell>
          <cell r="C116">
            <v>1.63</v>
          </cell>
          <cell r="D116">
            <v>2.8</v>
          </cell>
          <cell r="E116">
            <v>6.5</v>
          </cell>
          <cell r="F116">
            <v>13.28</v>
          </cell>
          <cell r="P116">
            <v>17.920000000000002</v>
          </cell>
          <cell r="S116">
            <v>3.71</v>
          </cell>
          <cell r="X116">
            <v>3.5403996524761075E-2</v>
          </cell>
          <cell r="Y116">
            <v>6.0816681146828845E-2</v>
          </cell>
          <cell r="Z116">
            <v>0.14118158123370983</v>
          </cell>
          <cell r="AA116">
            <v>0.28844483058210252</v>
          </cell>
          <cell r="AK116">
            <v>0.38922675933970463</v>
          </cell>
          <cell r="AN116">
            <v>8.0582102519548227E-2</v>
          </cell>
        </row>
        <row r="117">
          <cell r="A117">
            <v>2011</v>
          </cell>
          <cell r="B117">
            <v>66.11</v>
          </cell>
          <cell r="C117">
            <v>1.52</v>
          </cell>
          <cell r="D117">
            <v>3.67</v>
          </cell>
          <cell r="E117">
            <v>9.35</v>
          </cell>
          <cell r="F117">
            <v>13.11</v>
          </cell>
          <cell r="P117">
            <v>11.45</v>
          </cell>
          <cell r="S117">
            <v>26.78</v>
          </cell>
          <cell r="X117">
            <v>2.2991983058538799E-2</v>
          </cell>
          <cell r="Y117">
            <v>5.5513538042656178E-2</v>
          </cell>
          <cell r="Z117">
            <v>0.14143094841930115</v>
          </cell>
          <cell r="AA117">
            <v>0.19830585387989713</v>
          </cell>
          <cell r="AK117">
            <v>0.17319618817122978</v>
          </cell>
          <cell r="AN117">
            <v>0.40508243836030861</v>
          </cell>
        </row>
        <row r="118">
          <cell r="A118">
            <v>2012</v>
          </cell>
          <cell r="B118">
            <v>40.67</v>
          </cell>
          <cell r="C118">
            <v>1.64</v>
          </cell>
          <cell r="D118">
            <v>4.78</v>
          </cell>
          <cell r="E118">
            <v>7.96</v>
          </cell>
          <cell r="F118">
            <v>15.0099999999999</v>
          </cell>
          <cell r="P118">
            <v>8.61</v>
          </cell>
          <cell r="S118">
            <v>2.36</v>
          </cell>
          <cell r="X118">
            <v>4.0324563560363902E-2</v>
          </cell>
          <cell r="Y118">
            <v>0.11753134988935333</v>
          </cell>
          <cell r="Z118">
            <v>0.19572166215883943</v>
          </cell>
          <cell r="AA118">
            <v>0.36906810917137695</v>
          </cell>
          <cell r="AK118">
            <v>0.2117039586919105</v>
          </cell>
          <cell r="AN118">
            <v>5.8028030489304147E-2</v>
          </cell>
        </row>
        <row r="119">
          <cell r="A119">
            <v>2013</v>
          </cell>
          <cell r="B119">
            <v>45.48</v>
          </cell>
          <cell r="C119">
            <v>1.68</v>
          </cell>
          <cell r="D119">
            <v>4.78</v>
          </cell>
          <cell r="E119">
            <v>6.92</v>
          </cell>
          <cell r="F119">
            <v>14.3</v>
          </cell>
          <cell r="P119">
            <v>12.17</v>
          </cell>
          <cell r="S119">
            <v>5.37</v>
          </cell>
          <cell r="X119">
            <v>3.6939313984168866E-2</v>
          </cell>
          <cell r="Y119">
            <v>0.10510114335971857</v>
          </cell>
          <cell r="Z119">
            <v>0.15215479331574319</v>
          </cell>
          <cell r="AA119">
            <v>0.31442392260334218</v>
          </cell>
          <cell r="AK119">
            <v>0.26759014951627091</v>
          </cell>
          <cell r="AN119">
            <v>0.11807387862796834</v>
          </cell>
        </row>
        <row r="120">
          <cell r="A120">
            <v>2014</v>
          </cell>
          <cell r="B120">
            <v>50.9</v>
          </cell>
          <cell r="C120">
            <v>1.24</v>
          </cell>
          <cell r="D120">
            <v>4.46</v>
          </cell>
          <cell r="E120">
            <v>11.61</v>
          </cell>
          <cell r="F120">
            <v>11.59</v>
          </cell>
          <cell r="P120">
            <v>9.83</v>
          </cell>
          <cell r="S120">
            <v>11.86</v>
          </cell>
          <cell r="X120">
            <v>2.4361493123772102E-2</v>
          </cell>
          <cell r="Y120">
            <v>8.7622789783889987E-2</v>
          </cell>
          <cell r="Z120">
            <v>0.22809430255402749</v>
          </cell>
          <cell r="AA120">
            <v>0.22770137524557957</v>
          </cell>
          <cell r="AK120">
            <v>0.19312377210216111</v>
          </cell>
          <cell r="AN120">
            <v>0.23300589390962673</v>
          </cell>
        </row>
        <row r="121">
          <cell r="A121">
            <v>2015</v>
          </cell>
          <cell r="B121">
            <v>39.51</v>
          </cell>
          <cell r="C121">
            <v>1.76</v>
          </cell>
          <cell r="D121">
            <v>3.3799999999999901</v>
          </cell>
          <cell r="E121">
            <v>6.9599999999999902</v>
          </cell>
          <cell r="F121">
            <v>12.81</v>
          </cell>
          <cell r="P121">
            <v>14.33</v>
          </cell>
          <cell r="S121">
            <v>0</v>
          </cell>
          <cell r="X121">
            <v>4.4545684636800816E-2</v>
          </cell>
          <cell r="Y121">
            <v>8.5547962541128578E-2</v>
          </cell>
          <cell r="Z121">
            <v>0.17615793470007568</v>
          </cell>
          <cell r="AA121">
            <v>0.32422171602126049</v>
          </cell>
          <cell r="AK121">
            <v>0.36269298911667935</v>
          </cell>
          <cell r="AN121">
            <v>0</v>
          </cell>
        </row>
        <row r="122">
          <cell r="A122">
            <v>2016</v>
          </cell>
          <cell r="B122">
            <v>38.770000000000003</v>
          </cell>
          <cell r="C122">
            <v>1.65</v>
          </cell>
          <cell r="D122">
            <v>4.0999999999999996</v>
          </cell>
          <cell r="E122">
            <v>9.6999999999999993</v>
          </cell>
          <cell r="F122">
            <v>10.719999999999899</v>
          </cell>
          <cell r="P122">
            <v>8.89</v>
          </cell>
          <cell r="S122">
            <v>3.51</v>
          </cell>
          <cell r="X122">
            <v>4.2558679391281912E-2</v>
          </cell>
          <cell r="Y122">
            <v>0.1057518700025793</v>
          </cell>
          <cell r="Z122">
            <v>0.2501934485426876</v>
          </cell>
          <cell r="AA122">
            <v>0.27650245034820475</v>
          </cell>
          <cell r="AK122">
            <v>0.22930100593242198</v>
          </cell>
          <cell r="AN122">
            <v>9.0533917977817888E-2</v>
          </cell>
        </row>
        <row r="123">
          <cell r="A123">
            <v>2017</v>
          </cell>
          <cell r="B123">
            <v>51.34</v>
          </cell>
          <cell r="C123">
            <v>2.27</v>
          </cell>
          <cell r="D123">
            <v>3.48</v>
          </cell>
          <cell r="E123">
            <v>9.5399999999999991</v>
          </cell>
          <cell r="F123">
            <v>13.29</v>
          </cell>
          <cell r="P123">
            <v>16.599999999999898</v>
          </cell>
          <cell r="S123">
            <v>5.84</v>
          </cell>
          <cell r="X123">
            <v>4.4215037008180753E-2</v>
          </cell>
          <cell r="Y123">
            <v>6.778340475262952E-2</v>
          </cell>
          <cell r="Z123">
            <v>0.18582002337358783</v>
          </cell>
          <cell r="AA123">
            <v>0.25886248539150758</v>
          </cell>
          <cell r="AK123">
            <v>0.32333463186598943</v>
          </cell>
          <cell r="AN123">
            <v>0.11375146084924034</v>
          </cell>
        </row>
        <row r="125">
          <cell r="B125" t="str">
            <v>avg</v>
          </cell>
        </row>
        <row r="126">
          <cell r="B126" t="str">
            <v>stdev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umber of Events"/>
      <sheetName val="Amount of Events"/>
      <sheetName val="Sussex Four Plots"/>
    </sheetNames>
    <sheetDataSet>
      <sheetData sheetId="0">
        <row r="2">
          <cell r="A2">
            <v>1893</v>
          </cell>
        </row>
      </sheetData>
      <sheetData sheetId="1">
        <row r="2">
          <cell r="A2">
            <v>1893</v>
          </cell>
          <cell r="T2">
            <v>35.409999999999997</v>
          </cell>
          <cell r="V2">
            <v>3.1911889296808812E-2</v>
          </cell>
          <cell r="W2">
            <v>8.1332956791866709E-2</v>
          </cell>
          <cell r="X2">
            <v>0.16944365998305566</v>
          </cell>
          <cell r="Y2">
            <v>0.2386331544761367</v>
          </cell>
          <cell r="AI2">
            <v>0.26404970347359502</v>
          </cell>
          <cell r="AJ2">
            <v>0.21123976277887604</v>
          </cell>
        </row>
        <row r="3">
          <cell r="A3">
            <v>1894</v>
          </cell>
          <cell r="T3">
            <v>38.33</v>
          </cell>
          <cell r="V3">
            <v>5.3743803809026873E-2</v>
          </cell>
          <cell r="W3">
            <v>6.2875032611531184E-2</v>
          </cell>
          <cell r="X3">
            <v>0.14557787633707253</v>
          </cell>
          <cell r="Y3">
            <v>0.25045656144012524</v>
          </cell>
          <cell r="AI3">
            <v>0.17662405426558805</v>
          </cell>
          <cell r="AJ3">
            <v>0.30889642577615445</v>
          </cell>
        </row>
        <row r="4">
          <cell r="A4">
            <v>1895</v>
          </cell>
          <cell r="T4">
            <v>36.590000000000003</v>
          </cell>
          <cell r="V4">
            <v>7.5703744192402292E-2</v>
          </cell>
          <cell r="W4">
            <v>0.11123257720688713</v>
          </cell>
          <cell r="X4">
            <v>0.20442743919103579</v>
          </cell>
          <cell r="Y4">
            <v>0.33779721235310189</v>
          </cell>
          <cell r="AI4">
            <v>0.27001913091008445</v>
          </cell>
          <cell r="AJ4">
            <v>0</v>
          </cell>
        </row>
        <row r="5">
          <cell r="A5">
            <v>1896</v>
          </cell>
          <cell r="T5">
            <v>43.37</v>
          </cell>
          <cell r="V5">
            <v>3.2741526400737839E-2</v>
          </cell>
          <cell r="W5">
            <v>0.12266543693797557</v>
          </cell>
          <cell r="X5">
            <v>0.20474982706940259</v>
          </cell>
          <cell r="Y5">
            <v>0.29536545999538855</v>
          </cell>
          <cell r="AI5">
            <v>0.20774729075397741</v>
          </cell>
          <cell r="AJ5">
            <v>0.13304127276919531</v>
          </cell>
        </row>
        <row r="6">
          <cell r="A6">
            <v>1897</v>
          </cell>
          <cell r="T6">
            <v>45.33</v>
          </cell>
          <cell r="V6">
            <v>3.6179130818442533E-2</v>
          </cell>
          <cell r="W6">
            <v>0.10787557908669755</v>
          </cell>
          <cell r="X6">
            <v>0.17008603573792169</v>
          </cell>
          <cell r="Y6">
            <v>0.36245312155305537</v>
          </cell>
          <cell r="AI6">
            <v>0.22457533642179575</v>
          </cell>
          <cell r="AJ6">
            <v>9.6845356276196781E-2</v>
          </cell>
        </row>
        <row r="7">
          <cell r="A7">
            <v>1898</v>
          </cell>
          <cell r="T7">
            <v>49.84</v>
          </cell>
          <cell r="V7">
            <v>3.952648475120385E-2</v>
          </cell>
          <cell r="W7">
            <v>0.1256019261637239</v>
          </cell>
          <cell r="X7">
            <v>0.2656500802568218</v>
          </cell>
          <cell r="Y7">
            <v>0.17817014446227908</v>
          </cell>
          <cell r="AI7">
            <v>0.3874398073836276</v>
          </cell>
          <cell r="AJ7">
            <v>0</v>
          </cell>
        </row>
        <row r="8">
          <cell r="A8">
            <v>1899</v>
          </cell>
          <cell r="T8">
            <v>44.6</v>
          </cell>
          <cell r="V8">
            <v>2.4439461883408072E-2</v>
          </cell>
          <cell r="W8">
            <v>6.3901345291479589E-2</v>
          </cell>
          <cell r="X8">
            <v>0.24147982062780043</v>
          </cell>
          <cell r="Y8">
            <v>0.31726457399103136</v>
          </cell>
          <cell r="AI8">
            <v>0.30044843049327352</v>
          </cell>
          <cell r="AJ8">
            <v>4.9999999999999996E-2</v>
          </cell>
        </row>
        <row r="9">
          <cell r="A9">
            <v>1905</v>
          </cell>
          <cell r="T9">
            <v>37.909999999999997</v>
          </cell>
          <cell r="V9">
            <v>5.6185702980743872E-2</v>
          </cell>
          <cell r="W9">
            <v>0.13584806119757295</v>
          </cell>
          <cell r="X9">
            <v>0.12925349512002113</v>
          </cell>
          <cell r="Y9">
            <v>0.20891585333685045</v>
          </cell>
          <cell r="AI9">
            <v>0.329992086520707</v>
          </cell>
          <cell r="AJ9">
            <v>0.13822210498549198</v>
          </cell>
        </row>
        <row r="10">
          <cell r="A10">
            <v>1906</v>
          </cell>
          <cell r="T10">
            <v>43.65</v>
          </cell>
          <cell r="V10">
            <v>3.5280641466208476E-2</v>
          </cell>
          <cell r="W10">
            <v>8.8201603665521197E-2</v>
          </cell>
          <cell r="X10">
            <v>0.1910652920962197</v>
          </cell>
          <cell r="Y10">
            <v>0.40412371134020619</v>
          </cell>
          <cell r="AI10">
            <v>0.27995418098510882</v>
          </cell>
          <cell r="AJ10">
            <v>0</v>
          </cell>
        </row>
        <row r="11">
          <cell r="A11">
            <v>1907</v>
          </cell>
          <cell r="T11">
            <v>45.56</v>
          </cell>
          <cell r="V11">
            <v>5.2677787532923612E-2</v>
          </cell>
          <cell r="W11">
            <v>0.10469710272168567</v>
          </cell>
          <cell r="X11">
            <v>0.13081650570676032</v>
          </cell>
          <cell r="Y11">
            <v>0.2627304653204543</v>
          </cell>
          <cell r="AI11">
            <v>0.34613696224758561</v>
          </cell>
          <cell r="AJ11">
            <v>0.10228270412642669</v>
          </cell>
        </row>
        <row r="12">
          <cell r="A12">
            <v>1908</v>
          </cell>
          <cell r="T12">
            <v>34.94</v>
          </cell>
          <cell r="V12">
            <v>3.3485975958786489E-2</v>
          </cell>
          <cell r="W12">
            <v>9.9313108185460505E-2</v>
          </cell>
          <cell r="X12">
            <v>0.14768174012593019</v>
          </cell>
          <cell r="Y12">
            <v>0.36119061247853462</v>
          </cell>
          <cell r="AI12">
            <v>0.35603892386949032</v>
          </cell>
          <cell r="AJ12">
            <v>0</v>
          </cell>
        </row>
        <row r="13">
          <cell r="A13">
            <v>1909</v>
          </cell>
          <cell r="T13">
            <v>40.15</v>
          </cell>
          <cell r="V13">
            <v>3.9601494396014944E-2</v>
          </cell>
          <cell r="W13">
            <v>0.10983810709838084</v>
          </cell>
          <cell r="X13">
            <v>0.23611457036114547</v>
          </cell>
          <cell r="Y13">
            <v>0.21469489414694892</v>
          </cell>
          <cell r="AI13">
            <v>0.39900373599003713</v>
          </cell>
          <cell r="AJ13">
            <v>0</v>
          </cell>
        </row>
        <row r="14">
          <cell r="A14">
            <v>1910</v>
          </cell>
          <cell r="T14">
            <v>31.9</v>
          </cell>
          <cell r="V14">
            <v>3.0407523510971788E-2</v>
          </cell>
          <cell r="W14">
            <v>0.14545454545454545</v>
          </cell>
          <cell r="X14">
            <v>0.27147335423197494</v>
          </cell>
          <cell r="Y14">
            <v>0.37711598746081193</v>
          </cell>
          <cell r="AI14">
            <v>0.17366771159874608</v>
          </cell>
          <cell r="AJ14">
            <v>0</v>
          </cell>
        </row>
        <row r="15">
          <cell r="A15">
            <v>1911</v>
          </cell>
          <cell r="T15">
            <v>44.65</v>
          </cell>
          <cell r="V15">
            <v>4.076147816349384E-2</v>
          </cell>
          <cell r="W15">
            <v>0.12026875699888019</v>
          </cell>
          <cell r="X15">
            <v>0.22553191489361479</v>
          </cell>
          <cell r="Y15">
            <v>0.32609182530795072</v>
          </cell>
          <cell r="AI15">
            <v>0.21097424412094065</v>
          </cell>
          <cell r="AJ15">
            <v>7.0772676371780516E-2</v>
          </cell>
        </row>
        <row r="16">
          <cell r="A16">
            <v>1912</v>
          </cell>
          <cell r="T16">
            <v>43.85</v>
          </cell>
          <cell r="V16">
            <v>4.3557582668186996E-2</v>
          </cell>
          <cell r="W16">
            <v>9.0079817559863176E-2</v>
          </cell>
          <cell r="X16">
            <v>0.16670467502850625</v>
          </cell>
          <cell r="Y16">
            <v>0.31972633979475484</v>
          </cell>
          <cell r="AI16">
            <v>0.32976054732041049</v>
          </cell>
          <cell r="AJ16">
            <v>4.5838084378563279E-2</v>
          </cell>
        </row>
        <row r="17">
          <cell r="A17">
            <v>1913</v>
          </cell>
          <cell r="T17">
            <v>41.95</v>
          </cell>
          <cell r="V17">
            <v>3.0750893921334923E-2</v>
          </cell>
          <cell r="W17">
            <v>9.0107270560190689E-2</v>
          </cell>
          <cell r="X17">
            <v>0.19451728247914182</v>
          </cell>
          <cell r="Y17">
            <v>0.29654350417163289</v>
          </cell>
          <cell r="AI17">
            <v>0.33373063170440975</v>
          </cell>
          <cell r="AJ17">
            <v>5.2443384982121574E-2</v>
          </cell>
        </row>
        <row r="18">
          <cell r="A18">
            <v>1914</v>
          </cell>
          <cell r="T18">
            <v>36.49</v>
          </cell>
          <cell r="V18">
            <v>2.9597149904083311E-2</v>
          </cell>
          <cell r="W18">
            <v>0.13209098383118661</v>
          </cell>
          <cell r="X18">
            <v>0.25267196492189614</v>
          </cell>
          <cell r="Y18">
            <v>0.29350506988215952</v>
          </cell>
          <cell r="AI18">
            <v>0.29049054535489177</v>
          </cell>
          <cell r="AJ18">
            <v>0</v>
          </cell>
        </row>
        <row r="19">
          <cell r="A19">
            <v>1915</v>
          </cell>
          <cell r="T19">
            <v>41.1</v>
          </cell>
          <cell r="V19">
            <v>2.1411192214111922E-2</v>
          </cell>
          <cell r="W19">
            <v>0.11289537712895376</v>
          </cell>
          <cell r="X19">
            <v>0.16277372262773723</v>
          </cell>
          <cell r="Y19">
            <v>0.33430656934306324</v>
          </cell>
          <cell r="AI19">
            <v>0.31070559610705573</v>
          </cell>
          <cell r="AJ19">
            <v>5.59610705596107E-2</v>
          </cell>
        </row>
        <row r="20">
          <cell r="A20">
            <v>1916</v>
          </cell>
          <cell r="T20">
            <v>26.47</v>
          </cell>
          <cell r="V20">
            <v>3.5511900264450322E-2</v>
          </cell>
          <cell r="W20">
            <v>9.8602191159803551E-2</v>
          </cell>
          <cell r="X20">
            <v>0.18020400453343408</v>
          </cell>
          <cell r="Y20">
            <v>0.44805440120891576</v>
          </cell>
          <cell r="AI20">
            <v>0.14204760105780129</v>
          </cell>
          <cell r="AJ20">
            <v>9.3313184737438618E-2</v>
          </cell>
        </row>
        <row r="21">
          <cell r="A21">
            <v>1919</v>
          </cell>
          <cell r="T21">
            <v>16.05</v>
          </cell>
          <cell r="V21">
            <v>2.4299065420560748E-2</v>
          </cell>
          <cell r="W21">
            <v>9.9688473520249218E-2</v>
          </cell>
          <cell r="X21">
            <v>0.20872274143302116</v>
          </cell>
          <cell r="Y21">
            <v>0.59813084112149528</v>
          </cell>
          <cell r="AI21">
            <v>6.4174454828660438E-2</v>
          </cell>
          <cell r="AJ21">
            <v>0</v>
          </cell>
        </row>
        <row r="22">
          <cell r="A22">
            <v>1920</v>
          </cell>
          <cell r="T22">
            <v>45.68</v>
          </cell>
          <cell r="V22">
            <v>1.1821366024518389E-2</v>
          </cell>
          <cell r="W22">
            <v>8.8879159369527144E-2</v>
          </cell>
          <cell r="X22">
            <v>0.10135726795096323</v>
          </cell>
          <cell r="Y22">
            <v>0.3266199649737303</v>
          </cell>
          <cell r="AI22">
            <v>0.36974605954465845</v>
          </cell>
          <cell r="AJ22">
            <v>9.8073555166374796E-2</v>
          </cell>
        </row>
        <row r="23">
          <cell r="A23">
            <v>1921</v>
          </cell>
          <cell r="T23">
            <v>34.86</v>
          </cell>
          <cell r="V23">
            <v>3.9586919104991389E-2</v>
          </cell>
          <cell r="W23">
            <v>0.127653471026965</v>
          </cell>
          <cell r="X23">
            <v>0.23637406769936892</v>
          </cell>
          <cell r="Y23">
            <v>0.33390705679862309</v>
          </cell>
          <cell r="AI23">
            <v>0.25903614457831325</v>
          </cell>
          <cell r="AJ23">
            <v>0</v>
          </cell>
        </row>
        <row r="24">
          <cell r="A24">
            <v>1922</v>
          </cell>
          <cell r="T24">
            <v>32.22</v>
          </cell>
          <cell r="V24">
            <v>4.0347610180012421E-2</v>
          </cell>
          <cell r="W24">
            <v>9.4040968342644318E-2</v>
          </cell>
          <cell r="X24">
            <v>0.2296710117939165</v>
          </cell>
          <cell r="Y24">
            <v>0.3252638112973309</v>
          </cell>
          <cell r="AI24">
            <v>0.30664183736809436</v>
          </cell>
          <cell r="AJ24">
            <v>0</v>
          </cell>
        </row>
        <row r="25">
          <cell r="A25">
            <v>1923</v>
          </cell>
          <cell r="T25">
            <v>13.46</v>
          </cell>
          <cell r="V25">
            <v>3.8632986627043092E-2</v>
          </cell>
          <cell r="W25">
            <v>0.1426448736998514</v>
          </cell>
          <cell r="X25">
            <v>0.32466567607726521</v>
          </cell>
          <cell r="Y25">
            <v>0.20728083209509657</v>
          </cell>
          <cell r="AI25">
            <v>0.28008915304606163</v>
          </cell>
          <cell r="AJ25">
            <v>0</v>
          </cell>
        </row>
        <row r="26">
          <cell r="A26">
            <v>1924</v>
          </cell>
          <cell r="T26">
            <v>35.979999999999997</v>
          </cell>
          <cell r="V26">
            <v>4.0022234574763761E-2</v>
          </cell>
          <cell r="W26">
            <v>0.11867704280155641</v>
          </cell>
          <cell r="X26">
            <v>0.21150639244024461</v>
          </cell>
          <cell r="Y26">
            <v>0.22901612006670374</v>
          </cell>
          <cell r="AI26">
            <v>0.21984435797665372</v>
          </cell>
          <cell r="AJ26">
            <v>0.17787659811006118</v>
          </cell>
        </row>
        <row r="27">
          <cell r="A27">
            <v>1925</v>
          </cell>
          <cell r="T27">
            <v>42.74</v>
          </cell>
          <cell r="V27">
            <v>3.8839494618624237E-2</v>
          </cell>
          <cell r="W27">
            <v>8.6335985025737014E-2</v>
          </cell>
          <cell r="X27">
            <v>0.16565278427702362</v>
          </cell>
          <cell r="Y27">
            <v>0.42302292934019647</v>
          </cell>
          <cell r="AI27">
            <v>0.28427702386523163</v>
          </cell>
          <cell r="AJ27">
            <v>0</v>
          </cell>
        </row>
        <row r="28">
          <cell r="A28">
            <v>1926</v>
          </cell>
          <cell r="T28">
            <v>30.35</v>
          </cell>
          <cell r="V28">
            <v>3.7561779242174624E-2</v>
          </cell>
          <cell r="W28">
            <v>0.14695222405271827</v>
          </cell>
          <cell r="X28">
            <v>0.37759472817133111</v>
          </cell>
          <cell r="Y28">
            <v>0.24481054365733113</v>
          </cell>
          <cell r="AI28">
            <v>0.18912685337726523</v>
          </cell>
          <cell r="AJ28">
            <v>0</v>
          </cell>
        </row>
        <row r="29">
          <cell r="A29">
            <v>1927</v>
          </cell>
          <cell r="T29">
            <v>49.14</v>
          </cell>
          <cell r="V29">
            <v>3.8054538054538053E-2</v>
          </cell>
          <cell r="W29">
            <v>9.7273097273097284E-2</v>
          </cell>
          <cell r="X29">
            <v>0.16442816442816444</v>
          </cell>
          <cell r="Y29">
            <v>0.30687830687830486</v>
          </cell>
          <cell r="AI29">
            <v>0.22161172161172141</v>
          </cell>
          <cell r="AJ29">
            <v>0.1707366707366707</v>
          </cell>
        </row>
        <row r="30">
          <cell r="A30">
            <v>1928</v>
          </cell>
          <cell r="T30">
            <v>45.9</v>
          </cell>
          <cell r="V30">
            <v>3.2897603485838783E-2</v>
          </cell>
          <cell r="W30">
            <v>0.10893246187363835</v>
          </cell>
          <cell r="X30">
            <v>0.14335511982570806</v>
          </cell>
          <cell r="Y30">
            <v>0.31873638344226363</v>
          </cell>
          <cell r="AI30">
            <v>0.28235294117647058</v>
          </cell>
          <cell r="AJ30">
            <v>0.11089324618736382</v>
          </cell>
        </row>
        <row r="31">
          <cell r="A31">
            <v>1929</v>
          </cell>
          <cell r="T31">
            <v>42.78</v>
          </cell>
          <cell r="V31">
            <v>4.7685834502103785E-2</v>
          </cell>
          <cell r="W31">
            <v>8.8826554464703125E-2</v>
          </cell>
          <cell r="X31">
            <v>0.26764843384759229</v>
          </cell>
          <cell r="Y31">
            <v>0.30177653108929403</v>
          </cell>
          <cell r="AI31">
            <v>0.2445067788686302</v>
          </cell>
          <cell r="AJ31">
            <v>4.6984572230014017E-2</v>
          </cell>
        </row>
        <row r="32">
          <cell r="A32">
            <v>1930</v>
          </cell>
          <cell r="T32">
            <v>35.130000000000003</v>
          </cell>
          <cell r="V32">
            <v>2.3057216054654141E-2</v>
          </cell>
          <cell r="W32">
            <v>0.1283803017364076</v>
          </cell>
          <cell r="X32">
            <v>0.30799886137204668</v>
          </cell>
          <cell r="Y32">
            <v>0.22003985197836576</v>
          </cell>
          <cell r="AI32">
            <v>0.10418445772843724</v>
          </cell>
          <cell r="AJ32">
            <v>0.21434671221178478</v>
          </cell>
        </row>
        <row r="33">
          <cell r="A33">
            <v>1931</v>
          </cell>
          <cell r="T33">
            <v>36.49</v>
          </cell>
          <cell r="V33">
            <v>4.9876678542066316E-2</v>
          </cell>
          <cell r="W33">
            <v>8.2214305289120299E-2</v>
          </cell>
          <cell r="X33">
            <v>0.29679364209372427</v>
          </cell>
          <cell r="Y33">
            <v>0.26555220608385854</v>
          </cell>
          <cell r="AI33">
            <v>0.24801315428884596</v>
          </cell>
          <cell r="AJ33">
            <v>5.5083584543710595E-2</v>
          </cell>
        </row>
        <row r="34">
          <cell r="A34">
            <v>1932</v>
          </cell>
          <cell r="T34">
            <v>51</v>
          </cell>
          <cell r="V34">
            <v>3.215686274509804E-2</v>
          </cell>
          <cell r="W34">
            <v>6.6078431372549026E-2</v>
          </cell>
          <cell r="X34">
            <v>0.12725490196078432</v>
          </cell>
          <cell r="Y34">
            <v>0.22333333333333336</v>
          </cell>
          <cell r="AI34">
            <v>0.31764705882352939</v>
          </cell>
          <cell r="AJ34">
            <v>0.23137254901960766</v>
          </cell>
        </row>
        <row r="35">
          <cell r="A35">
            <v>1933</v>
          </cell>
          <cell r="T35">
            <v>45.25</v>
          </cell>
          <cell r="V35">
            <v>4.7292817679558015E-2</v>
          </cell>
          <cell r="W35">
            <v>6.0994475138121541E-2</v>
          </cell>
          <cell r="X35">
            <v>0.14806629834254145</v>
          </cell>
          <cell r="Y35">
            <v>0.26298342541436465</v>
          </cell>
          <cell r="AI35">
            <v>0.36265193370165749</v>
          </cell>
          <cell r="AJ35">
            <v>0.11513812154696132</v>
          </cell>
        </row>
        <row r="36">
          <cell r="A36">
            <v>1934</v>
          </cell>
          <cell r="T36">
            <v>49.74</v>
          </cell>
          <cell r="V36">
            <v>1.9903498190591073E-2</v>
          </cell>
          <cell r="W36">
            <v>7.9211901889827102E-2</v>
          </cell>
          <cell r="X36">
            <v>0.10092480900683554</v>
          </cell>
          <cell r="Y36">
            <v>0.23522316043425812</v>
          </cell>
          <cell r="AI36">
            <v>0.378367511057499</v>
          </cell>
          <cell r="AJ36">
            <v>0.18315239244069159</v>
          </cell>
        </row>
        <row r="37">
          <cell r="A37">
            <v>1935</v>
          </cell>
          <cell r="T37">
            <v>41.59</v>
          </cell>
          <cell r="V37">
            <v>2.6448665544602068E-2</v>
          </cell>
          <cell r="W37">
            <v>0.10867997114691029</v>
          </cell>
          <cell r="X37">
            <v>0.18874729502284202</v>
          </cell>
          <cell r="Y37">
            <v>0.26568886751622983</v>
          </cell>
          <cell r="AI37">
            <v>0.24693435922096632</v>
          </cell>
          <cell r="AJ37">
            <v>0.1613368598220726</v>
          </cell>
        </row>
        <row r="38">
          <cell r="A38">
            <v>1936</v>
          </cell>
          <cell r="T38">
            <v>44.02</v>
          </cell>
          <cell r="V38">
            <v>3.5665606542480688E-2</v>
          </cell>
          <cell r="W38">
            <v>0.12017264879600181</v>
          </cell>
          <cell r="X38">
            <v>0.19741026805997272</v>
          </cell>
          <cell r="Y38">
            <v>0.30304407087687185</v>
          </cell>
          <cell r="AI38">
            <v>0.34120854157201269</v>
          </cell>
          <cell r="AJ38">
            <v>0</v>
          </cell>
        </row>
        <row r="39">
          <cell r="A39">
            <v>1937</v>
          </cell>
          <cell r="T39">
            <v>48.21</v>
          </cell>
          <cell r="V39">
            <v>2.9454470026965357E-2</v>
          </cell>
          <cell r="W39">
            <v>9.0852520224019906E-2</v>
          </cell>
          <cell r="X39">
            <v>0.12756689483509645</v>
          </cell>
          <cell r="Y39">
            <v>0.23978427712092718</v>
          </cell>
          <cell r="AI39">
            <v>0.4150591163658971</v>
          </cell>
          <cell r="AJ39">
            <v>9.6453018046048528E-2</v>
          </cell>
        </row>
        <row r="40">
          <cell r="A40">
            <v>1938</v>
          </cell>
          <cell r="T40">
            <v>44</v>
          </cell>
          <cell r="V40">
            <v>2.9772727272727274E-2</v>
          </cell>
          <cell r="W40">
            <v>9.4999999999999987E-2</v>
          </cell>
          <cell r="X40">
            <v>0.19409090909090906</v>
          </cell>
          <cell r="Y40">
            <v>0.29568181818181816</v>
          </cell>
          <cell r="AI40">
            <v>0.38272727272727275</v>
          </cell>
          <cell r="AJ40">
            <v>0.18022727272727274</v>
          </cell>
        </row>
        <row r="41">
          <cell r="A41">
            <v>1939</v>
          </cell>
          <cell r="T41">
            <v>22.09</v>
          </cell>
          <cell r="V41">
            <v>3.0783159800814849E-2</v>
          </cell>
          <cell r="W41">
            <v>6.5640561339972842E-2</v>
          </cell>
          <cell r="X41">
            <v>0.15029425079221323</v>
          </cell>
          <cell r="Y41">
            <v>0.33318243549117249</v>
          </cell>
          <cell r="AI41">
            <v>0.30511543684925263</v>
          </cell>
          <cell r="AJ41">
            <v>0.10502489814395653</v>
          </cell>
        </row>
        <row r="42">
          <cell r="A42">
            <v>1940</v>
          </cell>
          <cell r="T42">
            <v>49.34</v>
          </cell>
          <cell r="V42">
            <v>4.1143088771787586E-2</v>
          </cell>
          <cell r="W42">
            <v>9.7284150790433718E-2</v>
          </cell>
          <cell r="X42">
            <v>0.13964329144710172</v>
          </cell>
          <cell r="Y42">
            <v>0.40028374543980338</v>
          </cell>
          <cell r="AI42">
            <v>0.26813944061613093</v>
          </cell>
          <cell r="AJ42">
            <v>4.7223348196189702E-2</v>
          </cell>
        </row>
        <row r="43">
          <cell r="A43">
            <v>1941</v>
          </cell>
          <cell r="T43">
            <v>35.24</v>
          </cell>
          <cell r="V43">
            <v>2.6390465380249715E-2</v>
          </cell>
          <cell r="W43">
            <v>0.15692395005675369</v>
          </cell>
          <cell r="X43">
            <v>0.24177071509648124</v>
          </cell>
          <cell r="Y43">
            <v>0.28234960272417703</v>
          </cell>
          <cell r="AI43">
            <v>0.28575482406356412</v>
          </cell>
          <cell r="AJ43">
            <v>0</v>
          </cell>
        </row>
        <row r="44">
          <cell r="A44">
            <v>1942</v>
          </cell>
          <cell r="T44">
            <v>63.25</v>
          </cell>
          <cell r="V44">
            <v>3.2569169960474306E-2</v>
          </cell>
          <cell r="W44">
            <v>6.007905138339921E-2</v>
          </cell>
          <cell r="X44">
            <v>0.13154150197628459</v>
          </cell>
          <cell r="Y44">
            <v>0.36047430830039529</v>
          </cell>
          <cell r="AI44">
            <v>0.25675889328063239</v>
          </cell>
          <cell r="AJ44">
            <v>0.15573122529644268</v>
          </cell>
        </row>
        <row r="45">
          <cell r="A45">
            <v>1943</v>
          </cell>
          <cell r="T45">
            <v>35.11</v>
          </cell>
          <cell r="V45">
            <v>5.5539732270008545E-2</v>
          </cell>
          <cell r="W45">
            <v>0.16063799487325547</v>
          </cell>
          <cell r="X45">
            <v>0.19367701509541441</v>
          </cell>
          <cell r="Y45">
            <v>0.3241241811449701</v>
          </cell>
          <cell r="AI45">
            <v>0.25719168328111652</v>
          </cell>
          <cell r="AJ45">
            <v>0</v>
          </cell>
        </row>
        <row r="46">
          <cell r="A46">
            <v>1944</v>
          </cell>
          <cell r="T46">
            <v>41.54</v>
          </cell>
          <cell r="V46">
            <v>5.6571978815599423E-2</v>
          </cell>
          <cell r="W46">
            <v>9.7737120847376013E-2</v>
          </cell>
          <cell r="X46">
            <v>0.13601348098218585</v>
          </cell>
          <cell r="Y46">
            <v>0.40009629272989894</v>
          </cell>
          <cell r="AI46">
            <v>0.25565719788155994</v>
          </cell>
          <cell r="AJ46">
            <v>5.0553683196918636E-2</v>
          </cell>
        </row>
        <row r="47">
          <cell r="A47">
            <v>1945</v>
          </cell>
          <cell r="T47">
            <v>59.92</v>
          </cell>
          <cell r="V47">
            <v>4.5060080106809078E-2</v>
          </cell>
          <cell r="W47">
            <v>8.4445927903871815E-2</v>
          </cell>
          <cell r="X47">
            <v>0.21128170894526035</v>
          </cell>
          <cell r="Y47">
            <v>0.2186248331108144</v>
          </cell>
          <cell r="AI47">
            <v>0.27753671562082771</v>
          </cell>
          <cell r="AJ47">
            <v>0.15737650200267023</v>
          </cell>
        </row>
        <row r="48">
          <cell r="A48">
            <v>1946</v>
          </cell>
          <cell r="T48">
            <v>34.01</v>
          </cell>
          <cell r="V48">
            <v>5.8218171126139376E-2</v>
          </cell>
          <cell r="W48">
            <v>0.15613054983828287</v>
          </cell>
          <cell r="X48">
            <v>0.21728903263745958</v>
          </cell>
          <cell r="Y48">
            <v>0.31255513084386649</v>
          </cell>
          <cell r="AI48">
            <v>0.17259629520729197</v>
          </cell>
          <cell r="AJ48">
            <v>7.6448103498970896E-2</v>
          </cell>
        </row>
        <row r="49">
          <cell r="A49">
            <v>1947</v>
          </cell>
          <cell r="T49">
            <v>54.75</v>
          </cell>
          <cell r="V49">
            <v>2.6666666666666665E-2</v>
          </cell>
          <cell r="W49">
            <v>8.1278538812785392E-2</v>
          </cell>
          <cell r="X49">
            <v>0.20073059360730414</v>
          </cell>
          <cell r="Y49">
            <v>0.21369863013698628</v>
          </cell>
          <cell r="AI49">
            <v>0.37625570776255707</v>
          </cell>
          <cell r="AJ49">
            <v>9.8630136986301381E-2</v>
          </cell>
        </row>
        <row r="50">
          <cell r="A50">
            <v>1948</v>
          </cell>
          <cell r="T50">
            <v>46.28</v>
          </cell>
          <cell r="V50">
            <v>5.7692307692307689E-2</v>
          </cell>
          <cell r="W50">
            <v>0.12618841832324978</v>
          </cell>
          <cell r="X50">
            <v>0.20786516853932582</v>
          </cell>
          <cell r="Y50">
            <v>0.38656006914433882</v>
          </cell>
          <cell r="AI50">
            <v>0.1510371650821089</v>
          </cell>
          <cell r="AJ50">
            <v>6.482281763180639E-2</v>
          </cell>
        </row>
        <row r="51">
          <cell r="A51">
            <v>1949</v>
          </cell>
          <cell r="T51">
            <v>39.119999999999997</v>
          </cell>
          <cell r="V51">
            <v>4.8824130879345604E-2</v>
          </cell>
          <cell r="W51">
            <v>0.16717791411042945</v>
          </cell>
          <cell r="X51">
            <v>0.2822085889570552</v>
          </cell>
          <cell r="Y51">
            <v>0.37755623721881137</v>
          </cell>
          <cell r="AI51">
            <v>0.1196319018404908</v>
          </cell>
          <cell r="AJ51">
            <v>0</v>
          </cell>
        </row>
        <row r="52">
          <cell r="A52">
            <v>1950</v>
          </cell>
          <cell r="T52">
            <v>49.92</v>
          </cell>
          <cell r="V52">
            <v>5.3084935897435896E-2</v>
          </cell>
          <cell r="W52">
            <v>0.12880608974358973</v>
          </cell>
          <cell r="X52">
            <v>0.24439102564102561</v>
          </cell>
          <cell r="Y52">
            <v>0.34675480769230765</v>
          </cell>
          <cell r="AI52">
            <v>9.8758012820512817E-2</v>
          </cell>
          <cell r="AJ52">
            <v>0.12520032051282051</v>
          </cell>
        </row>
        <row r="53">
          <cell r="A53">
            <v>1951</v>
          </cell>
          <cell r="T53">
            <v>47.91</v>
          </cell>
          <cell r="V53">
            <v>3.5900647046545608E-2</v>
          </cell>
          <cell r="W53">
            <v>7.3262366938008763E-2</v>
          </cell>
          <cell r="X53">
            <v>0.2460864120225402</v>
          </cell>
          <cell r="Y53">
            <v>0.28470048006678983</v>
          </cell>
          <cell r="AI53">
            <v>0.27864746399499063</v>
          </cell>
          <cell r="AJ53">
            <v>7.9315383009810059E-2</v>
          </cell>
        </row>
        <row r="54">
          <cell r="A54">
            <v>1952</v>
          </cell>
          <cell r="T54">
            <v>55.92</v>
          </cell>
          <cell r="V54">
            <v>3.2367668097281831E-2</v>
          </cell>
          <cell r="W54">
            <v>8.7267525035765375E-2</v>
          </cell>
          <cell r="X54">
            <v>0.1205293276108725</v>
          </cell>
          <cell r="Y54">
            <v>0.21673819742489267</v>
          </cell>
          <cell r="AI54">
            <v>0.30507868383404863</v>
          </cell>
          <cell r="AJ54">
            <v>0.23372675250357652</v>
          </cell>
        </row>
        <row r="55">
          <cell r="A55">
            <v>1953</v>
          </cell>
          <cell r="T55">
            <v>37.51</v>
          </cell>
          <cell r="V55">
            <v>4.1322314049586778E-2</v>
          </cell>
          <cell r="W55">
            <v>5.7318048520394564E-2</v>
          </cell>
          <cell r="X55">
            <v>0.25966408957611276</v>
          </cell>
          <cell r="Y55">
            <v>0.26552919221540899</v>
          </cell>
          <cell r="AI55">
            <v>0.22474006931484941</v>
          </cell>
          <cell r="AJ55">
            <v>0.14742735270594509</v>
          </cell>
        </row>
        <row r="56">
          <cell r="A56">
            <v>1954</v>
          </cell>
          <cell r="T56">
            <v>20.92</v>
          </cell>
          <cell r="V56">
            <v>4.1108986615678772E-2</v>
          </cell>
          <cell r="W56">
            <v>0.1061185468451238</v>
          </cell>
          <cell r="X56">
            <v>0.1132887189292543</v>
          </cell>
          <cell r="Y56">
            <v>0.37045889101338431</v>
          </cell>
          <cell r="AI56">
            <v>0.1061185468451238</v>
          </cell>
          <cell r="AJ56">
            <v>0.25717017208413001</v>
          </cell>
        </row>
        <row r="57">
          <cell r="A57">
            <v>1955</v>
          </cell>
          <cell r="T57">
            <v>49.96</v>
          </cell>
          <cell r="V57">
            <v>3.7029623698959166E-2</v>
          </cell>
          <cell r="W57">
            <v>8.7069655724579656E-2</v>
          </cell>
          <cell r="X57">
            <v>0.16693354683746975</v>
          </cell>
          <cell r="Y57">
            <v>0.12830264211369094</v>
          </cell>
          <cell r="AI57">
            <v>0.2375900720576461</v>
          </cell>
          <cell r="AJ57">
            <v>0.33927141713370695</v>
          </cell>
        </row>
        <row r="58">
          <cell r="A58">
            <v>1956</v>
          </cell>
          <cell r="T58">
            <v>41.31</v>
          </cell>
          <cell r="V58">
            <v>4.8172355361897845E-2</v>
          </cell>
          <cell r="W58">
            <v>0.14911643669813604</v>
          </cell>
          <cell r="X58">
            <v>0.25296538368433791</v>
          </cell>
          <cell r="Y58">
            <v>0.36189784555797622</v>
          </cell>
          <cell r="AI58">
            <v>0.18300653594771241</v>
          </cell>
          <cell r="AJ58">
            <v>0</v>
          </cell>
        </row>
        <row r="59">
          <cell r="A59">
            <v>1957</v>
          </cell>
          <cell r="T59">
            <v>37.86</v>
          </cell>
          <cell r="V59">
            <v>5.8372952984680399E-2</v>
          </cell>
          <cell r="W59">
            <v>0.1561014263074485</v>
          </cell>
          <cell r="X59">
            <v>0.2057580559957739</v>
          </cell>
          <cell r="Y59">
            <v>0.29609086106708932</v>
          </cell>
          <cell r="AI59">
            <v>0.22081352350765981</v>
          </cell>
          <cell r="AJ59">
            <v>5.9429477020602223E-2</v>
          </cell>
        </row>
        <row r="60">
          <cell r="A60">
            <v>1958</v>
          </cell>
          <cell r="T60">
            <v>42.84</v>
          </cell>
          <cell r="V60">
            <v>5.5322128851540614E-2</v>
          </cell>
          <cell r="W60">
            <v>0.13328664799253034</v>
          </cell>
          <cell r="X60">
            <v>0.18183940242763771</v>
          </cell>
          <cell r="Y60">
            <v>0.32563025210083796</v>
          </cell>
          <cell r="AI60">
            <v>0.24906629318394022</v>
          </cell>
          <cell r="AJ60">
            <v>5.1353874883286646E-2</v>
          </cell>
        </row>
        <row r="61">
          <cell r="A61">
            <v>1959</v>
          </cell>
          <cell r="T61">
            <v>44.24</v>
          </cell>
          <cell r="V61">
            <v>6.3743218806509933E-2</v>
          </cell>
          <cell r="W61">
            <v>9.2224231464737794E-2</v>
          </cell>
          <cell r="X61">
            <v>0.21880650994575043</v>
          </cell>
          <cell r="Y61">
            <v>0.31916817359855332</v>
          </cell>
          <cell r="AI61">
            <v>0.24073236889692584</v>
          </cell>
          <cell r="AJ61">
            <v>6.0804701627486434E-2</v>
          </cell>
        </row>
        <row r="62">
          <cell r="A62">
            <v>1960</v>
          </cell>
          <cell r="T62">
            <v>51</v>
          </cell>
          <cell r="V62">
            <v>3.7058823529411762E-2</v>
          </cell>
          <cell r="W62">
            <v>0.1007843137254902</v>
          </cell>
          <cell r="X62">
            <v>0.20411764705882354</v>
          </cell>
          <cell r="Y62">
            <v>0.22803921568627253</v>
          </cell>
          <cell r="AI62">
            <v>0.32313725490196077</v>
          </cell>
          <cell r="AJ62">
            <v>0.10352941176470568</v>
          </cell>
        </row>
        <row r="63">
          <cell r="A63">
            <v>1961</v>
          </cell>
          <cell r="T63">
            <v>43.29</v>
          </cell>
          <cell r="V63">
            <v>3.234003234003234E-2</v>
          </cell>
          <cell r="W63">
            <v>0.18018018018018017</v>
          </cell>
          <cell r="X63">
            <v>0.26842226842226841</v>
          </cell>
          <cell r="Y63">
            <v>0.36220836220835989</v>
          </cell>
          <cell r="AI63">
            <v>0.10695310695310695</v>
          </cell>
          <cell r="AJ63">
            <v>4.8048048048048048E-2</v>
          </cell>
        </row>
        <row r="64">
          <cell r="A64">
            <v>1962</v>
          </cell>
          <cell r="T64">
            <v>35.9</v>
          </cell>
          <cell r="V64">
            <v>5.7381615598885799E-2</v>
          </cell>
          <cell r="W64">
            <v>0.13286908077994428</v>
          </cell>
          <cell r="X64">
            <v>0.18161559888579359</v>
          </cell>
          <cell r="Y64">
            <v>0.35793871866294991</v>
          </cell>
          <cell r="AI64">
            <v>0.26657381615598885</v>
          </cell>
          <cell r="AJ64">
            <v>0</v>
          </cell>
        </row>
        <row r="65">
          <cell r="A65">
            <v>1963</v>
          </cell>
          <cell r="T65">
            <v>34.450000000000003</v>
          </cell>
          <cell r="V65">
            <v>3.3091436865021764E-2</v>
          </cell>
          <cell r="W65">
            <v>9.1146589259796504E-2</v>
          </cell>
          <cell r="X65">
            <v>0.29259796806966615</v>
          </cell>
          <cell r="Y65">
            <v>0.16748911465892596</v>
          </cell>
          <cell r="AI65">
            <v>0.35152394775036278</v>
          </cell>
          <cell r="AJ65">
            <v>5.8635703918722783E-2</v>
          </cell>
        </row>
        <row r="66">
          <cell r="A66">
            <v>1964</v>
          </cell>
          <cell r="T66">
            <v>29.56</v>
          </cell>
          <cell r="V66">
            <v>7.5439783491204337E-2</v>
          </cell>
          <cell r="W66">
            <v>0.11028416779431631</v>
          </cell>
          <cell r="X66">
            <v>0.23917456021650882</v>
          </cell>
          <cell r="Y66">
            <v>0.32205683355886333</v>
          </cell>
          <cell r="AI66">
            <v>0.24560216508795674</v>
          </cell>
          <cell r="AJ66">
            <v>0</v>
          </cell>
        </row>
        <row r="67">
          <cell r="A67">
            <v>1965</v>
          </cell>
          <cell r="T67">
            <v>32.549999999999997</v>
          </cell>
          <cell r="V67">
            <v>7.2503840245775733E-2</v>
          </cell>
          <cell r="W67">
            <v>9.2473118279569888E-2</v>
          </cell>
          <cell r="X67">
            <v>0.19692780337941632</v>
          </cell>
          <cell r="Y67">
            <v>0.50384024577572961</v>
          </cell>
          <cell r="AI67">
            <v>0.12288786482334871</v>
          </cell>
          <cell r="AJ67">
            <v>0</v>
          </cell>
        </row>
        <row r="68">
          <cell r="A68">
            <v>1966</v>
          </cell>
          <cell r="T68">
            <v>35.14</v>
          </cell>
          <cell r="V68">
            <v>6.8298235628912921E-2</v>
          </cell>
          <cell r="W68">
            <v>0.1072851451337507</v>
          </cell>
          <cell r="X68">
            <v>0.19664200341491178</v>
          </cell>
          <cell r="Y68">
            <v>0.29624359704040981</v>
          </cell>
          <cell r="AI68">
            <v>0.31815594763801935</v>
          </cell>
          <cell r="AJ68">
            <v>0</v>
          </cell>
        </row>
        <row r="69">
          <cell r="A69">
            <v>1967</v>
          </cell>
          <cell r="T69">
            <v>47.24</v>
          </cell>
          <cell r="V69">
            <v>4.4453852667231161E-2</v>
          </cell>
          <cell r="W69">
            <v>0.10563082133784928</v>
          </cell>
          <cell r="X69">
            <v>0.13357324301439435</v>
          </cell>
          <cell r="Y69">
            <v>0.3016511430990686</v>
          </cell>
          <cell r="AI69">
            <v>0.40622353937341238</v>
          </cell>
          <cell r="AJ69">
            <v>0</v>
          </cell>
        </row>
        <row r="70">
          <cell r="A70">
            <v>1968</v>
          </cell>
          <cell r="T70">
            <v>42.78</v>
          </cell>
          <cell r="V70">
            <v>4.2309490416082285E-2</v>
          </cell>
          <cell r="W70">
            <v>0.1093969144460028</v>
          </cell>
          <cell r="X70">
            <v>0.13557737260402056</v>
          </cell>
          <cell r="Y70">
            <v>0.32071061243571525</v>
          </cell>
          <cell r="AI70">
            <v>0.21107994389901824</v>
          </cell>
          <cell r="AJ70">
            <v>0.17391304347826086</v>
          </cell>
        </row>
        <row r="71">
          <cell r="A71">
            <v>1969</v>
          </cell>
          <cell r="T71">
            <v>44.19</v>
          </cell>
          <cell r="V71">
            <v>4.8200950441276307E-2</v>
          </cell>
          <cell r="W71">
            <v>8.6671192577506231E-2</v>
          </cell>
          <cell r="X71">
            <v>0.14980764878931885</v>
          </cell>
          <cell r="Y71">
            <v>0.3604887983706721</v>
          </cell>
          <cell r="AI71">
            <v>0.2928264313193028</v>
          </cell>
          <cell r="AJ71">
            <v>5.408463453269971E-2</v>
          </cell>
        </row>
        <row r="72">
          <cell r="A72">
            <v>1970</v>
          </cell>
          <cell r="T72">
            <v>42.55</v>
          </cell>
          <cell r="V72">
            <v>5.3349001175088138E-2</v>
          </cell>
          <cell r="W72">
            <v>9.964747356051705E-2</v>
          </cell>
          <cell r="X72">
            <v>0.18260869565217369</v>
          </cell>
          <cell r="Y72">
            <v>0.47450058754406588</v>
          </cell>
          <cell r="AI72">
            <v>0.18378378378378379</v>
          </cell>
          <cell r="AJ72">
            <v>0</v>
          </cell>
        </row>
        <row r="73">
          <cell r="A73">
            <v>1971</v>
          </cell>
          <cell r="T73">
            <v>50.1</v>
          </cell>
          <cell r="V73">
            <v>3.8722554890219557E-2</v>
          </cell>
          <cell r="W73">
            <v>0.10678642714570857</v>
          </cell>
          <cell r="X73">
            <v>0.18862275449101776</v>
          </cell>
          <cell r="Y73">
            <v>0.28562874251497006</v>
          </cell>
          <cell r="AI73">
            <v>0.20139720558882235</v>
          </cell>
          <cell r="AJ73">
            <v>0.17385229540918165</v>
          </cell>
        </row>
        <row r="74">
          <cell r="A74">
            <v>1972</v>
          </cell>
          <cell r="T74">
            <v>63.71</v>
          </cell>
          <cell r="V74">
            <v>2.8566943964840684E-2</v>
          </cell>
          <cell r="W74">
            <v>9.4804583267932827E-2</v>
          </cell>
          <cell r="X74">
            <v>0.16433840841312197</v>
          </cell>
          <cell r="Y74">
            <v>0.28551247841782917</v>
          </cell>
          <cell r="AI74">
            <v>0.32365405744781039</v>
          </cell>
          <cell r="AJ74">
            <v>9.8571652801757975E-2</v>
          </cell>
        </row>
        <row r="75">
          <cell r="A75">
            <v>1973</v>
          </cell>
          <cell r="T75">
            <v>60.3</v>
          </cell>
          <cell r="V75">
            <v>3.0845771144278611E-2</v>
          </cell>
          <cell r="W75">
            <v>6.7164179104477612E-2</v>
          </cell>
          <cell r="X75">
            <v>0.1762852404643433</v>
          </cell>
          <cell r="Y75">
            <v>0.25721393034825873</v>
          </cell>
          <cell r="AI75">
            <v>0.33565505804311757</v>
          </cell>
          <cell r="AJ75">
            <v>0.12852404643449419</v>
          </cell>
        </row>
        <row r="76">
          <cell r="A76">
            <v>1974</v>
          </cell>
          <cell r="T76">
            <v>51.88</v>
          </cell>
          <cell r="V76">
            <v>3.7586738627602159E-2</v>
          </cell>
          <cell r="W76">
            <v>9.1557440246723201E-2</v>
          </cell>
          <cell r="X76">
            <v>0.19178874325366227</v>
          </cell>
          <cell r="Y76">
            <v>0.37239784117193331</v>
          </cell>
          <cell r="AI76">
            <v>0.25944487278334616</v>
          </cell>
          <cell r="AJ76">
            <v>4.4333076329992283E-2</v>
          </cell>
        </row>
        <row r="77">
          <cell r="A77">
            <v>1975</v>
          </cell>
          <cell r="T77">
            <v>60.14</v>
          </cell>
          <cell r="V77">
            <v>3.5583638177585634E-2</v>
          </cell>
          <cell r="W77">
            <v>8.7296308613235785E-2</v>
          </cell>
          <cell r="X77">
            <v>0.20285999334885102</v>
          </cell>
          <cell r="Y77">
            <v>0.18739607582307782</v>
          </cell>
          <cell r="AI77">
            <v>0.36930495510475536</v>
          </cell>
          <cell r="AJ77">
            <v>0.1145660126371799</v>
          </cell>
        </row>
        <row r="78">
          <cell r="A78">
            <v>1976</v>
          </cell>
          <cell r="T78">
            <v>45.2</v>
          </cell>
          <cell r="V78">
            <v>3.6946902654867254E-2</v>
          </cell>
          <cell r="W78">
            <v>9.3584070796460181E-2</v>
          </cell>
          <cell r="X78">
            <v>0.18584070796460153</v>
          </cell>
          <cell r="Y78">
            <v>0.43473451327433404</v>
          </cell>
          <cell r="AI78">
            <v>0.24734513274336281</v>
          </cell>
          <cell r="AJ78">
            <v>0</v>
          </cell>
        </row>
        <row r="79">
          <cell r="A79">
            <v>1977</v>
          </cell>
          <cell r="T79">
            <v>48.07</v>
          </cell>
          <cell r="V79">
            <v>4.2438111087996673E-2</v>
          </cell>
          <cell r="W79">
            <v>9.3821510297482827E-2</v>
          </cell>
          <cell r="X79">
            <v>0.16850426461410442</v>
          </cell>
          <cell r="Y79">
            <v>0.31183690451425006</v>
          </cell>
          <cell r="AI79">
            <v>0.23236946120241314</v>
          </cell>
          <cell r="AJ79">
            <v>0.1470771791137922</v>
          </cell>
        </row>
        <row r="80">
          <cell r="A80">
            <v>1978</v>
          </cell>
          <cell r="T80">
            <v>42.51</v>
          </cell>
          <cell r="V80">
            <v>4.7047753469771823E-2</v>
          </cell>
          <cell r="W80">
            <v>0.1138555633968478</v>
          </cell>
          <cell r="X80">
            <v>0.20230533992001881</v>
          </cell>
          <cell r="Y80">
            <v>0.23100446953657966</v>
          </cell>
          <cell r="AI80">
            <v>0.34838861444365798</v>
          </cell>
          <cell r="AJ80">
            <v>5.457539402493531E-2</v>
          </cell>
        </row>
        <row r="81">
          <cell r="A81">
            <v>1979</v>
          </cell>
          <cell r="T81">
            <v>56.9</v>
          </cell>
          <cell r="V81">
            <v>3.0228471001757469E-2</v>
          </cell>
          <cell r="W81">
            <v>0.10333919156414763</v>
          </cell>
          <cell r="X81">
            <v>0.16748681898066783</v>
          </cell>
          <cell r="Y81">
            <v>0.24253075571177329</v>
          </cell>
          <cell r="AI81">
            <v>0.17592267135325135</v>
          </cell>
          <cell r="AJ81">
            <v>0.2769771528998225</v>
          </cell>
        </row>
        <row r="82">
          <cell r="A82">
            <v>1980</v>
          </cell>
          <cell r="T82">
            <v>35.39</v>
          </cell>
          <cell r="V82">
            <v>5.2839785250070645E-2</v>
          </cell>
          <cell r="W82">
            <v>0.13506640293868324</v>
          </cell>
          <cell r="X82">
            <v>0.1542808703023453</v>
          </cell>
          <cell r="Y82">
            <v>0.3181689742865188</v>
          </cell>
          <cell r="AI82">
            <v>0.24611472167278892</v>
          </cell>
          <cell r="AJ82">
            <v>8.3356880474710376E-2</v>
          </cell>
        </row>
        <row r="83">
          <cell r="A83">
            <v>1981</v>
          </cell>
          <cell r="T83">
            <v>38.799999999999997</v>
          </cell>
          <cell r="V83">
            <v>5.4123711340206195E-2</v>
          </cell>
          <cell r="W83">
            <v>0.11391752577319589</v>
          </cell>
          <cell r="X83">
            <v>0.16778350515463919</v>
          </cell>
          <cell r="Y83">
            <v>0.31701030927834795</v>
          </cell>
          <cell r="AI83">
            <v>0.27396907216494848</v>
          </cell>
          <cell r="AJ83">
            <v>6.8814432989690727E-2</v>
          </cell>
        </row>
        <row r="84">
          <cell r="A84">
            <v>1982</v>
          </cell>
          <cell r="T84">
            <v>41.56</v>
          </cell>
          <cell r="V84">
            <v>3.1520692974013477E-2</v>
          </cell>
          <cell r="W84">
            <v>0.1287295476419634</v>
          </cell>
          <cell r="X84">
            <v>0.12945139557266577</v>
          </cell>
          <cell r="Y84">
            <v>0.28585178055822907</v>
          </cell>
          <cell r="AI84">
            <v>0.24254090471607315</v>
          </cell>
          <cell r="AJ84">
            <v>0.17492781520692974</v>
          </cell>
        </row>
        <row r="85">
          <cell r="A85">
            <v>1983</v>
          </cell>
          <cell r="T85">
            <v>55.49</v>
          </cell>
          <cell r="V85">
            <v>3.0996575959632365E-2</v>
          </cell>
          <cell r="W85">
            <v>6.7940169399891864E-2</v>
          </cell>
          <cell r="X85">
            <v>0.11389439538655614</v>
          </cell>
          <cell r="Y85">
            <v>0.28779960353216794</v>
          </cell>
          <cell r="AI85">
            <v>0.45521715624436832</v>
          </cell>
          <cell r="AJ85">
            <v>3.8205081996756173E-2</v>
          </cell>
        </row>
        <row r="86">
          <cell r="A86">
            <v>1984</v>
          </cell>
          <cell r="T86">
            <v>50.14</v>
          </cell>
          <cell r="V86">
            <v>3.9489429597128041E-2</v>
          </cell>
          <cell r="W86">
            <v>5.9234144395691864E-2</v>
          </cell>
          <cell r="X86">
            <v>0.17032309533306739</v>
          </cell>
          <cell r="Y86">
            <v>0.36318308735540489</v>
          </cell>
          <cell r="AI86">
            <v>0.25109692859992006</v>
          </cell>
          <cell r="AJ86">
            <v>0.1078978859194256</v>
          </cell>
        </row>
        <row r="87">
          <cell r="A87">
            <v>1985</v>
          </cell>
          <cell r="T87">
            <v>46.05</v>
          </cell>
          <cell r="V87">
            <v>5.255157437567861E-2</v>
          </cell>
          <cell r="W87">
            <v>9.0119435396308373E-2</v>
          </cell>
          <cell r="X87">
            <v>0.1491856677524428</v>
          </cell>
          <cell r="Y87">
            <v>0.24951140065146366</v>
          </cell>
          <cell r="AI87">
            <v>0.39326818675352665</v>
          </cell>
          <cell r="AJ87">
            <v>5.7328990228013035E-2</v>
          </cell>
        </row>
        <row r="88">
          <cell r="A88">
            <v>1986</v>
          </cell>
          <cell r="T88">
            <v>44.66</v>
          </cell>
          <cell r="V88">
            <v>2.9108822212270492E-2</v>
          </cell>
          <cell r="W88">
            <v>9.0909090909090912E-2</v>
          </cell>
          <cell r="X88">
            <v>0.24115539632781013</v>
          </cell>
          <cell r="Y88">
            <v>0.29377519032691446</v>
          </cell>
          <cell r="AI88">
            <v>0.29086430810568742</v>
          </cell>
          <cell r="AJ88">
            <v>4.7693685624720109E-2</v>
          </cell>
        </row>
        <row r="89">
          <cell r="A89">
            <v>1987</v>
          </cell>
          <cell r="T89">
            <v>44.08</v>
          </cell>
          <cell r="V89">
            <v>5.5807622504537205E-2</v>
          </cell>
          <cell r="W89">
            <v>8.0762250453720513E-2</v>
          </cell>
          <cell r="X89">
            <v>0.17422867513611615</v>
          </cell>
          <cell r="Y89">
            <v>0.26542649727767692</v>
          </cell>
          <cell r="AI89">
            <v>0.35662431941923778</v>
          </cell>
          <cell r="AJ89">
            <v>6.102540834845735E-2</v>
          </cell>
        </row>
        <row r="90">
          <cell r="A90">
            <v>1988</v>
          </cell>
          <cell r="T90">
            <v>40.39</v>
          </cell>
          <cell r="V90">
            <v>3.6395147313691506E-2</v>
          </cell>
          <cell r="W90">
            <v>0.11587026491705867</v>
          </cell>
          <cell r="X90">
            <v>0.19212676405050755</v>
          </cell>
          <cell r="Y90">
            <v>0.31988115870264916</v>
          </cell>
          <cell r="AI90">
            <v>0.27234463976231738</v>
          </cell>
          <cell r="AJ90">
            <v>5.9915820747709826E-2</v>
          </cell>
        </row>
        <row r="91">
          <cell r="A91">
            <v>1989</v>
          </cell>
          <cell r="T91">
            <v>51.91</v>
          </cell>
          <cell r="V91">
            <v>5.3746869581968795E-2</v>
          </cell>
          <cell r="W91">
            <v>0.10575996917742247</v>
          </cell>
          <cell r="X91">
            <v>0.25081872471585248</v>
          </cell>
          <cell r="Y91">
            <v>0.27643999229435562</v>
          </cell>
          <cell r="AI91">
            <v>0.10903486804083992</v>
          </cell>
          <cell r="AJ91">
            <v>0.19649393180504704</v>
          </cell>
        </row>
        <row r="92">
          <cell r="A92">
            <v>1990</v>
          </cell>
          <cell r="T92">
            <v>53.59</v>
          </cell>
          <cell r="V92">
            <v>3.7506997574174278E-2</v>
          </cell>
          <cell r="W92">
            <v>0.13136779249860048</v>
          </cell>
          <cell r="X92">
            <v>0.15096100018660177</v>
          </cell>
          <cell r="Y92">
            <v>0.28624743422280274</v>
          </cell>
          <cell r="AI92">
            <v>0.31274491509609981</v>
          </cell>
          <cell r="AJ92">
            <v>7.650681097219629E-2</v>
          </cell>
        </row>
        <row r="93">
          <cell r="A93">
            <v>1991</v>
          </cell>
          <cell r="T93">
            <v>37.659999999999997</v>
          </cell>
          <cell r="V93">
            <v>7.089750398300558E-2</v>
          </cell>
          <cell r="W93">
            <v>9.6919808815719599E-2</v>
          </cell>
          <cell r="X93">
            <v>0.21109930961232054</v>
          </cell>
          <cell r="Y93">
            <v>0.34094530005310675</v>
          </cell>
          <cell r="AI93">
            <v>0.2177376526818906</v>
          </cell>
          <cell r="AJ93">
            <v>5.7886351566648973E-2</v>
          </cell>
        </row>
        <row r="94">
          <cell r="A94">
            <v>1992</v>
          </cell>
          <cell r="T94">
            <v>47.02</v>
          </cell>
          <cell r="V94">
            <v>3.4666099532113991E-2</v>
          </cell>
          <cell r="W94">
            <v>0.10633772862611654</v>
          </cell>
          <cell r="X94">
            <v>0.15971926839642703</v>
          </cell>
          <cell r="Y94">
            <v>0.3341131433432582</v>
          </cell>
          <cell r="AI94">
            <v>0.31348362398979113</v>
          </cell>
          <cell r="AJ94">
            <v>4.6150574223734579E-2</v>
          </cell>
        </row>
        <row r="95">
          <cell r="A95">
            <v>1993</v>
          </cell>
          <cell r="T95">
            <v>43.92</v>
          </cell>
          <cell r="V95">
            <v>4.8952641165755914E-2</v>
          </cell>
          <cell r="W95">
            <v>0.10200364298724955</v>
          </cell>
          <cell r="X95">
            <v>0.14412568306010928</v>
          </cell>
          <cell r="Y95">
            <v>0.3121584699453529</v>
          </cell>
          <cell r="AI95">
            <v>0.38752276867030966</v>
          </cell>
          <cell r="AJ95">
            <v>0</v>
          </cell>
        </row>
        <row r="96">
          <cell r="A96">
            <v>1994</v>
          </cell>
          <cell r="T96">
            <v>40.39</v>
          </cell>
          <cell r="V96">
            <v>2.3273087397870759E-2</v>
          </cell>
          <cell r="W96">
            <v>7.5018568952711057E-2</v>
          </cell>
          <cell r="X96">
            <v>0.16712057439960387</v>
          </cell>
          <cell r="Y96">
            <v>0.34538252042584794</v>
          </cell>
          <cell r="AI96">
            <v>0.25501361723198812</v>
          </cell>
          <cell r="AJ96">
            <v>0.13245852933894528</v>
          </cell>
        </row>
        <row r="97">
          <cell r="A97">
            <v>1995</v>
          </cell>
          <cell r="T97">
            <v>33.28</v>
          </cell>
          <cell r="V97">
            <v>5.078125E-2</v>
          </cell>
          <cell r="W97">
            <v>0.125</v>
          </cell>
          <cell r="X97">
            <v>0.14362980769230768</v>
          </cell>
          <cell r="Y97">
            <v>0.30018028846153844</v>
          </cell>
          <cell r="AI97">
            <v>0.16496394230769232</v>
          </cell>
          <cell r="AJ97">
            <v>0.20733173076923075</v>
          </cell>
        </row>
        <row r="98">
          <cell r="A98">
            <v>1996</v>
          </cell>
          <cell r="T98">
            <v>59.89</v>
          </cell>
          <cell r="V98">
            <v>3.7902821840040075E-2</v>
          </cell>
          <cell r="W98">
            <v>0.10886625480046752</v>
          </cell>
          <cell r="X98">
            <v>0.13424611788278509</v>
          </cell>
          <cell r="Y98">
            <v>0.22507931207213225</v>
          </cell>
          <cell r="AI98">
            <v>0.24494907330105192</v>
          </cell>
          <cell r="AJ98">
            <v>0.24344631825012508</v>
          </cell>
        </row>
        <row r="99">
          <cell r="A99">
            <v>1997</v>
          </cell>
          <cell r="T99">
            <v>37.47</v>
          </cell>
          <cell r="V99">
            <v>3.1758740325593809E-2</v>
          </cell>
          <cell r="W99">
            <v>0.16279690419001869</v>
          </cell>
          <cell r="X99">
            <v>0.12543368027755514</v>
          </cell>
          <cell r="Y99">
            <v>0.3197224446223646</v>
          </cell>
          <cell r="AI99">
            <v>0.15799306111555911</v>
          </cell>
          <cell r="AJ99">
            <v>0.19749132639444889</v>
          </cell>
        </row>
        <row r="100">
          <cell r="A100">
            <v>1998</v>
          </cell>
          <cell r="T100">
            <v>31.34</v>
          </cell>
          <cell r="V100">
            <v>5.4562858966177408E-2</v>
          </cell>
          <cell r="W100">
            <v>8.3599234205488204E-2</v>
          </cell>
          <cell r="X100">
            <v>0.20389278876834716</v>
          </cell>
          <cell r="Y100">
            <v>0.27600510529674538</v>
          </cell>
          <cell r="AI100">
            <v>0.37651563497128271</v>
          </cell>
          <cell r="AJ100">
            <v>0</v>
          </cell>
        </row>
        <row r="101">
          <cell r="A101">
            <v>1999</v>
          </cell>
          <cell r="T101">
            <v>38.11</v>
          </cell>
          <cell r="V101">
            <v>5.2479664130149567E-2</v>
          </cell>
          <cell r="W101">
            <v>9.4725793754919962E-2</v>
          </cell>
          <cell r="X101">
            <v>0.20703227499344004</v>
          </cell>
          <cell r="Y101">
            <v>0.34610338493833637</v>
          </cell>
          <cell r="AI101">
            <v>0.14720545788506953</v>
          </cell>
          <cell r="AJ101">
            <v>0.14773025452637104</v>
          </cell>
        </row>
        <row r="102">
          <cell r="A102">
            <v>2000</v>
          </cell>
          <cell r="T102">
            <v>48.96</v>
          </cell>
          <cell r="V102">
            <v>3.8807189542483661E-2</v>
          </cell>
          <cell r="W102">
            <v>0.10294117647058804</v>
          </cell>
          <cell r="X102">
            <v>0.15686274509803921</v>
          </cell>
          <cell r="Y102">
            <v>0.29677287581699141</v>
          </cell>
          <cell r="AI102">
            <v>0.18545751633986929</v>
          </cell>
          <cell r="AJ102">
            <v>0.21527777777777779</v>
          </cell>
        </row>
        <row r="103">
          <cell r="A103">
            <v>2001</v>
          </cell>
          <cell r="T103">
            <v>32.590000000000003</v>
          </cell>
          <cell r="V103">
            <v>5.5231666155262343E-2</v>
          </cell>
          <cell r="W103">
            <v>0.12979441546486653</v>
          </cell>
          <cell r="X103">
            <v>0.19054924823565478</v>
          </cell>
          <cell r="Y103">
            <v>0.3258668303160478</v>
          </cell>
          <cell r="AI103">
            <v>0.29119361767413282</v>
          </cell>
          <cell r="AJ103">
            <v>0</v>
          </cell>
        </row>
        <row r="104">
          <cell r="A104">
            <v>2002</v>
          </cell>
          <cell r="T104">
            <v>45.11</v>
          </cell>
          <cell r="V104">
            <v>4.6996231434271785E-2</v>
          </cell>
          <cell r="W104">
            <v>8.8450454444690768E-2</v>
          </cell>
          <cell r="X104">
            <v>0.13677676790068721</v>
          </cell>
          <cell r="Y104">
            <v>0.30059853690977389</v>
          </cell>
          <cell r="AI104">
            <v>0.35491021946353357</v>
          </cell>
          <cell r="AJ104">
            <v>6.6725781423187761E-2</v>
          </cell>
        </row>
        <row r="105">
          <cell r="A105">
            <v>2003</v>
          </cell>
          <cell r="T105">
            <v>59.93</v>
          </cell>
          <cell r="V105">
            <v>4.1214750542299353E-2</v>
          </cell>
          <cell r="W105">
            <v>0.11580176873018522</v>
          </cell>
          <cell r="X105">
            <v>0.16869681294843819</v>
          </cell>
          <cell r="Y105">
            <v>0.17036542633071919</v>
          </cell>
          <cell r="AI105">
            <v>0.42466210579008845</v>
          </cell>
          <cell r="AJ105">
            <v>7.6255631570165183E-2</v>
          </cell>
        </row>
        <row r="106">
          <cell r="A106">
            <v>2004</v>
          </cell>
          <cell r="T106">
            <v>51.82</v>
          </cell>
          <cell r="V106">
            <v>4.0717869548436897E-2</v>
          </cell>
          <cell r="W106">
            <v>8.2979544577383241E-2</v>
          </cell>
          <cell r="X106">
            <v>0.1572751833269006</v>
          </cell>
          <cell r="Y106">
            <v>0.29621767657275183</v>
          </cell>
          <cell r="AI106">
            <v>0.18930914704747201</v>
          </cell>
          <cell r="AJ106">
            <v>0.22713238131995367</v>
          </cell>
        </row>
        <row r="107">
          <cell r="A107">
            <v>2005</v>
          </cell>
          <cell r="T107">
            <v>50.15</v>
          </cell>
          <cell r="V107">
            <v>3.7686939182452639E-2</v>
          </cell>
          <cell r="W107">
            <v>7.4975074775672973E-2</v>
          </cell>
          <cell r="X107">
            <v>0.18125623130608176</v>
          </cell>
          <cell r="Y107">
            <v>0.28215353938185245</v>
          </cell>
          <cell r="AI107">
            <v>0.2119641076769691</v>
          </cell>
          <cell r="AJ107">
            <v>0.28255234297108678</v>
          </cell>
        </row>
        <row r="108">
          <cell r="A108">
            <v>2006</v>
          </cell>
          <cell r="T108">
            <v>50.66</v>
          </cell>
          <cell r="V108">
            <v>2.9016975917883932E-2</v>
          </cell>
          <cell r="W108">
            <v>9.6723253059613115E-2</v>
          </cell>
          <cell r="X108">
            <v>0.17094354520331603</v>
          </cell>
          <cell r="Y108">
            <v>0.28701144887485197</v>
          </cell>
          <cell r="AI108">
            <v>0.42341097512830639</v>
          </cell>
          <cell r="AJ108">
            <v>3.9676273193841295E-2</v>
          </cell>
        </row>
        <row r="109">
          <cell r="A109">
            <v>2007</v>
          </cell>
          <cell r="T109">
            <v>47.39</v>
          </cell>
          <cell r="V109">
            <v>2.9120067524794256E-2</v>
          </cell>
          <cell r="W109">
            <v>9.1158472251529635E-2</v>
          </cell>
          <cell r="X109">
            <v>0.11648027009917683</v>
          </cell>
          <cell r="Y109">
            <v>0.32538510234226631</v>
          </cell>
          <cell r="AI109">
            <v>0.2481536189069424</v>
          </cell>
          <cell r="AJ109">
            <v>0.19096855876767252</v>
          </cell>
        </row>
        <row r="110">
          <cell r="A110">
            <v>2008</v>
          </cell>
          <cell r="T110">
            <v>44.67</v>
          </cell>
          <cell r="V110">
            <v>4.1862547571076783E-2</v>
          </cell>
          <cell r="W110">
            <v>0.13588538168793349</v>
          </cell>
          <cell r="X110">
            <v>0.17103201253637787</v>
          </cell>
          <cell r="Y110">
            <v>0.17036042086411438</v>
          </cell>
          <cell r="AI110">
            <v>0.44862323707186036</v>
          </cell>
          <cell r="AJ110">
            <v>5.6861428251623013E-2</v>
          </cell>
        </row>
        <row r="111">
          <cell r="A111">
            <v>2009</v>
          </cell>
          <cell r="T111">
            <v>42.3</v>
          </cell>
          <cell r="V111">
            <v>3.6643026004728137E-2</v>
          </cell>
          <cell r="W111">
            <v>0.14657210401891255</v>
          </cell>
          <cell r="X111">
            <v>0.22624113475177307</v>
          </cell>
          <cell r="Y111">
            <v>0.39030732860520101</v>
          </cell>
          <cell r="AI111">
            <v>0.1822695035460993</v>
          </cell>
          <cell r="AJ111">
            <v>5.5082742316784873E-2</v>
          </cell>
        </row>
        <row r="112">
          <cell r="A112">
            <v>2010</v>
          </cell>
          <cell r="T112">
            <v>44.16</v>
          </cell>
          <cell r="V112">
            <v>3.917572463768116E-2</v>
          </cell>
          <cell r="W112">
            <v>6.2273550724637687E-2</v>
          </cell>
          <cell r="X112">
            <v>0.21625905797101452</v>
          </cell>
          <cell r="Y112">
            <v>0.23618659420289856</v>
          </cell>
          <cell r="AI112">
            <v>0.28442028985507251</v>
          </cell>
          <cell r="AJ112">
            <v>0.15874094202898553</v>
          </cell>
        </row>
        <row r="113">
          <cell r="A113">
            <v>2011</v>
          </cell>
          <cell r="T113">
            <v>77.36</v>
          </cell>
          <cell r="V113">
            <v>1.9906928645294728E-2</v>
          </cell>
          <cell r="W113">
            <v>7.6266804550155123E-2</v>
          </cell>
          <cell r="X113">
            <v>0.13379007238883142</v>
          </cell>
          <cell r="Y113">
            <v>0.22194932781799381</v>
          </cell>
          <cell r="AI113">
            <v>0.20423991726990692</v>
          </cell>
          <cell r="AJ113">
            <v>0.34190796277145813</v>
          </cell>
        </row>
        <row r="114">
          <cell r="A114">
            <v>2012</v>
          </cell>
          <cell r="T114">
            <v>45.28</v>
          </cell>
          <cell r="V114">
            <v>3.7102473498233215E-2</v>
          </cell>
          <cell r="W114">
            <v>0.11130742049469965</v>
          </cell>
          <cell r="X114">
            <v>0.19942579505300351</v>
          </cell>
          <cell r="Y114">
            <v>0.36174911660777165</v>
          </cell>
          <cell r="AI114">
            <v>0.20097173144876326</v>
          </cell>
          <cell r="AJ114">
            <v>7.5971731448763249E-2</v>
          </cell>
        </row>
        <row r="115">
          <cell r="A115">
            <v>2013</v>
          </cell>
          <cell r="T115">
            <v>42.65</v>
          </cell>
          <cell r="V115">
            <v>4.5017584994138334E-2</v>
          </cell>
          <cell r="W115">
            <v>9.495896834701055E-2</v>
          </cell>
          <cell r="X115">
            <v>0.18522860492379811</v>
          </cell>
          <cell r="Y115">
            <v>0.30128956623681125</v>
          </cell>
          <cell r="AI115">
            <v>0.2541617819460727</v>
          </cell>
          <cell r="AJ115">
            <v>0.11817116060961314</v>
          </cell>
        </row>
        <row r="116">
          <cell r="A116">
            <v>2014</v>
          </cell>
          <cell r="T116">
            <v>43.46</v>
          </cell>
          <cell r="V116">
            <v>5.1311550851357572E-2</v>
          </cell>
          <cell r="W116">
            <v>0.11113667740450967</v>
          </cell>
          <cell r="X116">
            <v>0.21053842613897839</v>
          </cell>
          <cell r="Y116">
            <v>0.22411412793373217</v>
          </cell>
          <cell r="AI116">
            <v>0.26092959042797947</v>
          </cell>
          <cell r="AJ116">
            <v>0.13437643810400368</v>
          </cell>
        </row>
        <row r="117">
          <cell r="A117">
            <v>2015</v>
          </cell>
          <cell r="T117">
            <v>36.39</v>
          </cell>
          <cell r="V117">
            <v>4.6990931574608409E-2</v>
          </cell>
          <cell r="W117">
            <v>0.14152239626270924</v>
          </cell>
          <cell r="X117">
            <v>0.1236603462489695</v>
          </cell>
          <cell r="Y117">
            <v>0.39543830722726026</v>
          </cell>
          <cell r="AI117">
            <v>0.28469359714207171</v>
          </cell>
          <cell r="AJ117">
            <v>0</v>
          </cell>
        </row>
        <row r="118">
          <cell r="A118">
            <v>2016</v>
          </cell>
          <cell r="T118">
            <v>34.72</v>
          </cell>
          <cell r="V118">
            <v>5.4435483870967742E-2</v>
          </cell>
          <cell r="W118">
            <v>0.1152073732718894</v>
          </cell>
          <cell r="X118">
            <v>0.33870967741935487</v>
          </cell>
          <cell r="Y118">
            <v>0.18087557603686638</v>
          </cell>
          <cell r="AI118">
            <v>0.30443548387096775</v>
          </cell>
          <cell r="AJ118">
            <v>0</v>
          </cell>
        </row>
        <row r="119">
          <cell r="A119">
            <v>2017</v>
          </cell>
          <cell r="T119">
            <v>45.07</v>
          </cell>
          <cell r="V119">
            <v>5.5469270024406478E-2</v>
          </cell>
          <cell r="W119">
            <v>0.11715109829154649</v>
          </cell>
          <cell r="X119">
            <v>0.21633015309518527</v>
          </cell>
          <cell r="Y119">
            <v>0.25626802751275568</v>
          </cell>
          <cell r="AI119">
            <v>0.27357443976037277</v>
          </cell>
          <cell r="AJ119">
            <v>8.4313290437097843E-2</v>
          </cell>
        </row>
      </sheetData>
      <sheetData sheetId="2" refreshError="1"/>
    </sheetDataSet>
  </externalBook>
</externalLink>
</file>

<file path=xl/queryTables/queryTable1.xml><?xml version="1.0" encoding="utf-8"?>
<queryTable xmlns="http://schemas.openxmlformats.org/spreadsheetml/2006/main" name="acm_annual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20"/>
  <sheetViews>
    <sheetView zoomScale="70" zoomScaleNormal="70" workbookViewId="0">
      <pane ySplit="1" topLeftCell="A62" activePane="bottomLeft" state="frozen"/>
      <selection pane="bottomLeft" activeCell="C87" sqref="C2:C87"/>
    </sheetView>
  </sheetViews>
  <sheetFormatPr defaultRowHeight="15" x14ac:dyDescent="0.25"/>
  <cols>
    <col min="1" max="1" width="28.7109375" bestFit="1" customWidth="1"/>
    <col min="2" max="2" width="0" hidden="1" customWidth="1"/>
    <col min="7" max="15" width="0" hidden="1" customWidth="1"/>
    <col min="20" max="20" width="24.7109375" customWidth="1"/>
    <col min="21" max="21" width="22.140625" customWidth="1"/>
  </cols>
  <sheetData>
    <row r="1" spans="1:21" s="8" customFormat="1" ht="18.75" x14ac:dyDescent="0.3"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8" t="s">
        <v>13</v>
      </c>
      <c r="P1" s="8" t="s">
        <v>23</v>
      </c>
      <c r="Q1" s="8" t="s">
        <v>25</v>
      </c>
      <c r="T1" s="7" t="s">
        <v>15</v>
      </c>
      <c r="U1" s="7"/>
    </row>
    <row r="2" spans="1:21" ht="18.75" x14ac:dyDescent="0.3">
      <c r="A2">
        <v>1902</v>
      </c>
      <c r="B2">
        <v>250</v>
      </c>
      <c r="C2">
        <v>28</v>
      </c>
      <c r="D2">
        <v>28</v>
      </c>
      <c r="E2">
        <v>17</v>
      </c>
      <c r="F2">
        <v>28</v>
      </c>
      <c r="G2">
        <v>9</v>
      </c>
      <c r="H2">
        <v>3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f>SUM(G2:H2)</f>
        <v>12</v>
      </c>
      <c r="Q2">
        <f>SUM(I2:O2)</f>
        <v>2</v>
      </c>
      <c r="T2" s="7" t="s">
        <v>16</v>
      </c>
      <c r="U2" s="7" t="s">
        <v>17</v>
      </c>
    </row>
    <row r="3" spans="1:21" ht="18.75" x14ac:dyDescent="0.3">
      <c r="A3">
        <v>1903</v>
      </c>
      <c r="B3">
        <v>254</v>
      </c>
      <c r="C3">
        <v>29</v>
      </c>
      <c r="D3">
        <v>25</v>
      </c>
      <c r="E3">
        <v>25</v>
      </c>
      <c r="F3">
        <v>23</v>
      </c>
      <c r="G3">
        <v>7</v>
      </c>
      <c r="H3">
        <v>1</v>
      </c>
      <c r="I3">
        <v>0</v>
      </c>
      <c r="J3">
        <v>0</v>
      </c>
      <c r="K3">
        <v>0</v>
      </c>
      <c r="L3">
        <v>0</v>
      </c>
      <c r="M3">
        <v>1</v>
      </c>
      <c r="N3">
        <v>0</v>
      </c>
      <c r="O3">
        <v>0</v>
      </c>
      <c r="P3">
        <f t="shared" ref="P3:P66" si="0">SUM(G3:H3)</f>
        <v>8</v>
      </c>
      <c r="Q3">
        <f t="shared" ref="Q3:Q66" si="1">SUM(I3:O3)</f>
        <v>1</v>
      </c>
      <c r="T3" s="7" t="s">
        <v>0</v>
      </c>
      <c r="U3" s="7" t="s">
        <v>18</v>
      </c>
    </row>
    <row r="4" spans="1:21" ht="18.75" x14ac:dyDescent="0.3">
      <c r="A4">
        <v>1904</v>
      </c>
      <c r="B4">
        <v>255</v>
      </c>
      <c r="C4">
        <v>32</v>
      </c>
      <c r="D4">
        <v>35</v>
      </c>
      <c r="E4">
        <v>23</v>
      </c>
      <c r="F4">
        <v>15</v>
      </c>
      <c r="G4">
        <v>3</v>
      </c>
      <c r="H4">
        <v>1</v>
      </c>
      <c r="I4">
        <v>1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f t="shared" si="0"/>
        <v>4</v>
      </c>
      <c r="Q4">
        <f t="shared" si="1"/>
        <v>2</v>
      </c>
      <c r="T4" s="7" t="s">
        <v>1</v>
      </c>
      <c r="U4" s="7" t="s">
        <v>19</v>
      </c>
    </row>
    <row r="5" spans="1:21" ht="18.75" x14ac:dyDescent="0.3">
      <c r="A5">
        <v>1905</v>
      </c>
      <c r="B5">
        <v>251</v>
      </c>
      <c r="C5">
        <v>29</v>
      </c>
      <c r="D5">
        <v>28</v>
      </c>
      <c r="E5">
        <v>27</v>
      </c>
      <c r="F5">
        <v>20</v>
      </c>
      <c r="G5">
        <v>7</v>
      </c>
      <c r="H5">
        <v>1</v>
      </c>
      <c r="I5">
        <v>0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f t="shared" si="0"/>
        <v>8</v>
      </c>
      <c r="Q5">
        <f t="shared" si="1"/>
        <v>2</v>
      </c>
      <c r="T5" s="7" t="s">
        <v>2</v>
      </c>
      <c r="U5" s="7" t="s">
        <v>20</v>
      </c>
    </row>
    <row r="6" spans="1:21" ht="18.75" x14ac:dyDescent="0.3">
      <c r="A6">
        <v>1906</v>
      </c>
      <c r="B6">
        <v>244</v>
      </c>
      <c r="C6">
        <v>32</v>
      </c>
      <c r="D6">
        <v>34</v>
      </c>
      <c r="E6">
        <v>22</v>
      </c>
      <c r="F6">
        <v>23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>
        <f t="shared" si="0"/>
        <v>9</v>
      </c>
      <c r="Q6">
        <f t="shared" si="1"/>
        <v>1</v>
      </c>
      <c r="T6" s="7" t="s">
        <v>3</v>
      </c>
      <c r="U6" s="7" t="s">
        <v>21</v>
      </c>
    </row>
    <row r="7" spans="1:21" ht="18.75" x14ac:dyDescent="0.3">
      <c r="A7">
        <v>1907</v>
      </c>
      <c r="B7">
        <v>242</v>
      </c>
      <c r="C7">
        <v>27</v>
      </c>
      <c r="D7">
        <v>34</v>
      </c>
      <c r="E7">
        <v>22</v>
      </c>
      <c r="F7">
        <v>26</v>
      </c>
      <c r="G7">
        <v>6</v>
      </c>
      <c r="H7">
        <v>6</v>
      </c>
      <c r="I7">
        <v>0</v>
      </c>
      <c r="J7">
        <v>2</v>
      </c>
      <c r="K7">
        <v>0</v>
      </c>
      <c r="L7">
        <v>0</v>
      </c>
      <c r="M7">
        <v>0</v>
      </c>
      <c r="N7">
        <v>0</v>
      </c>
      <c r="O7">
        <v>0</v>
      </c>
      <c r="P7">
        <f t="shared" si="0"/>
        <v>12</v>
      </c>
      <c r="Q7">
        <f t="shared" si="1"/>
        <v>2</v>
      </c>
      <c r="T7" s="7" t="s">
        <v>4</v>
      </c>
      <c r="U7" s="7" t="s">
        <v>22</v>
      </c>
    </row>
    <row r="8" spans="1:21" ht="18.75" x14ac:dyDescent="0.3">
      <c r="A8">
        <v>1908</v>
      </c>
      <c r="B8">
        <v>270</v>
      </c>
      <c r="C8">
        <v>26</v>
      </c>
      <c r="D8">
        <v>24</v>
      </c>
      <c r="E8">
        <v>22</v>
      </c>
      <c r="F8">
        <v>8</v>
      </c>
      <c r="G8">
        <v>6</v>
      </c>
      <c r="H8">
        <v>8</v>
      </c>
      <c r="I8">
        <v>1</v>
      </c>
      <c r="J8">
        <v>1</v>
      </c>
      <c r="K8">
        <v>0</v>
      </c>
      <c r="L8">
        <v>0</v>
      </c>
      <c r="M8">
        <v>0</v>
      </c>
      <c r="N8">
        <v>0</v>
      </c>
      <c r="O8">
        <v>0</v>
      </c>
      <c r="P8">
        <f t="shared" si="0"/>
        <v>14</v>
      </c>
      <c r="Q8">
        <f t="shared" si="1"/>
        <v>2</v>
      </c>
      <c r="T8" s="7" t="s">
        <v>23</v>
      </c>
      <c r="U8" s="7" t="s">
        <v>37</v>
      </c>
    </row>
    <row r="9" spans="1:21" ht="18.75" x14ac:dyDescent="0.3">
      <c r="A9">
        <v>1909</v>
      </c>
      <c r="B9">
        <v>260</v>
      </c>
      <c r="C9">
        <v>31</v>
      </c>
      <c r="D9">
        <v>26</v>
      </c>
      <c r="E9">
        <v>27</v>
      </c>
      <c r="F9">
        <v>10</v>
      </c>
      <c r="G9">
        <v>5</v>
      </c>
      <c r="H9">
        <v>4</v>
      </c>
      <c r="I9">
        <v>1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f t="shared" si="0"/>
        <v>9</v>
      </c>
      <c r="Q9">
        <f t="shared" si="1"/>
        <v>2</v>
      </c>
      <c r="T9" s="7" t="s">
        <v>25</v>
      </c>
      <c r="U9" s="7" t="s">
        <v>38</v>
      </c>
    </row>
    <row r="10" spans="1:21" ht="18.75" x14ac:dyDescent="0.3">
      <c r="A10">
        <v>1910</v>
      </c>
      <c r="B10">
        <v>267</v>
      </c>
      <c r="C10">
        <v>22</v>
      </c>
      <c r="D10">
        <v>25</v>
      </c>
      <c r="E10">
        <v>26</v>
      </c>
      <c r="F10">
        <v>14</v>
      </c>
      <c r="G10">
        <v>8</v>
      </c>
      <c r="H10">
        <v>1</v>
      </c>
      <c r="I10">
        <v>1</v>
      </c>
      <c r="J10">
        <v>0</v>
      </c>
      <c r="K10">
        <v>1</v>
      </c>
      <c r="L10">
        <v>0</v>
      </c>
      <c r="M10">
        <v>0</v>
      </c>
      <c r="N10">
        <v>0</v>
      </c>
      <c r="O10">
        <v>0</v>
      </c>
      <c r="P10">
        <f t="shared" si="0"/>
        <v>9</v>
      </c>
      <c r="Q10">
        <f t="shared" si="1"/>
        <v>2</v>
      </c>
      <c r="T10" s="7"/>
      <c r="U10" s="7"/>
    </row>
    <row r="11" spans="1:21" ht="18.75" x14ac:dyDescent="0.3">
      <c r="A11">
        <v>1911</v>
      </c>
      <c r="B11">
        <v>242</v>
      </c>
      <c r="C11">
        <v>31</v>
      </c>
      <c r="D11">
        <v>24</v>
      </c>
      <c r="E11">
        <v>30</v>
      </c>
      <c r="F11">
        <v>22</v>
      </c>
      <c r="G11">
        <v>8</v>
      </c>
      <c r="H11">
        <v>3</v>
      </c>
      <c r="I11">
        <v>4</v>
      </c>
      <c r="J11">
        <v>0</v>
      </c>
      <c r="K11">
        <v>1</v>
      </c>
      <c r="L11">
        <v>0</v>
      </c>
      <c r="M11">
        <v>0</v>
      </c>
      <c r="N11">
        <v>0</v>
      </c>
      <c r="O11">
        <v>0</v>
      </c>
      <c r="P11">
        <f t="shared" si="0"/>
        <v>11</v>
      </c>
      <c r="Q11">
        <f t="shared" si="1"/>
        <v>5</v>
      </c>
      <c r="T11" s="7"/>
      <c r="U11" s="7"/>
    </row>
    <row r="12" spans="1:21" ht="18.75" x14ac:dyDescent="0.3">
      <c r="A12">
        <v>1912</v>
      </c>
      <c r="B12">
        <v>262</v>
      </c>
      <c r="C12">
        <v>29</v>
      </c>
      <c r="D12">
        <v>22</v>
      </c>
      <c r="E12">
        <v>17</v>
      </c>
      <c r="F12">
        <v>19</v>
      </c>
      <c r="G12">
        <v>10</v>
      </c>
      <c r="H12">
        <v>6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f t="shared" si="0"/>
        <v>16</v>
      </c>
      <c r="Q12">
        <f t="shared" si="1"/>
        <v>1</v>
      </c>
      <c r="T12" s="7"/>
      <c r="U12" s="7"/>
    </row>
    <row r="13" spans="1:21" ht="18.75" x14ac:dyDescent="0.3">
      <c r="A13">
        <v>1913</v>
      </c>
      <c r="B13">
        <v>244</v>
      </c>
      <c r="C13">
        <v>44</v>
      </c>
      <c r="D13">
        <v>29</v>
      </c>
      <c r="E13">
        <v>14</v>
      </c>
      <c r="F13">
        <v>22</v>
      </c>
      <c r="G13">
        <v>9</v>
      </c>
      <c r="H13">
        <v>1</v>
      </c>
      <c r="I13">
        <v>2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f t="shared" si="0"/>
        <v>10</v>
      </c>
      <c r="Q13">
        <f t="shared" si="1"/>
        <v>2</v>
      </c>
      <c r="T13" s="7"/>
      <c r="U13" s="7"/>
    </row>
    <row r="14" spans="1:21" ht="18.75" x14ac:dyDescent="0.3">
      <c r="A14">
        <v>1914</v>
      </c>
      <c r="B14">
        <v>264</v>
      </c>
      <c r="C14">
        <v>30</v>
      </c>
      <c r="D14">
        <v>21</v>
      </c>
      <c r="E14">
        <v>21</v>
      </c>
      <c r="F14">
        <v>21</v>
      </c>
      <c r="G14">
        <v>4</v>
      </c>
      <c r="H14">
        <v>3</v>
      </c>
      <c r="I14">
        <v>0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f t="shared" si="0"/>
        <v>7</v>
      </c>
      <c r="Q14">
        <f t="shared" si="1"/>
        <v>1</v>
      </c>
      <c r="T14" s="7"/>
      <c r="U14" s="7"/>
    </row>
    <row r="15" spans="1:21" ht="18.75" x14ac:dyDescent="0.3">
      <c r="A15">
        <v>1915</v>
      </c>
      <c r="B15">
        <v>250</v>
      </c>
      <c r="C15">
        <v>32</v>
      </c>
      <c r="D15">
        <v>21</v>
      </c>
      <c r="E15">
        <v>33</v>
      </c>
      <c r="F15">
        <v>20</v>
      </c>
      <c r="G15">
        <v>4</v>
      </c>
      <c r="H15">
        <v>2</v>
      </c>
      <c r="I15">
        <v>2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f t="shared" si="0"/>
        <v>6</v>
      </c>
      <c r="Q15">
        <f t="shared" si="1"/>
        <v>3</v>
      </c>
      <c r="T15" s="7"/>
      <c r="U15" s="7"/>
    </row>
    <row r="16" spans="1:21" ht="18.75" x14ac:dyDescent="0.3">
      <c r="A16">
        <v>1916</v>
      </c>
      <c r="B16">
        <v>255</v>
      </c>
      <c r="C16">
        <v>32</v>
      </c>
      <c r="D16">
        <v>29</v>
      </c>
      <c r="E16">
        <v>22</v>
      </c>
      <c r="F16">
        <v>19</v>
      </c>
      <c r="G16">
        <v>6</v>
      </c>
      <c r="H16">
        <v>2</v>
      </c>
      <c r="I16">
        <v>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f t="shared" si="0"/>
        <v>8</v>
      </c>
      <c r="Q16">
        <f t="shared" si="1"/>
        <v>1</v>
      </c>
      <c r="T16" s="7"/>
      <c r="U16" s="7"/>
    </row>
    <row r="17" spans="1:17" x14ac:dyDescent="0.25">
      <c r="A17">
        <v>1917</v>
      </c>
      <c r="B17">
        <v>257</v>
      </c>
      <c r="C17">
        <v>24</v>
      </c>
      <c r="D17">
        <v>26</v>
      </c>
      <c r="E17">
        <v>27</v>
      </c>
      <c r="F17">
        <v>20</v>
      </c>
      <c r="G17">
        <v>6</v>
      </c>
      <c r="H17">
        <v>1</v>
      </c>
      <c r="I17">
        <v>2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f t="shared" si="0"/>
        <v>7</v>
      </c>
      <c r="Q17">
        <f t="shared" si="1"/>
        <v>4</v>
      </c>
    </row>
    <row r="18" spans="1:17" x14ac:dyDescent="0.25">
      <c r="A18">
        <v>1918</v>
      </c>
      <c r="B18">
        <v>263</v>
      </c>
      <c r="C18">
        <v>35</v>
      </c>
      <c r="D18">
        <v>17</v>
      </c>
      <c r="E18">
        <v>25</v>
      </c>
      <c r="F18">
        <v>15</v>
      </c>
      <c r="G18">
        <v>7</v>
      </c>
      <c r="H18">
        <v>2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f t="shared" si="0"/>
        <v>9</v>
      </c>
      <c r="Q18">
        <f t="shared" si="1"/>
        <v>1</v>
      </c>
    </row>
    <row r="19" spans="1:17" x14ac:dyDescent="0.25">
      <c r="A19">
        <v>1919</v>
      </c>
      <c r="B19">
        <v>246</v>
      </c>
      <c r="C19">
        <v>31</v>
      </c>
      <c r="D19">
        <v>26</v>
      </c>
      <c r="E19">
        <v>26</v>
      </c>
      <c r="F19">
        <v>25</v>
      </c>
      <c r="G19">
        <v>5</v>
      </c>
      <c r="H19">
        <v>4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f t="shared" si="0"/>
        <v>9</v>
      </c>
      <c r="Q19">
        <f t="shared" si="1"/>
        <v>2</v>
      </c>
    </row>
    <row r="20" spans="1:17" x14ac:dyDescent="0.25">
      <c r="A20">
        <v>1920</v>
      </c>
      <c r="B20">
        <v>250</v>
      </c>
      <c r="C20">
        <v>29</v>
      </c>
      <c r="D20">
        <v>32</v>
      </c>
      <c r="E20">
        <v>22</v>
      </c>
      <c r="F20">
        <v>20</v>
      </c>
      <c r="G20">
        <v>11</v>
      </c>
      <c r="H20">
        <v>0</v>
      </c>
      <c r="I20">
        <v>0</v>
      </c>
      <c r="J20">
        <v>0</v>
      </c>
      <c r="K20">
        <v>2</v>
      </c>
      <c r="L20">
        <v>0</v>
      </c>
      <c r="M20">
        <v>0</v>
      </c>
      <c r="N20">
        <v>0</v>
      </c>
      <c r="O20">
        <v>0</v>
      </c>
      <c r="P20">
        <f t="shared" si="0"/>
        <v>11</v>
      </c>
      <c r="Q20">
        <f t="shared" si="1"/>
        <v>2</v>
      </c>
    </row>
    <row r="21" spans="1:17" x14ac:dyDescent="0.25">
      <c r="A21">
        <v>1921</v>
      </c>
      <c r="B21">
        <v>252</v>
      </c>
      <c r="C21">
        <v>37</v>
      </c>
      <c r="D21">
        <v>28</v>
      </c>
      <c r="E21">
        <v>24</v>
      </c>
      <c r="F21">
        <v>20</v>
      </c>
      <c r="G21">
        <v>3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f t="shared" si="0"/>
        <v>4</v>
      </c>
      <c r="Q21">
        <f t="shared" si="1"/>
        <v>0</v>
      </c>
    </row>
    <row r="22" spans="1:17" x14ac:dyDescent="0.25">
      <c r="A22">
        <v>1922</v>
      </c>
      <c r="B22">
        <v>252</v>
      </c>
      <c r="C22">
        <v>30</v>
      </c>
      <c r="D22">
        <v>34</v>
      </c>
      <c r="E22">
        <v>22</v>
      </c>
      <c r="F22">
        <v>20</v>
      </c>
      <c r="G22">
        <v>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f t="shared" si="0"/>
        <v>7</v>
      </c>
      <c r="Q22">
        <f t="shared" si="1"/>
        <v>0</v>
      </c>
    </row>
    <row r="23" spans="1:17" x14ac:dyDescent="0.25">
      <c r="A23">
        <v>1923</v>
      </c>
      <c r="B23">
        <v>264</v>
      </c>
      <c r="C23">
        <v>25</v>
      </c>
      <c r="D23">
        <v>21</v>
      </c>
      <c r="E23">
        <v>27</v>
      </c>
      <c r="F23">
        <v>15</v>
      </c>
      <c r="G23">
        <v>11</v>
      </c>
      <c r="H23">
        <v>1</v>
      </c>
      <c r="I23">
        <v>0</v>
      </c>
      <c r="J23">
        <v>1</v>
      </c>
      <c r="K23">
        <v>0</v>
      </c>
      <c r="L23">
        <v>0</v>
      </c>
      <c r="M23">
        <v>0</v>
      </c>
      <c r="N23">
        <v>0</v>
      </c>
      <c r="O23">
        <v>0</v>
      </c>
      <c r="P23">
        <f t="shared" si="0"/>
        <v>12</v>
      </c>
      <c r="Q23">
        <f t="shared" si="1"/>
        <v>1</v>
      </c>
    </row>
    <row r="24" spans="1:17" x14ac:dyDescent="0.25">
      <c r="A24">
        <v>1924</v>
      </c>
      <c r="B24">
        <v>267</v>
      </c>
      <c r="C24">
        <v>17</v>
      </c>
      <c r="D24">
        <v>27</v>
      </c>
      <c r="E24">
        <v>24</v>
      </c>
      <c r="F24">
        <v>14</v>
      </c>
      <c r="G24">
        <v>9</v>
      </c>
      <c r="H24">
        <v>4</v>
      </c>
      <c r="I24">
        <v>3</v>
      </c>
      <c r="J24">
        <v>1</v>
      </c>
      <c r="K24">
        <v>0</v>
      </c>
      <c r="L24">
        <v>0</v>
      </c>
      <c r="M24">
        <v>0</v>
      </c>
      <c r="N24">
        <v>0</v>
      </c>
      <c r="O24">
        <v>0</v>
      </c>
      <c r="P24">
        <f t="shared" si="0"/>
        <v>13</v>
      </c>
      <c r="Q24">
        <f t="shared" si="1"/>
        <v>4</v>
      </c>
    </row>
    <row r="25" spans="1:17" x14ac:dyDescent="0.25">
      <c r="A25">
        <v>1925</v>
      </c>
      <c r="B25">
        <v>265</v>
      </c>
      <c r="C25">
        <v>28</v>
      </c>
      <c r="D25">
        <v>22</v>
      </c>
      <c r="E25">
        <v>26</v>
      </c>
      <c r="F25">
        <v>12</v>
      </c>
      <c r="G25">
        <v>6</v>
      </c>
      <c r="H25">
        <v>4</v>
      </c>
      <c r="I25">
        <v>0</v>
      </c>
      <c r="J25">
        <v>1</v>
      </c>
      <c r="K25">
        <v>1</v>
      </c>
      <c r="L25">
        <v>0</v>
      </c>
      <c r="M25">
        <v>0</v>
      </c>
      <c r="N25">
        <v>0</v>
      </c>
      <c r="O25">
        <v>0</v>
      </c>
      <c r="P25">
        <f t="shared" si="0"/>
        <v>10</v>
      </c>
      <c r="Q25">
        <f t="shared" si="1"/>
        <v>2</v>
      </c>
    </row>
    <row r="26" spans="1:17" x14ac:dyDescent="0.25">
      <c r="A26">
        <v>1926</v>
      </c>
      <c r="B26">
        <v>251</v>
      </c>
      <c r="C26">
        <v>26</v>
      </c>
      <c r="D26">
        <v>23</v>
      </c>
      <c r="E26">
        <v>31</v>
      </c>
      <c r="F26">
        <v>25</v>
      </c>
      <c r="G26">
        <v>4</v>
      </c>
      <c r="H26">
        <v>5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f t="shared" si="0"/>
        <v>9</v>
      </c>
      <c r="Q26">
        <f t="shared" si="1"/>
        <v>0</v>
      </c>
    </row>
    <row r="27" spans="1:17" x14ac:dyDescent="0.25">
      <c r="A27">
        <v>1927</v>
      </c>
      <c r="B27">
        <v>250</v>
      </c>
      <c r="C27">
        <v>27</v>
      </c>
      <c r="D27">
        <v>28</v>
      </c>
      <c r="E27">
        <v>30</v>
      </c>
      <c r="F27">
        <v>16</v>
      </c>
      <c r="G27">
        <v>8</v>
      </c>
      <c r="H27">
        <v>4</v>
      </c>
      <c r="I27">
        <v>2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f t="shared" si="0"/>
        <v>12</v>
      </c>
      <c r="Q27">
        <f t="shared" si="1"/>
        <v>2</v>
      </c>
    </row>
    <row r="28" spans="1:17" x14ac:dyDescent="0.25">
      <c r="A28">
        <v>1928</v>
      </c>
      <c r="B28">
        <v>254</v>
      </c>
      <c r="C28">
        <v>29</v>
      </c>
      <c r="D28">
        <v>25</v>
      </c>
      <c r="E28">
        <v>21</v>
      </c>
      <c r="F28">
        <v>23</v>
      </c>
      <c r="G28">
        <v>4</v>
      </c>
      <c r="H28">
        <v>10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f t="shared" si="0"/>
        <v>14</v>
      </c>
      <c r="Q28">
        <f t="shared" si="1"/>
        <v>0</v>
      </c>
    </row>
    <row r="29" spans="1:17" x14ac:dyDescent="0.25">
      <c r="A29">
        <v>1929</v>
      </c>
      <c r="B29">
        <v>258</v>
      </c>
      <c r="C29">
        <v>26</v>
      </c>
      <c r="D29">
        <v>26</v>
      </c>
      <c r="E29">
        <v>25</v>
      </c>
      <c r="F29">
        <v>15</v>
      </c>
      <c r="G29">
        <v>12</v>
      </c>
      <c r="H29">
        <v>3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f t="shared" si="0"/>
        <v>15</v>
      </c>
      <c r="Q29">
        <f t="shared" si="1"/>
        <v>0</v>
      </c>
    </row>
    <row r="30" spans="1:17" x14ac:dyDescent="0.25">
      <c r="A30">
        <v>1930</v>
      </c>
      <c r="B30">
        <v>272</v>
      </c>
      <c r="C30">
        <v>26</v>
      </c>
      <c r="D30">
        <v>30</v>
      </c>
      <c r="E30">
        <v>18</v>
      </c>
      <c r="F30">
        <v>10</v>
      </c>
      <c r="G30">
        <v>5</v>
      </c>
      <c r="H30">
        <v>2</v>
      </c>
      <c r="I30">
        <v>2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f t="shared" si="0"/>
        <v>7</v>
      </c>
      <c r="Q30">
        <f t="shared" si="1"/>
        <v>2</v>
      </c>
    </row>
    <row r="31" spans="1:17" x14ac:dyDescent="0.25">
      <c r="A31">
        <v>1931</v>
      </c>
      <c r="B31">
        <v>278</v>
      </c>
      <c r="C31">
        <v>27</v>
      </c>
      <c r="D31">
        <v>16</v>
      </c>
      <c r="E31">
        <v>16</v>
      </c>
      <c r="F31">
        <v>16</v>
      </c>
      <c r="G31">
        <v>9</v>
      </c>
      <c r="H31">
        <v>3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f t="shared" si="0"/>
        <v>12</v>
      </c>
      <c r="Q31">
        <f t="shared" si="1"/>
        <v>0</v>
      </c>
    </row>
    <row r="32" spans="1:17" x14ac:dyDescent="0.25">
      <c r="A32">
        <v>1932</v>
      </c>
      <c r="B32">
        <v>266</v>
      </c>
      <c r="C32">
        <v>22</v>
      </c>
      <c r="D32">
        <v>27</v>
      </c>
      <c r="E32">
        <v>15</v>
      </c>
      <c r="F32">
        <v>21</v>
      </c>
      <c r="G32">
        <v>6</v>
      </c>
      <c r="H32">
        <v>4</v>
      </c>
      <c r="I32">
        <v>4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f t="shared" si="0"/>
        <v>10</v>
      </c>
      <c r="Q32">
        <f t="shared" si="1"/>
        <v>5</v>
      </c>
    </row>
    <row r="33" spans="1:21" x14ac:dyDescent="0.25">
      <c r="A33">
        <v>1933</v>
      </c>
      <c r="B33">
        <v>257</v>
      </c>
      <c r="C33">
        <v>23</v>
      </c>
      <c r="D33">
        <v>28</v>
      </c>
      <c r="E33">
        <v>19</v>
      </c>
      <c r="F33">
        <v>24</v>
      </c>
      <c r="G33">
        <v>8</v>
      </c>
      <c r="H33">
        <v>2</v>
      </c>
      <c r="I33">
        <v>2</v>
      </c>
      <c r="J33">
        <v>1</v>
      </c>
      <c r="K33">
        <v>1</v>
      </c>
      <c r="L33">
        <v>0</v>
      </c>
      <c r="M33">
        <v>0</v>
      </c>
      <c r="N33">
        <v>0</v>
      </c>
      <c r="O33">
        <v>0</v>
      </c>
      <c r="P33">
        <f t="shared" si="0"/>
        <v>10</v>
      </c>
      <c r="Q33">
        <f t="shared" si="1"/>
        <v>4</v>
      </c>
    </row>
    <row r="34" spans="1:21" ht="18.75" x14ac:dyDescent="0.3">
      <c r="A34">
        <v>1934</v>
      </c>
      <c r="B34">
        <v>262</v>
      </c>
      <c r="C34">
        <v>28</v>
      </c>
      <c r="D34">
        <v>21</v>
      </c>
      <c r="E34">
        <v>18</v>
      </c>
      <c r="F34">
        <v>21</v>
      </c>
      <c r="G34">
        <v>10</v>
      </c>
      <c r="H34">
        <v>2</v>
      </c>
      <c r="I34">
        <v>2</v>
      </c>
      <c r="J34">
        <v>0</v>
      </c>
      <c r="K34">
        <v>1</v>
      </c>
      <c r="L34">
        <v>0</v>
      </c>
      <c r="M34">
        <v>0</v>
      </c>
      <c r="N34">
        <v>0</v>
      </c>
      <c r="O34">
        <v>0</v>
      </c>
      <c r="P34">
        <f t="shared" si="0"/>
        <v>12</v>
      </c>
      <c r="Q34">
        <f t="shared" si="1"/>
        <v>3</v>
      </c>
      <c r="T34" s="7"/>
      <c r="U34" s="7"/>
    </row>
    <row r="35" spans="1:21" ht="18.75" x14ac:dyDescent="0.3">
      <c r="A35">
        <v>1935</v>
      </c>
      <c r="B35">
        <v>255</v>
      </c>
      <c r="C35">
        <v>28</v>
      </c>
      <c r="D35">
        <v>32</v>
      </c>
      <c r="E35">
        <v>22</v>
      </c>
      <c r="F35">
        <v>17</v>
      </c>
      <c r="G35">
        <v>4</v>
      </c>
      <c r="H35">
        <v>2</v>
      </c>
      <c r="I35">
        <v>4</v>
      </c>
      <c r="J35">
        <v>1</v>
      </c>
      <c r="K35">
        <v>0</v>
      </c>
      <c r="L35">
        <v>0</v>
      </c>
      <c r="M35">
        <v>0</v>
      </c>
      <c r="N35">
        <v>0</v>
      </c>
      <c r="O35">
        <v>0</v>
      </c>
      <c r="P35">
        <f t="shared" si="0"/>
        <v>6</v>
      </c>
      <c r="Q35">
        <f t="shared" si="1"/>
        <v>5</v>
      </c>
      <c r="T35" s="7"/>
      <c r="U35" s="7"/>
    </row>
    <row r="36" spans="1:21" ht="18.75" x14ac:dyDescent="0.3">
      <c r="A36">
        <v>1936</v>
      </c>
      <c r="B36">
        <v>269</v>
      </c>
      <c r="C36">
        <v>23</v>
      </c>
      <c r="D36">
        <v>22</v>
      </c>
      <c r="E36">
        <v>19</v>
      </c>
      <c r="F36">
        <v>21</v>
      </c>
      <c r="G36">
        <v>5</v>
      </c>
      <c r="H36">
        <v>3</v>
      </c>
      <c r="I36">
        <v>4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f t="shared" si="0"/>
        <v>8</v>
      </c>
      <c r="Q36">
        <f t="shared" si="1"/>
        <v>4</v>
      </c>
      <c r="T36" s="7"/>
      <c r="U36" s="7"/>
    </row>
    <row r="37" spans="1:21" ht="18.75" x14ac:dyDescent="0.3">
      <c r="A37">
        <v>1937</v>
      </c>
      <c r="B37">
        <v>244</v>
      </c>
      <c r="C37">
        <v>30</v>
      </c>
      <c r="D37">
        <v>32</v>
      </c>
      <c r="E37">
        <v>23</v>
      </c>
      <c r="F37">
        <v>24</v>
      </c>
      <c r="G37">
        <v>8</v>
      </c>
      <c r="H37">
        <v>3</v>
      </c>
      <c r="I37">
        <v>1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f t="shared" si="0"/>
        <v>11</v>
      </c>
      <c r="Q37">
        <f t="shared" si="1"/>
        <v>1</v>
      </c>
      <c r="T37" s="7" t="s">
        <v>15</v>
      </c>
      <c r="U37" s="7"/>
    </row>
    <row r="38" spans="1:21" ht="18.75" x14ac:dyDescent="0.3">
      <c r="A38">
        <v>1938</v>
      </c>
      <c r="B38">
        <v>246</v>
      </c>
      <c r="C38">
        <v>30</v>
      </c>
      <c r="D38">
        <v>35</v>
      </c>
      <c r="E38">
        <v>23</v>
      </c>
      <c r="F38">
        <v>21</v>
      </c>
      <c r="G38">
        <v>6</v>
      </c>
      <c r="H38">
        <v>1</v>
      </c>
      <c r="I38">
        <v>1</v>
      </c>
      <c r="J38">
        <v>0</v>
      </c>
      <c r="K38">
        <v>0</v>
      </c>
      <c r="L38">
        <v>1</v>
      </c>
      <c r="M38">
        <v>0</v>
      </c>
      <c r="N38">
        <v>1</v>
      </c>
      <c r="O38">
        <v>0</v>
      </c>
      <c r="P38">
        <f t="shared" si="0"/>
        <v>7</v>
      </c>
      <c r="Q38">
        <f t="shared" si="1"/>
        <v>3</v>
      </c>
      <c r="T38" s="7" t="s">
        <v>16</v>
      </c>
      <c r="U38" s="7" t="s">
        <v>17</v>
      </c>
    </row>
    <row r="39" spans="1:21" ht="18.75" x14ac:dyDescent="0.3">
      <c r="A39">
        <v>1939</v>
      </c>
      <c r="B39">
        <v>255</v>
      </c>
      <c r="C39">
        <v>35</v>
      </c>
      <c r="D39">
        <v>26</v>
      </c>
      <c r="E39">
        <v>19</v>
      </c>
      <c r="F39">
        <v>17</v>
      </c>
      <c r="G39">
        <v>9</v>
      </c>
      <c r="H39">
        <v>2</v>
      </c>
      <c r="I39">
        <v>0</v>
      </c>
      <c r="J39">
        <v>0</v>
      </c>
      <c r="K39">
        <v>1</v>
      </c>
      <c r="L39">
        <v>0</v>
      </c>
      <c r="M39">
        <v>0</v>
      </c>
      <c r="N39">
        <v>1</v>
      </c>
      <c r="O39">
        <v>0</v>
      </c>
      <c r="P39">
        <f t="shared" si="0"/>
        <v>11</v>
      </c>
      <c r="Q39">
        <f t="shared" si="1"/>
        <v>2</v>
      </c>
      <c r="T39" s="7" t="s">
        <v>0</v>
      </c>
      <c r="U39" s="7" t="s">
        <v>18</v>
      </c>
    </row>
    <row r="40" spans="1:21" ht="18.75" x14ac:dyDescent="0.3">
      <c r="A40">
        <v>1940</v>
      </c>
      <c r="B40">
        <v>257</v>
      </c>
      <c r="C40">
        <v>31</v>
      </c>
      <c r="D40">
        <v>29</v>
      </c>
      <c r="E40">
        <v>17</v>
      </c>
      <c r="F40">
        <v>18</v>
      </c>
      <c r="G40">
        <v>7</v>
      </c>
      <c r="H40">
        <v>4</v>
      </c>
      <c r="I40">
        <v>1</v>
      </c>
      <c r="J40">
        <v>1</v>
      </c>
      <c r="K40">
        <v>0</v>
      </c>
      <c r="L40">
        <v>1</v>
      </c>
      <c r="M40">
        <v>0</v>
      </c>
      <c r="N40">
        <v>0</v>
      </c>
      <c r="O40">
        <v>0</v>
      </c>
      <c r="P40">
        <f t="shared" si="0"/>
        <v>11</v>
      </c>
      <c r="Q40">
        <f t="shared" si="1"/>
        <v>3</v>
      </c>
      <c r="T40" s="7" t="s">
        <v>1</v>
      </c>
      <c r="U40" s="7" t="s">
        <v>19</v>
      </c>
    </row>
    <row r="41" spans="1:21" ht="18.75" x14ac:dyDescent="0.3">
      <c r="A41">
        <v>1941</v>
      </c>
      <c r="B41">
        <v>278</v>
      </c>
      <c r="C41">
        <v>25</v>
      </c>
      <c r="D41">
        <v>20</v>
      </c>
      <c r="E41">
        <v>16</v>
      </c>
      <c r="F41">
        <v>14</v>
      </c>
      <c r="G41">
        <v>9</v>
      </c>
      <c r="H41">
        <v>3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f t="shared" si="0"/>
        <v>12</v>
      </c>
      <c r="Q41">
        <f t="shared" si="1"/>
        <v>0</v>
      </c>
      <c r="T41" s="7" t="s">
        <v>2</v>
      </c>
      <c r="U41" s="7" t="s">
        <v>20</v>
      </c>
    </row>
    <row r="42" spans="1:21" ht="18.75" x14ac:dyDescent="0.3">
      <c r="A42">
        <v>1942</v>
      </c>
      <c r="B42">
        <v>267</v>
      </c>
      <c r="C42">
        <v>22</v>
      </c>
      <c r="D42">
        <v>25</v>
      </c>
      <c r="E42">
        <v>21</v>
      </c>
      <c r="F42">
        <v>22</v>
      </c>
      <c r="G42">
        <v>5</v>
      </c>
      <c r="H42">
        <v>2</v>
      </c>
      <c r="I42">
        <v>0</v>
      </c>
      <c r="J42">
        <v>0</v>
      </c>
      <c r="K42">
        <v>1</v>
      </c>
      <c r="L42">
        <v>0</v>
      </c>
      <c r="M42">
        <v>0</v>
      </c>
      <c r="N42">
        <v>0</v>
      </c>
      <c r="O42">
        <v>0</v>
      </c>
      <c r="P42">
        <f t="shared" si="0"/>
        <v>7</v>
      </c>
      <c r="Q42">
        <f t="shared" si="1"/>
        <v>1</v>
      </c>
      <c r="T42" s="7" t="s">
        <v>3</v>
      </c>
      <c r="U42" s="7" t="s">
        <v>21</v>
      </c>
    </row>
    <row r="43" spans="1:21" ht="18.75" x14ac:dyDescent="0.3">
      <c r="A43">
        <v>1943</v>
      </c>
      <c r="B43">
        <v>275</v>
      </c>
      <c r="C43">
        <v>33</v>
      </c>
      <c r="D43">
        <v>19</v>
      </c>
      <c r="E43">
        <v>17</v>
      </c>
      <c r="F43">
        <v>11</v>
      </c>
      <c r="G43">
        <v>5</v>
      </c>
      <c r="H43">
        <v>4</v>
      </c>
      <c r="I43">
        <v>0</v>
      </c>
      <c r="J43">
        <v>0</v>
      </c>
      <c r="K43">
        <v>1</v>
      </c>
      <c r="L43">
        <v>0</v>
      </c>
      <c r="M43">
        <v>0</v>
      </c>
      <c r="N43">
        <v>0</v>
      </c>
      <c r="O43">
        <v>0</v>
      </c>
      <c r="P43">
        <f t="shared" si="0"/>
        <v>9</v>
      </c>
      <c r="Q43">
        <f t="shared" si="1"/>
        <v>1</v>
      </c>
      <c r="T43" s="7" t="s">
        <v>4</v>
      </c>
      <c r="U43" s="7" t="s">
        <v>22</v>
      </c>
    </row>
    <row r="44" spans="1:21" ht="18.75" x14ac:dyDescent="0.3">
      <c r="A44">
        <v>1944</v>
      </c>
      <c r="B44">
        <v>263</v>
      </c>
      <c r="C44">
        <v>35</v>
      </c>
      <c r="D44">
        <v>27</v>
      </c>
      <c r="E44">
        <v>13</v>
      </c>
      <c r="F44">
        <v>13</v>
      </c>
      <c r="G44">
        <v>9</v>
      </c>
      <c r="H44">
        <v>4</v>
      </c>
      <c r="I44">
        <v>1</v>
      </c>
      <c r="J44">
        <v>0</v>
      </c>
      <c r="K44">
        <v>1</v>
      </c>
      <c r="L44">
        <v>0</v>
      </c>
      <c r="M44">
        <v>0</v>
      </c>
      <c r="N44">
        <v>0</v>
      </c>
      <c r="O44">
        <v>0</v>
      </c>
      <c r="P44">
        <f t="shared" si="0"/>
        <v>13</v>
      </c>
      <c r="Q44">
        <f t="shared" si="1"/>
        <v>2</v>
      </c>
      <c r="T44" s="7" t="s">
        <v>23</v>
      </c>
      <c r="U44" s="7" t="s">
        <v>37</v>
      </c>
    </row>
    <row r="45" spans="1:21" ht="18.75" x14ac:dyDescent="0.3">
      <c r="A45">
        <v>1945</v>
      </c>
      <c r="B45">
        <v>233</v>
      </c>
      <c r="C45">
        <v>40</v>
      </c>
      <c r="D45">
        <v>36</v>
      </c>
      <c r="E45">
        <v>25</v>
      </c>
      <c r="F45">
        <v>24</v>
      </c>
      <c r="G45">
        <v>1</v>
      </c>
      <c r="H45">
        <v>3</v>
      </c>
      <c r="I45">
        <v>1</v>
      </c>
      <c r="J45">
        <v>2</v>
      </c>
      <c r="K45">
        <v>0</v>
      </c>
      <c r="L45">
        <v>0</v>
      </c>
      <c r="M45">
        <v>0</v>
      </c>
      <c r="N45">
        <v>0</v>
      </c>
      <c r="O45">
        <v>0</v>
      </c>
      <c r="P45">
        <f t="shared" si="0"/>
        <v>4</v>
      </c>
      <c r="Q45">
        <f t="shared" si="1"/>
        <v>3</v>
      </c>
      <c r="T45" s="7" t="s">
        <v>25</v>
      </c>
      <c r="U45" s="7" t="s">
        <v>38</v>
      </c>
    </row>
    <row r="46" spans="1:21" ht="18.75" x14ac:dyDescent="0.3">
      <c r="A46">
        <v>1946</v>
      </c>
      <c r="B46">
        <v>264</v>
      </c>
      <c r="C46">
        <v>31</v>
      </c>
      <c r="D46">
        <v>27</v>
      </c>
      <c r="E46">
        <v>19</v>
      </c>
      <c r="F46">
        <v>15</v>
      </c>
      <c r="G46">
        <v>5</v>
      </c>
      <c r="H46">
        <v>2</v>
      </c>
      <c r="I46">
        <v>0</v>
      </c>
      <c r="J46">
        <v>1</v>
      </c>
      <c r="K46">
        <v>1</v>
      </c>
      <c r="L46">
        <v>0</v>
      </c>
      <c r="M46">
        <v>0</v>
      </c>
      <c r="N46">
        <v>0</v>
      </c>
      <c r="O46">
        <v>0</v>
      </c>
      <c r="P46">
        <f t="shared" si="0"/>
        <v>7</v>
      </c>
      <c r="Q46">
        <f t="shared" si="1"/>
        <v>2</v>
      </c>
      <c r="T46" s="7"/>
      <c r="U46" s="7"/>
    </row>
    <row r="47" spans="1:21" ht="18.75" x14ac:dyDescent="0.3">
      <c r="A47">
        <v>1947</v>
      </c>
      <c r="B47">
        <v>258</v>
      </c>
      <c r="C47">
        <v>33</v>
      </c>
      <c r="D47">
        <v>21</v>
      </c>
      <c r="E47">
        <v>23</v>
      </c>
      <c r="F47">
        <v>19</v>
      </c>
      <c r="G47">
        <v>11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f t="shared" si="0"/>
        <v>11</v>
      </c>
      <c r="Q47">
        <f t="shared" si="1"/>
        <v>0</v>
      </c>
      <c r="T47" s="7"/>
      <c r="U47" s="7"/>
    </row>
    <row r="48" spans="1:21" ht="18.75" x14ac:dyDescent="0.3">
      <c r="A48">
        <v>1948</v>
      </c>
      <c r="B48">
        <v>237</v>
      </c>
      <c r="C48">
        <v>43</v>
      </c>
      <c r="D48">
        <v>25</v>
      </c>
      <c r="E48">
        <v>24</v>
      </c>
      <c r="F48">
        <v>20</v>
      </c>
      <c r="G48">
        <v>10</v>
      </c>
      <c r="H48">
        <v>5</v>
      </c>
      <c r="I48">
        <v>1</v>
      </c>
      <c r="J48">
        <v>1</v>
      </c>
      <c r="K48">
        <v>0</v>
      </c>
      <c r="L48">
        <v>0</v>
      </c>
      <c r="M48">
        <v>0</v>
      </c>
      <c r="N48">
        <v>0</v>
      </c>
      <c r="O48">
        <v>0</v>
      </c>
      <c r="P48">
        <f t="shared" si="0"/>
        <v>15</v>
      </c>
      <c r="Q48">
        <f t="shared" si="1"/>
        <v>2</v>
      </c>
      <c r="T48" s="7"/>
      <c r="U48" s="7"/>
    </row>
    <row r="49" spans="1:17" x14ac:dyDescent="0.25">
      <c r="A49">
        <v>1949</v>
      </c>
      <c r="B49">
        <v>262</v>
      </c>
      <c r="C49">
        <v>31</v>
      </c>
      <c r="D49">
        <v>15</v>
      </c>
      <c r="E49">
        <v>29</v>
      </c>
      <c r="F49">
        <v>20</v>
      </c>
      <c r="G49">
        <v>7</v>
      </c>
      <c r="H49">
        <v>0</v>
      </c>
      <c r="I49">
        <v>0</v>
      </c>
      <c r="J49">
        <v>0</v>
      </c>
      <c r="K49">
        <v>1</v>
      </c>
      <c r="L49">
        <v>0</v>
      </c>
      <c r="M49">
        <v>0</v>
      </c>
      <c r="N49">
        <v>0</v>
      </c>
      <c r="O49">
        <v>0</v>
      </c>
      <c r="P49">
        <f t="shared" si="0"/>
        <v>7</v>
      </c>
      <c r="Q49">
        <f t="shared" si="1"/>
        <v>1</v>
      </c>
    </row>
    <row r="50" spans="1:17" x14ac:dyDescent="0.25">
      <c r="A50">
        <v>1950</v>
      </c>
      <c r="B50">
        <v>258</v>
      </c>
      <c r="C50">
        <v>36</v>
      </c>
      <c r="D50">
        <v>34</v>
      </c>
      <c r="E50">
        <v>11</v>
      </c>
      <c r="F50">
        <v>16</v>
      </c>
      <c r="G50">
        <v>7</v>
      </c>
      <c r="H50">
        <v>1</v>
      </c>
      <c r="I50">
        <v>1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f t="shared" si="0"/>
        <v>8</v>
      </c>
      <c r="Q50">
        <f t="shared" si="1"/>
        <v>2</v>
      </c>
    </row>
    <row r="51" spans="1:17" x14ac:dyDescent="0.25">
      <c r="A51">
        <v>1951</v>
      </c>
      <c r="B51">
        <v>265</v>
      </c>
      <c r="C51">
        <v>32</v>
      </c>
      <c r="D51">
        <v>25</v>
      </c>
      <c r="E51">
        <v>15</v>
      </c>
      <c r="F51">
        <v>13</v>
      </c>
      <c r="G51">
        <v>13</v>
      </c>
      <c r="H51">
        <v>1</v>
      </c>
      <c r="I51">
        <v>1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f t="shared" si="0"/>
        <v>14</v>
      </c>
      <c r="Q51">
        <f t="shared" si="1"/>
        <v>1</v>
      </c>
    </row>
    <row r="52" spans="1:17" x14ac:dyDescent="0.25">
      <c r="A52">
        <v>1952</v>
      </c>
      <c r="B52">
        <v>266</v>
      </c>
      <c r="C52">
        <v>25</v>
      </c>
      <c r="D52">
        <v>15</v>
      </c>
      <c r="E52">
        <v>27</v>
      </c>
      <c r="F52">
        <v>18</v>
      </c>
      <c r="G52">
        <v>8</v>
      </c>
      <c r="H52">
        <v>3</v>
      </c>
      <c r="I52">
        <v>2</v>
      </c>
      <c r="J52">
        <v>1</v>
      </c>
      <c r="K52">
        <v>1</v>
      </c>
      <c r="L52">
        <v>0</v>
      </c>
      <c r="M52">
        <v>0</v>
      </c>
      <c r="N52">
        <v>0</v>
      </c>
      <c r="O52">
        <v>0</v>
      </c>
      <c r="P52">
        <f t="shared" si="0"/>
        <v>11</v>
      </c>
      <c r="Q52">
        <f t="shared" si="1"/>
        <v>4</v>
      </c>
    </row>
    <row r="53" spans="1:17" x14ac:dyDescent="0.25">
      <c r="A53">
        <v>1953</v>
      </c>
      <c r="B53">
        <v>267</v>
      </c>
      <c r="C53">
        <v>18</v>
      </c>
      <c r="D53">
        <v>21</v>
      </c>
      <c r="E53">
        <v>26</v>
      </c>
      <c r="F53">
        <v>20</v>
      </c>
      <c r="G53">
        <v>7</v>
      </c>
      <c r="H53">
        <v>5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f t="shared" si="0"/>
        <v>12</v>
      </c>
      <c r="Q53">
        <f t="shared" si="1"/>
        <v>1</v>
      </c>
    </row>
    <row r="54" spans="1:17" x14ac:dyDescent="0.25">
      <c r="A54">
        <v>1954</v>
      </c>
      <c r="B54">
        <v>278</v>
      </c>
      <c r="C54">
        <v>23</v>
      </c>
      <c r="D54">
        <v>20</v>
      </c>
      <c r="E54">
        <v>16</v>
      </c>
      <c r="F54">
        <v>20</v>
      </c>
      <c r="G54">
        <v>4</v>
      </c>
      <c r="H54">
        <v>1</v>
      </c>
      <c r="I54">
        <v>2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f t="shared" si="0"/>
        <v>5</v>
      </c>
      <c r="Q54">
        <f t="shared" si="1"/>
        <v>3</v>
      </c>
    </row>
    <row r="55" spans="1:17" x14ac:dyDescent="0.25">
      <c r="A55">
        <v>1955</v>
      </c>
      <c r="B55">
        <v>282</v>
      </c>
      <c r="C55">
        <v>28</v>
      </c>
      <c r="D55">
        <v>18</v>
      </c>
      <c r="E55">
        <v>16</v>
      </c>
      <c r="F55">
        <v>15</v>
      </c>
      <c r="G55">
        <v>2</v>
      </c>
      <c r="H55">
        <v>2</v>
      </c>
      <c r="I55">
        <v>0</v>
      </c>
      <c r="J55">
        <v>1</v>
      </c>
      <c r="K55">
        <v>1</v>
      </c>
      <c r="L55">
        <v>0</v>
      </c>
      <c r="M55">
        <v>0</v>
      </c>
      <c r="N55">
        <v>0</v>
      </c>
      <c r="O55">
        <v>0</v>
      </c>
      <c r="P55">
        <f t="shared" si="0"/>
        <v>4</v>
      </c>
      <c r="Q55">
        <f t="shared" si="1"/>
        <v>2</v>
      </c>
    </row>
    <row r="56" spans="1:17" x14ac:dyDescent="0.25">
      <c r="A56">
        <v>1956</v>
      </c>
      <c r="B56">
        <v>251</v>
      </c>
      <c r="C56">
        <v>26</v>
      </c>
      <c r="D56">
        <v>28</v>
      </c>
      <c r="E56">
        <v>32</v>
      </c>
      <c r="F56">
        <v>19</v>
      </c>
      <c r="G56">
        <v>7</v>
      </c>
      <c r="H56">
        <v>1</v>
      </c>
      <c r="I56">
        <v>1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f t="shared" si="0"/>
        <v>8</v>
      </c>
      <c r="Q56">
        <f t="shared" si="1"/>
        <v>2</v>
      </c>
    </row>
    <row r="57" spans="1:17" x14ac:dyDescent="0.25">
      <c r="A57">
        <v>1957</v>
      </c>
      <c r="B57">
        <v>262</v>
      </c>
      <c r="C57">
        <v>27</v>
      </c>
      <c r="D57">
        <v>34</v>
      </c>
      <c r="E57">
        <v>22</v>
      </c>
      <c r="F57">
        <v>13</v>
      </c>
      <c r="G57">
        <v>7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f t="shared" si="0"/>
        <v>7</v>
      </c>
      <c r="Q57">
        <f t="shared" si="1"/>
        <v>0</v>
      </c>
    </row>
    <row r="58" spans="1:17" x14ac:dyDescent="0.25">
      <c r="A58">
        <v>1958</v>
      </c>
      <c r="B58">
        <v>255</v>
      </c>
      <c r="C58">
        <v>29</v>
      </c>
      <c r="D58">
        <v>14</v>
      </c>
      <c r="E58">
        <v>18</v>
      </c>
      <c r="F58">
        <v>27</v>
      </c>
      <c r="G58">
        <v>14</v>
      </c>
      <c r="H58">
        <v>5</v>
      </c>
      <c r="I58">
        <v>2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f t="shared" si="0"/>
        <v>19</v>
      </c>
      <c r="Q58">
        <f t="shared" si="1"/>
        <v>3</v>
      </c>
    </row>
    <row r="59" spans="1:17" x14ac:dyDescent="0.25">
      <c r="A59">
        <v>1959</v>
      </c>
      <c r="B59">
        <v>262</v>
      </c>
      <c r="C59">
        <v>24</v>
      </c>
      <c r="D59">
        <v>31</v>
      </c>
      <c r="E59">
        <v>23</v>
      </c>
      <c r="F59">
        <v>17</v>
      </c>
      <c r="G59">
        <v>5</v>
      </c>
      <c r="H59">
        <v>3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f t="shared" si="0"/>
        <v>8</v>
      </c>
      <c r="Q59">
        <f t="shared" si="1"/>
        <v>0</v>
      </c>
    </row>
    <row r="60" spans="1:17" x14ac:dyDescent="0.25">
      <c r="A60">
        <v>1960</v>
      </c>
      <c r="B60">
        <v>266</v>
      </c>
      <c r="C60">
        <v>29</v>
      </c>
      <c r="D60">
        <v>23</v>
      </c>
      <c r="E60">
        <v>19</v>
      </c>
      <c r="F60">
        <v>20</v>
      </c>
      <c r="G60">
        <v>6</v>
      </c>
      <c r="H60">
        <v>1</v>
      </c>
      <c r="I60">
        <v>0</v>
      </c>
      <c r="J60">
        <v>0</v>
      </c>
      <c r="K60">
        <v>0</v>
      </c>
      <c r="L60">
        <v>1</v>
      </c>
      <c r="M60">
        <v>1</v>
      </c>
      <c r="N60">
        <v>0</v>
      </c>
      <c r="O60">
        <v>0</v>
      </c>
      <c r="P60">
        <f t="shared" si="0"/>
        <v>7</v>
      </c>
      <c r="Q60">
        <f t="shared" si="1"/>
        <v>2</v>
      </c>
    </row>
    <row r="61" spans="1:17" x14ac:dyDescent="0.25">
      <c r="A61">
        <v>1961</v>
      </c>
      <c r="B61">
        <v>262</v>
      </c>
      <c r="C61">
        <v>26</v>
      </c>
      <c r="D61">
        <v>21</v>
      </c>
      <c r="E61">
        <v>27</v>
      </c>
      <c r="F61">
        <v>19</v>
      </c>
      <c r="G61">
        <v>6</v>
      </c>
      <c r="H61">
        <v>2</v>
      </c>
      <c r="I61">
        <v>2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f t="shared" si="0"/>
        <v>8</v>
      </c>
      <c r="Q61">
        <f t="shared" si="1"/>
        <v>2</v>
      </c>
    </row>
    <row r="62" spans="1:17" x14ac:dyDescent="0.25">
      <c r="A62">
        <v>1962</v>
      </c>
      <c r="B62">
        <v>267</v>
      </c>
      <c r="C62">
        <v>31</v>
      </c>
      <c r="D62">
        <v>23</v>
      </c>
      <c r="E62">
        <v>15</v>
      </c>
      <c r="F62">
        <v>13</v>
      </c>
      <c r="G62">
        <v>9</v>
      </c>
      <c r="H62">
        <v>4</v>
      </c>
      <c r="I62">
        <v>1</v>
      </c>
      <c r="J62">
        <v>1</v>
      </c>
      <c r="K62">
        <v>1</v>
      </c>
      <c r="L62">
        <v>0</v>
      </c>
      <c r="M62">
        <v>0</v>
      </c>
      <c r="N62">
        <v>0</v>
      </c>
      <c r="O62">
        <v>0</v>
      </c>
      <c r="P62">
        <f t="shared" si="0"/>
        <v>13</v>
      </c>
      <c r="Q62">
        <f t="shared" si="1"/>
        <v>3</v>
      </c>
    </row>
    <row r="63" spans="1:17" x14ac:dyDescent="0.25">
      <c r="A63">
        <v>1963</v>
      </c>
      <c r="B63">
        <v>276</v>
      </c>
      <c r="C63">
        <v>26</v>
      </c>
      <c r="D63">
        <v>22</v>
      </c>
      <c r="E63">
        <v>14</v>
      </c>
      <c r="F63">
        <v>17</v>
      </c>
      <c r="G63">
        <v>8</v>
      </c>
      <c r="H63">
        <v>1</v>
      </c>
      <c r="I63">
        <v>0</v>
      </c>
      <c r="J63">
        <v>1</v>
      </c>
      <c r="K63">
        <v>0</v>
      </c>
      <c r="L63">
        <v>0</v>
      </c>
      <c r="M63">
        <v>0</v>
      </c>
      <c r="N63">
        <v>0</v>
      </c>
      <c r="O63">
        <v>0</v>
      </c>
      <c r="P63">
        <f t="shared" si="0"/>
        <v>9</v>
      </c>
      <c r="Q63">
        <f t="shared" si="1"/>
        <v>1</v>
      </c>
    </row>
    <row r="64" spans="1:17" x14ac:dyDescent="0.25">
      <c r="A64">
        <v>1964</v>
      </c>
      <c r="B64">
        <v>285</v>
      </c>
      <c r="C64">
        <v>25</v>
      </c>
      <c r="D64">
        <v>15</v>
      </c>
      <c r="E64">
        <v>11</v>
      </c>
      <c r="F64">
        <v>23</v>
      </c>
      <c r="G64">
        <v>3</v>
      </c>
      <c r="H64">
        <v>3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f t="shared" si="0"/>
        <v>6</v>
      </c>
      <c r="Q64">
        <f t="shared" si="1"/>
        <v>1</v>
      </c>
    </row>
    <row r="65" spans="1:21" x14ac:dyDescent="0.25">
      <c r="A65">
        <v>1965</v>
      </c>
      <c r="B65">
        <v>276</v>
      </c>
      <c r="C65">
        <v>29</v>
      </c>
      <c r="D65">
        <v>23</v>
      </c>
      <c r="E65">
        <v>21</v>
      </c>
      <c r="F65">
        <v>12</v>
      </c>
      <c r="G65">
        <v>2</v>
      </c>
      <c r="H65">
        <v>1</v>
      </c>
      <c r="I65">
        <v>0</v>
      </c>
      <c r="J65">
        <v>0</v>
      </c>
      <c r="K65">
        <v>1</v>
      </c>
      <c r="L65">
        <v>0</v>
      </c>
      <c r="M65">
        <v>0</v>
      </c>
      <c r="N65">
        <v>0</v>
      </c>
      <c r="O65">
        <v>0</v>
      </c>
      <c r="P65">
        <f t="shared" si="0"/>
        <v>3</v>
      </c>
      <c r="Q65">
        <f t="shared" si="1"/>
        <v>1</v>
      </c>
    </row>
    <row r="66" spans="1:21" x14ac:dyDescent="0.25">
      <c r="A66">
        <v>1966</v>
      </c>
      <c r="B66">
        <v>278</v>
      </c>
      <c r="C66">
        <v>24</v>
      </c>
      <c r="D66">
        <v>17</v>
      </c>
      <c r="E66">
        <v>17</v>
      </c>
      <c r="F66">
        <v>20</v>
      </c>
      <c r="G66">
        <v>4</v>
      </c>
      <c r="H66">
        <v>2</v>
      </c>
      <c r="I66">
        <v>1</v>
      </c>
      <c r="J66">
        <v>0</v>
      </c>
      <c r="K66">
        <v>2</v>
      </c>
      <c r="L66">
        <v>0</v>
      </c>
      <c r="M66">
        <v>0</v>
      </c>
      <c r="N66">
        <v>0</v>
      </c>
      <c r="O66">
        <v>0</v>
      </c>
      <c r="P66">
        <f t="shared" si="0"/>
        <v>6</v>
      </c>
      <c r="Q66">
        <f t="shared" si="1"/>
        <v>3</v>
      </c>
    </row>
    <row r="67" spans="1:21" x14ac:dyDescent="0.25">
      <c r="A67">
        <v>1967</v>
      </c>
      <c r="B67">
        <v>262</v>
      </c>
      <c r="C67">
        <v>25</v>
      </c>
      <c r="D67">
        <v>31</v>
      </c>
      <c r="E67">
        <v>21</v>
      </c>
      <c r="F67">
        <v>15</v>
      </c>
      <c r="G67">
        <v>7</v>
      </c>
      <c r="H67">
        <v>3</v>
      </c>
      <c r="I67">
        <v>0</v>
      </c>
      <c r="J67">
        <v>0</v>
      </c>
      <c r="K67">
        <v>0</v>
      </c>
      <c r="L67">
        <v>0</v>
      </c>
      <c r="M67">
        <v>1</v>
      </c>
      <c r="N67">
        <v>0</v>
      </c>
      <c r="O67">
        <v>0</v>
      </c>
      <c r="P67">
        <f t="shared" ref="P67:P117" si="2">SUM(G67:H67)</f>
        <v>10</v>
      </c>
      <c r="Q67">
        <f t="shared" ref="Q67:Q117" si="3">SUM(I67:O67)</f>
        <v>1</v>
      </c>
    </row>
    <row r="68" spans="1:21" x14ac:dyDescent="0.25">
      <c r="A68">
        <v>1968</v>
      </c>
      <c r="B68">
        <v>287</v>
      </c>
      <c r="C68">
        <v>23</v>
      </c>
      <c r="D68">
        <v>17</v>
      </c>
      <c r="E68">
        <v>13</v>
      </c>
      <c r="F68">
        <v>12</v>
      </c>
      <c r="G68">
        <v>10</v>
      </c>
      <c r="H68">
        <v>1</v>
      </c>
      <c r="I68">
        <v>3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f t="shared" si="2"/>
        <v>11</v>
      </c>
      <c r="Q68">
        <f t="shared" si="3"/>
        <v>3</v>
      </c>
    </row>
    <row r="69" spans="1:21" x14ac:dyDescent="0.25">
      <c r="A69">
        <v>1969</v>
      </c>
      <c r="B69">
        <v>272</v>
      </c>
      <c r="C69">
        <v>22</v>
      </c>
      <c r="D69">
        <v>20</v>
      </c>
      <c r="E69">
        <v>14</v>
      </c>
      <c r="F69">
        <v>23</v>
      </c>
      <c r="G69">
        <v>8</v>
      </c>
      <c r="H69">
        <v>2</v>
      </c>
      <c r="I69">
        <v>0</v>
      </c>
      <c r="J69">
        <v>2</v>
      </c>
      <c r="K69">
        <v>2</v>
      </c>
      <c r="L69">
        <v>0</v>
      </c>
      <c r="M69">
        <v>0</v>
      </c>
      <c r="N69">
        <v>0</v>
      </c>
      <c r="O69">
        <v>0</v>
      </c>
      <c r="P69">
        <f t="shared" si="2"/>
        <v>10</v>
      </c>
      <c r="Q69">
        <f t="shared" si="3"/>
        <v>4</v>
      </c>
    </row>
    <row r="70" spans="1:21" x14ac:dyDescent="0.25">
      <c r="A70">
        <v>1970</v>
      </c>
      <c r="B70">
        <v>273</v>
      </c>
      <c r="C70">
        <v>24</v>
      </c>
      <c r="D70">
        <v>22</v>
      </c>
      <c r="E70">
        <v>23</v>
      </c>
      <c r="F70">
        <v>12</v>
      </c>
      <c r="G70">
        <v>7</v>
      </c>
      <c r="H70">
        <v>2</v>
      </c>
      <c r="I70">
        <v>2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f t="shared" si="2"/>
        <v>9</v>
      </c>
      <c r="Q70">
        <f t="shared" si="3"/>
        <v>2</v>
      </c>
    </row>
    <row r="71" spans="1:21" x14ac:dyDescent="0.25">
      <c r="A71">
        <v>1971</v>
      </c>
      <c r="B71">
        <v>274</v>
      </c>
      <c r="C71">
        <v>25</v>
      </c>
      <c r="D71">
        <v>19</v>
      </c>
      <c r="E71">
        <v>15</v>
      </c>
      <c r="F71">
        <v>19</v>
      </c>
      <c r="G71">
        <v>2</v>
      </c>
      <c r="H71">
        <v>4</v>
      </c>
      <c r="I71">
        <v>6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f t="shared" si="2"/>
        <v>6</v>
      </c>
      <c r="Q71">
        <f t="shared" si="3"/>
        <v>7</v>
      </c>
    </row>
    <row r="72" spans="1:21" x14ac:dyDescent="0.25">
      <c r="A72">
        <v>1972</v>
      </c>
      <c r="B72">
        <v>243</v>
      </c>
      <c r="C72">
        <v>32</v>
      </c>
      <c r="D72">
        <v>30</v>
      </c>
      <c r="E72">
        <v>24</v>
      </c>
      <c r="F72">
        <v>23</v>
      </c>
      <c r="G72">
        <v>6</v>
      </c>
      <c r="H72">
        <v>4</v>
      </c>
      <c r="I72">
        <v>1</v>
      </c>
      <c r="J72">
        <v>1</v>
      </c>
      <c r="K72">
        <v>2</v>
      </c>
      <c r="L72">
        <v>0</v>
      </c>
      <c r="M72">
        <v>0</v>
      </c>
      <c r="N72">
        <v>0</v>
      </c>
      <c r="O72">
        <v>0</v>
      </c>
      <c r="P72">
        <f t="shared" si="2"/>
        <v>10</v>
      </c>
      <c r="Q72">
        <f t="shared" si="3"/>
        <v>4</v>
      </c>
    </row>
    <row r="73" spans="1:21" x14ac:dyDescent="0.25">
      <c r="A73">
        <v>1973</v>
      </c>
      <c r="B73">
        <v>266</v>
      </c>
      <c r="C73">
        <v>29</v>
      </c>
      <c r="D73">
        <v>20</v>
      </c>
      <c r="E73">
        <v>24</v>
      </c>
      <c r="F73">
        <v>16</v>
      </c>
      <c r="G73">
        <v>5</v>
      </c>
      <c r="H73">
        <v>3</v>
      </c>
      <c r="I73">
        <v>0</v>
      </c>
      <c r="J73">
        <v>1</v>
      </c>
      <c r="K73">
        <v>1</v>
      </c>
      <c r="L73">
        <v>0</v>
      </c>
      <c r="M73">
        <v>0</v>
      </c>
      <c r="N73">
        <v>0</v>
      </c>
      <c r="O73">
        <v>0</v>
      </c>
      <c r="P73">
        <f t="shared" si="2"/>
        <v>8</v>
      </c>
      <c r="Q73">
        <f t="shared" si="3"/>
        <v>2</v>
      </c>
    </row>
    <row r="74" spans="1:21" x14ac:dyDescent="0.25">
      <c r="A74">
        <v>1974</v>
      </c>
      <c r="B74">
        <v>257</v>
      </c>
      <c r="C74">
        <v>32</v>
      </c>
      <c r="D74">
        <v>23</v>
      </c>
      <c r="E74">
        <v>22</v>
      </c>
      <c r="F74">
        <v>20</v>
      </c>
      <c r="G74">
        <v>6</v>
      </c>
      <c r="H74">
        <v>2</v>
      </c>
      <c r="I74">
        <v>1</v>
      </c>
      <c r="J74">
        <v>1</v>
      </c>
      <c r="K74">
        <v>0</v>
      </c>
      <c r="L74">
        <v>0</v>
      </c>
      <c r="M74">
        <v>0</v>
      </c>
      <c r="N74">
        <v>1</v>
      </c>
      <c r="O74">
        <v>0</v>
      </c>
      <c r="P74">
        <f t="shared" si="2"/>
        <v>8</v>
      </c>
      <c r="Q74">
        <f t="shared" si="3"/>
        <v>3</v>
      </c>
    </row>
    <row r="75" spans="1:21" ht="18.75" x14ac:dyDescent="0.3">
      <c r="A75">
        <v>1975</v>
      </c>
      <c r="B75">
        <v>248</v>
      </c>
      <c r="C75">
        <v>38</v>
      </c>
      <c r="D75">
        <v>25</v>
      </c>
      <c r="E75">
        <v>11</v>
      </c>
      <c r="F75">
        <v>25</v>
      </c>
      <c r="G75">
        <v>10</v>
      </c>
      <c r="H75">
        <v>6</v>
      </c>
      <c r="I75">
        <v>0</v>
      </c>
      <c r="J75">
        <v>2</v>
      </c>
      <c r="K75">
        <v>0</v>
      </c>
      <c r="L75">
        <v>0</v>
      </c>
      <c r="M75">
        <v>0</v>
      </c>
      <c r="N75">
        <v>0</v>
      </c>
      <c r="O75">
        <v>0</v>
      </c>
      <c r="P75">
        <f t="shared" si="2"/>
        <v>16</v>
      </c>
      <c r="Q75">
        <f t="shared" si="3"/>
        <v>2</v>
      </c>
      <c r="T75" s="7" t="s">
        <v>15</v>
      </c>
      <c r="U75" s="7"/>
    </row>
    <row r="76" spans="1:21" ht="18.75" x14ac:dyDescent="0.3">
      <c r="A76">
        <v>1976</v>
      </c>
      <c r="B76">
        <v>276</v>
      </c>
      <c r="C76">
        <v>27</v>
      </c>
      <c r="D76">
        <v>16</v>
      </c>
      <c r="E76">
        <v>16</v>
      </c>
      <c r="F76">
        <v>20</v>
      </c>
      <c r="G76">
        <v>6</v>
      </c>
      <c r="H76">
        <v>4</v>
      </c>
      <c r="I76">
        <v>0</v>
      </c>
      <c r="J76">
        <v>0</v>
      </c>
      <c r="K76">
        <v>1</v>
      </c>
      <c r="L76">
        <v>0</v>
      </c>
      <c r="M76">
        <v>0</v>
      </c>
      <c r="N76">
        <v>0</v>
      </c>
      <c r="O76">
        <v>0</v>
      </c>
      <c r="P76">
        <f t="shared" si="2"/>
        <v>10</v>
      </c>
      <c r="Q76">
        <f t="shared" si="3"/>
        <v>1</v>
      </c>
      <c r="T76" s="7" t="s">
        <v>16</v>
      </c>
      <c r="U76" s="7" t="s">
        <v>17</v>
      </c>
    </row>
    <row r="77" spans="1:21" ht="18.75" x14ac:dyDescent="0.3">
      <c r="A77">
        <v>1977</v>
      </c>
      <c r="B77">
        <v>252</v>
      </c>
      <c r="C77">
        <v>33</v>
      </c>
      <c r="D77">
        <v>29</v>
      </c>
      <c r="E77">
        <v>21</v>
      </c>
      <c r="F77">
        <v>18</v>
      </c>
      <c r="G77">
        <v>7</v>
      </c>
      <c r="H77">
        <v>4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f t="shared" si="2"/>
        <v>11</v>
      </c>
      <c r="Q77">
        <f t="shared" si="3"/>
        <v>1</v>
      </c>
      <c r="T77" s="7" t="s">
        <v>0</v>
      </c>
      <c r="U77" s="7" t="s">
        <v>18</v>
      </c>
    </row>
    <row r="78" spans="1:21" ht="18.75" x14ac:dyDescent="0.3">
      <c r="A78">
        <v>1978</v>
      </c>
      <c r="B78">
        <v>274</v>
      </c>
      <c r="C78">
        <v>22</v>
      </c>
      <c r="D78">
        <v>22</v>
      </c>
      <c r="E78">
        <v>19</v>
      </c>
      <c r="F78">
        <v>15</v>
      </c>
      <c r="G78">
        <v>10</v>
      </c>
      <c r="H78">
        <v>1</v>
      </c>
      <c r="I78">
        <v>0</v>
      </c>
      <c r="J78">
        <v>2</v>
      </c>
      <c r="K78">
        <v>0</v>
      </c>
      <c r="L78">
        <v>0</v>
      </c>
      <c r="M78">
        <v>0</v>
      </c>
      <c r="N78">
        <v>0</v>
      </c>
      <c r="O78">
        <v>0</v>
      </c>
      <c r="P78">
        <f t="shared" si="2"/>
        <v>11</v>
      </c>
      <c r="Q78">
        <f t="shared" si="3"/>
        <v>2</v>
      </c>
      <c r="T78" s="7" t="s">
        <v>1</v>
      </c>
      <c r="U78" s="7" t="s">
        <v>19</v>
      </c>
    </row>
    <row r="79" spans="1:21" ht="18.75" x14ac:dyDescent="0.3">
      <c r="A79">
        <v>1979</v>
      </c>
      <c r="B79">
        <v>237</v>
      </c>
      <c r="C79">
        <v>35</v>
      </c>
      <c r="D79">
        <v>37</v>
      </c>
      <c r="E79">
        <v>15</v>
      </c>
      <c r="F79">
        <v>23</v>
      </c>
      <c r="G79">
        <v>8</v>
      </c>
      <c r="H79">
        <v>6</v>
      </c>
      <c r="I79">
        <v>3</v>
      </c>
      <c r="J79">
        <v>1</v>
      </c>
      <c r="K79">
        <v>0</v>
      </c>
      <c r="L79">
        <v>0</v>
      </c>
      <c r="M79">
        <v>0</v>
      </c>
      <c r="N79">
        <v>0</v>
      </c>
      <c r="O79">
        <v>0</v>
      </c>
      <c r="P79">
        <f t="shared" si="2"/>
        <v>14</v>
      </c>
      <c r="Q79">
        <f t="shared" si="3"/>
        <v>4</v>
      </c>
      <c r="T79" s="7" t="s">
        <v>2</v>
      </c>
      <c r="U79" s="7" t="s">
        <v>20</v>
      </c>
    </row>
    <row r="80" spans="1:21" ht="18.75" x14ac:dyDescent="0.3">
      <c r="A80">
        <v>1980</v>
      </c>
      <c r="B80">
        <v>276</v>
      </c>
      <c r="C80">
        <v>21</v>
      </c>
      <c r="D80">
        <v>18</v>
      </c>
      <c r="E80">
        <v>30</v>
      </c>
      <c r="F80">
        <v>15</v>
      </c>
      <c r="G80">
        <v>3</v>
      </c>
      <c r="H80">
        <v>2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f t="shared" si="2"/>
        <v>5</v>
      </c>
      <c r="Q80">
        <f t="shared" si="3"/>
        <v>1</v>
      </c>
      <c r="T80" s="7" t="s">
        <v>3</v>
      </c>
      <c r="U80" s="7" t="s">
        <v>21</v>
      </c>
    </row>
    <row r="81" spans="1:21" ht="18.75" x14ac:dyDescent="0.3">
      <c r="A81">
        <v>1981</v>
      </c>
      <c r="B81">
        <v>271</v>
      </c>
      <c r="C81">
        <v>25</v>
      </c>
      <c r="D81">
        <v>20</v>
      </c>
      <c r="E81">
        <v>23</v>
      </c>
      <c r="F81">
        <v>18</v>
      </c>
      <c r="G81">
        <v>4</v>
      </c>
      <c r="H81">
        <v>1</v>
      </c>
      <c r="I81">
        <v>2</v>
      </c>
      <c r="J81">
        <v>1</v>
      </c>
      <c r="K81">
        <v>0</v>
      </c>
      <c r="L81">
        <v>0</v>
      </c>
      <c r="M81">
        <v>0</v>
      </c>
      <c r="N81">
        <v>0</v>
      </c>
      <c r="O81">
        <v>0</v>
      </c>
      <c r="P81">
        <f t="shared" si="2"/>
        <v>5</v>
      </c>
      <c r="Q81">
        <f t="shared" si="3"/>
        <v>3</v>
      </c>
      <c r="T81" s="7" t="s">
        <v>4</v>
      </c>
      <c r="U81" s="7" t="s">
        <v>22</v>
      </c>
    </row>
    <row r="82" spans="1:21" ht="18.75" x14ac:dyDescent="0.3">
      <c r="A82">
        <v>1982</v>
      </c>
      <c r="B82">
        <v>266</v>
      </c>
      <c r="C82">
        <v>28</v>
      </c>
      <c r="D82">
        <v>26</v>
      </c>
      <c r="E82">
        <v>20</v>
      </c>
      <c r="F82">
        <v>16</v>
      </c>
      <c r="G82">
        <v>4</v>
      </c>
      <c r="H82">
        <v>5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f t="shared" si="2"/>
        <v>9</v>
      </c>
      <c r="Q82">
        <f t="shared" si="3"/>
        <v>0</v>
      </c>
      <c r="T82" s="7" t="s">
        <v>23</v>
      </c>
      <c r="U82" s="7" t="s">
        <v>37</v>
      </c>
    </row>
    <row r="83" spans="1:21" ht="18.75" x14ac:dyDescent="0.3">
      <c r="A83">
        <v>1983</v>
      </c>
      <c r="B83">
        <v>259</v>
      </c>
      <c r="C83">
        <v>18</v>
      </c>
      <c r="D83">
        <v>20</v>
      </c>
      <c r="E83">
        <v>23</v>
      </c>
      <c r="F83">
        <v>26</v>
      </c>
      <c r="G83">
        <v>15</v>
      </c>
      <c r="H83">
        <v>3</v>
      </c>
      <c r="I83">
        <v>0</v>
      </c>
      <c r="J83">
        <v>1</v>
      </c>
      <c r="K83">
        <v>0</v>
      </c>
      <c r="L83">
        <v>0</v>
      </c>
      <c r="M83">
        <v>0</v>
      </c>
      <c r="N83">
        <v>0</v>
      </c>
      <c r="O83">
        <v>0</v>
      </c>
      <c r="P83">
        <f t="shared" si="2"/>
        <v>18</v>
      </c>
      <c r="Q83">
        <f t="shared" si="3"/>
        <v>1</v>
      </c>
      <c r="T83" s="7" t="s">
        <v>25</v>
      </c>
      <c r="U83" s="7" t="s">
        <v>38</v>
      </c>
    </row>
    <row r="84" spans="1:21" ht="18.75" x14ac:dyDescent="0.3">
      <c r="A84">
        <v>1984</v>
      </c>
      <c r="B84">
        <v>272</v>
      </c>
      <c r="C84">
        <v>21</v>
      </c>
      <c r="D84">
        <v>21</v>
      </c>
      <c r="E84">
        <v>19</v>
      </c>
      <c r="F84">
        <v>20</v>
      </c>
      <c r="G84">
        <v>9</v>
      </c>
      <c r="H84">
        <v>2</v>
      </c>
      <c r="I84">
        <v>2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f t="shared" si="2"/>
        <v>11</v>
      </c>
      <c r="Q84">
        <f t="shared" si="3"/>
        <v>2</v>
      </c>
      <c r="T84" s="7"/>
      <c r="U84" s="7"/>
    </row>
    <row r="85" spans="1:21" ht="18.75" x14ac:dyDescent="0.3">
      <c r="A85">
        <v>1985</v>
      </c>
      <c r="B85">
        <v>273</v>
      </c>
      <c r="C85">
        <v>33</v>
      </c>
      <c r="D85">
        <v>17</v>
      </c>
      <c r="E85">
        <v>21</v>
      </c>
      <c r="F85">
        <v>15</v>
      </c>
      <c r="G85">
        <v>3</v>
      </c>
      <c r="H85">
        <v>1</v>
      </c>
      <c r="I85">
        <v>1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f t="shared" si="2"/>
        <v>4</v>
      </c>
      <c r="Q85">
        <f t="shared" si="3"/>
        <v>2</v>
      </c>
      <c r="T85" s="7"/>
      <c r="U85" s="7"/>
    </row>
    <row r="86" spans="1:21" ht="18.75" x14ac:dyDescent="0.3">
      <c r="A86">
        <v>1986</v>
      </c>
      <c r="B86">
        <v>265</v>
      </c>
      <c r="C86">
        <v>32</v>
      </c>
      <c r="D86">
        <v>18</v>
      </c>
      <c r="E86">
        <v>22</v>
      </c>
      <c r="F86">
        <v>20</v>
      </c>
      <c r="G86">
        <v>4</v>
      </c>
      <c r="H86">
        <v>2</v>
      </c>
      <c r="I86">
        <v>1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f t="shared" si="2"/>
        <v>6</v>
      </c>
      <c r="Q86">
        <f t="shared" si="3"/>
        <v>2</v>
      </c>
      <c r="T86" s="7"/>
      <c r="U86" s="7"/>
    </row>
    <row r="87" spans="1:21" ht="18.75" x14ac:dyDescent="0.3">
      <c r="A87">
        <v>1987</v>
      </c>
      <c r="B87">
        <v>271</v>
      </c>
      <c r="C87">
        <v>23</v>
      </c>
      <c r="D87">
        <v>18</v>
      </c>
      <c r="E87">
        <v>19</v>
      </c>
      <c r="F87">
        <v>21</v>
      </c>
      <c r="G87">
        <v>6</v>
      </c>
      <c r="H87">
        <v>4</v>
      </c>
      <c r="I87">
        <v>2</v>
      </c>
      <c r="J87">
        <v>1</v>
      </c>
      <c r="K87">
        <v>0</v>
      </c>
      <c r="L87">
        <v>0</v>
      </c>
      <c r="M87">
        <v>0</v>
      </c>
      <c r="N87">
        <v>0</v>
      </c>
      <c r="O87">
        <v>0</v>
      </c>
      <c r="P87">
        <f t="shared" si="2"/>
        <v>10</v>
      </c>
      <c r="Q87">
        <f t="shared" si="3"/>
        <v>3</v>
      </c>
      <c r="T87" s="7"/>
      <c r="U87" s="7"/>
    </row>
    <row r="88" spans="1:21" ht="18.75" x14ac:dyDescent="0.3">
      <c r="A88">
        <v>1988</v>
      </c>
      <c r="B88">
        <v>281</v>
      </c>
      <c r="C88">
        <v>21</v>
      </c>
      <c r="D88">
        <v>13</v>
      </c>
      <c r="E88">
        <v>20</v>
      </c>
      <c r="F88">
        <v>27</v>
      </c>
      <c r="G88">
        <v>3</v>
      </c>
      <c r="H88">
        <v>1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f t="shared" si="2"/>
        <v>4</v>
      </c>
      <c r="Q88">
        <f t="shared" si="3"/>
        <v>0</v>
      </c>
      <c r="T88" s="7"/>
      <c r="U88" s="7"/>
    </row>
    <row r="89" spans="1:21" ht="18.75" x14ac:dyDescent="0.3">
      <c r="A89">
        <v>1989</v>
      </c>
      <c r="B89">
        <v>297</v>
      </c>
      <c r="C89">
        <v>11</v>
      </c>
      <c r="D89">
        <v>16</v>
      </c>
      <c r="E89">
        <v>12</v>
      </c>
      <c r="F89">
        <v>17</v>
      </c>
      <c r="G89">
        <v>5</v>
      </c>
      <c r="H89">
        <v>4</v>
      </c>
      <c r="I89">
        <v>1</v>
      </c>
      <c r="J89">
        <v>2</v>
      </c>
      <c r="K89">
        <v>0</v>
      </c>
      <c r="L89">
        <v>0</v>
      </c>
      <c r="M89">
        <v>0</v>
      </c>
      <c r="N89">
        <v>0</v>
      </c>
      <c r="O89">
        <v>0</v>
      </c>
      <c r="P89">
        <f t="shared" si="2"/>
        <v>9</v>
      </c>
      <c r="Q89">
        <f t="shared" si="3"/>
        <v>3</v>
      </c>
      <c r="T89" s="7"/>
      <c r="U89" s="7"/>
    </row>
    <row r="90" spans="1:21" ht="18.75" x14ac:dyDescent="0.3">
      <c r="A90">
        <v>1990</v>
      </c>
      <c r="B90">
        <v>260</v>
      </c>
      <c r="C90">
        <v>28</v>
      </c>
      <c r="D90">
        <v>22</v>
      </c>
      <c r="E90">
        <v>21</v>
      </c>
      <c r="F90">
        <v>18</v>
      </c>
      <c r="G90">
        <v>11</v>
      </c>
      <c r="H90">
        <v>2</v>
      </c>
      <c r="I90">
        <v>2</v>
      </c>
      <c r="J90">
        <v>0</v>
      </c>
      <c r="K90">
        <v>0</v>
      </c>
      <c r="L90">
        <v>1</v>
      </c>
      <c r="M90">
        <v>0</v>
      </c>
      <c r="N90">
        <v>0</v>
      </c>
      <c r="O90">
        <v>0</v>
      </c>
      <c r="P90">
        <f t="shared" si="2"/>
        <v>13</v>
      </c>
      <c r="Q90">
        <f t="shared" si="3"/>
        <v>3</v>
      </c>
      <c r="T90" s="7"/>
      <c r="U90" s="7"/>
    </row>
    <row r="91" spans="1:21" ht="18.75" x14ac:dyDescent="0.3">
      <c r="A91">
        <v>1991</v>
      </c>
      <c r="B91">
        <v>278</v>
      </c>
      <c r="C91">
        <v>22</v>
      </c>
      <c r="D91">
        <v>16</v>
      </c>
      <c r="E91">
        <v>17</v>
      </c>
      <c r="F91">
        <v>15</v>
      </c>
      <c r="G91">
        <v>10</v>
      </c>
      <c r="H91">
        <v>4</v>
      </c>
      <c r="I91">
        <v>1</v>
      </c>
      <c r="J91">
        <v>1</v>
      </c>
      <c r="K91">
        <v>0</v>
      </c>
      <c r="L91">
        <v>1</v>
      </c>
      <c r="M91">
        <v>0</v>
      </c>
      <c r="N91">
        <v>0</v>
      </c>
      <c r="O91">
        <v>0</v>
      </c>
      <c r="P91">
        <f t="shared" si="2"/>
        <v>14</v>
      </c>
      <c r="Q91">
        <f t="shared" si="3"/>
        <v>3</v>
      </c>
      <c r="T91" s="7"/>
      <c r="U91" s="7"/>
    </row>
    <row r="92" spans="1:21" ht="18.75" x14ac:dyDescent="0.3">
      <c r="A92">
        <v>1992</v>
      </c>
      <c r="B92">
        <v>262</v>
      </c>
      <c r="C92">
        <v>30</v>
      </c>
      <c r="D92">
        <v>26</v>
      </c>
      <c r="E92">
        <v>23</v>
      </c>
      <c r="F92">
        <v>14</v>
      </c>
      <c r="G92">
        <v>6</v>
      </c>
      <c r="H92">
        <v>2</v>
      </c>
      <c r="I92">
        <v>2</v>
      </c>
      <c r="J92">
        <v>0</v>
      </c>
      <c r="K92">
        <v>1</v>
      </c>
      <c r="L92">
        <v>0</v>
      </c>
      <c r="M92">
        <v>0</v>
      </c>
      <c r="N92">
        <v>0</v>
      </c>
      <c r="O92">
        <v>0</v>
      </c>
      <c r="P92">
        <f t="shared" si="2"/>
        <v>8</v>
      </c>
      <c r="Q92">
        <f t="shared" si="3"/>
        <v>3</v>
      </c>
      <c r="T92" s="7"/>
      <c r="U92" s="7"/>
    </row>
    <row r="93" spans="1:21" ht="18.75" x14ac:dyDescent="0.3">
      <c r="A93">
        <v>1993</v>
      </c>
      <c r="B93">
        <v>264</v>
      </c>
      <c r="C93">
        <v>21</v>
      </c>
      <c r="D93">
        <v>26</v>
      </c>
      <c r="E93">
        <v>22</v>
      </c>
      <c r="F93">
        <v>18</v>
      </c>
      <c r="G93">
        <v>9</v>
      </c>
      <c r="H93">
        <v>2</v>
      </c>
      <c r="I93">
        <v>2</v>
      </c>
      <c r="J93">
        <v>1</v>
      </c>
      <c r="K93">
        <v>0</v>
      </c>
      <c r="L93">
        <v>0</v>
      </c>
      <c r="M93">
        <v>0</v>
      </c>
      <c r="N93">
        <v>0</v>
      </c>
      <c r="O93">
        <v>0</v>
      </c>
      <c r="P93">
        <f t="shared" si="2"/>
        <v>11</v>
      </c>
      <c r="Q93">
        <f t="shared" si="3"/>
        <v>3</v>
      </c>
      <c r="T93" s="7"/>
      <c r="U93" s="7"/>
    </row>
    <row r="94" spans="1:21" ht="18.75" x14ac:dyDescent="0.3">
      <c r="A94">
        <v>1994</v>
      </c>
      <c r="B94">
        <v>260</v>
      </c>
      <c r="C94">
        <v>24</v>
      </c>
      <c r="D94">
        <v>22</v>
      </c>
      <c r="E94">
        <v>23</v>
      </c>
      <c r="F94">
        <v>19</v>
      </c>
      <c r="G94">
        <v>11</v>
      </c>
      <c r="H94">
        <v>3</v>
      </c>
      <c r="I94">
        <v>2</v>
      </c>
      <c r="J94">
        <v>1</v>
      </c>
      <c r="K94">
        <v>0</v>
      </c>
      <c r="L94">
        <v>0</v>
      </c>
      <c r="M94">
        <v>0</v>
      </c>
      <c r="N94">
        <v>0</v>
      </c>
      <c r="O94">
        <v>0</v>
      </c>
      <c r="P94">
        <f t="shared" si="2"/>
        <v>14</v>
      </c>
      <c r="Q94">
        <f t="shared" si="3"/>
        <v>3</v>
      </c>
      <c r="T94" s="7"/>
      <c r="U94" s="7"/>
    </row>
    <row r="95" spans="1:21" x14ac:dyDescent="0.25">
      <c r="A95">
        <v>1995</v>
      </c>
      <c r="B95">
        <v>274</v>
      </c>
      <c r="C95">
        <v>22</v>
      </c>
      <c r="D95">
        <v>25</v>
      </c>
      <c r="E95">
        <v>16</v>
      </c>
      <c r="F95">
        <v>17</v>
      </c>
      <c r="G95">
        <v>8</v>
      </c>
      <c r="H95">
        <v>2</v>
      </c>
      <c r="I95">
        <v>0</v>
      </c>
      <c r="J95">
        <v>1</v>
      </c>
      <c r="K95">
        <v>0</v>
      </c>
      <c r="L95">
        <v>0</v>
      </c>
      <c r="M95">
        <v>0</v>
      </c>
      <c r="N95">
        <v>0</v>
      </c>
      <c r="O95">
        <v>0</v>
      </c>
      <c r="P95">
        <f t="shared" si="2"/>
        <v>10</v>
      </c>
      <c r="Q95">
        <f t="shared" si="3"/>
        <v>1</v>
      </c>
    </row>
    <row r="96" spans="1:21" x14ac:dyDescent="0.25">
      <c r="A96">
        <v>1996</v>
      </c>
      <c r="B96">
        <v>249</v>
      </c>
      <c r="C96">
        <v>27</v>
      </c>
      <c r="D96">
        <v>22</v>
      </c>
      <c r="E96">
        <v>27</v>
      </c>
      <c r="F96">
        <v>27</v>
      </c>
      <c r="G96">
        <v>7</v>
      </c>
      <c r="H96">
        <v>2</v>
      </c>
      <c r="I96">
        <v>2</v>
      </c>
      <c r="J96">
        <v>2</v>
      </c>
      <c r="K96">
        <v>1</v>
      </c>
      <c r="L96">
        <v>0</v>
      </c>
      <c r="M96">
        <v>0</v>
      </c>
      <c r="N96">
        <v>0</v>
      </c>
      <c r="O96">
        <v>0</v>
      </c>
      <c r="P96">
        <f t="shared" si="2"/>
        <v>9</v>
      </c>
      <c r="Q96">
        <f t="shared" si="3"/>
        <v>5</v>
      </c>
    </row>
    <row r="97" spans="1:22" x14ac:dyDescent="0.25">
      <c r="A97">
        <v>1997</v>
      </c>
      <c r="B97">
        <v>270</v>
      </c>
      <c r="C97">
        <v>12</v>
      </c>
      <c r="D97">
        <v>29</v>
      </c>
      <c r="E97">
        <v>24</v>
      </c>
      <c r="F97">
        <v>21</v>
      </c>
      <c r="G97">
        <v>6</v>
      </c>
      <c r="H97">
        <v>1</v>
      </c>
      <c r="I97">
        <v>0</v>
      </c>
      <c r="J97">
        <v>2</v>
      </c>
      <c r="K97">
        <v>0</v>
      </c>
      <c r="L97">
        <v>0</v>
      </c>
      <c r="M97">
        <v>0</v>
      </c>
      <c r="N97">
        <v>0</v>
      </c>
      <c r="O97">
        <v>0</v>
      </c>
      <c r="P97">
        <f t="shared" si="2"/>
        <v>7</v>
      </c>
      <c r="Q97">
        <f t="shared" si="3"/>
        <v>2</v>
      </c>
    </row>
    <row r="98" spans="1:22" x14ac:dyDescent="0.25">
      <c r="A98">
        <v>1998</v>
      </c>
      <c r="B98">
        <v>273</v>
      </c>
      <c r="C98">
        <v>16</v>
      </c>
      <c r="D98">
        <v>24</v>
      </c>
      <c r="E98">
        <v>21</v>
      </c>
      <c r="F98">
        <v>21</v>
      </c>
      <c r="G98">
        <v>7</v>
      </c>
      <c r="H98">
        <v>1</v>
      </c>
      <c r="I98">
        <v>2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f t="shared" si="2"/>
        <v>8</v>
      </c>
      <c r="Q98">
        <f t="shared" si="3"/>
        <v>2</v>
      </c>
    </row>
    <row r="99" spans="1:22" x14ac:dyDescent="0.25">
      <c r="A99">
        <v>1999</v>
      </c>
      <c r="B99">
        <v>276</v>
      </c>
      <c r="C99">
        <v>12</v>
      </c>
      <c r="D99">
        <v>25</v>
      </c>
      <c r="E99">
        <v>22</v>
      </c>
      <c r="F99">
        <v>16</v>
      </c>
      <c r="G99">
        <v>8</v>
      </c>
      <c r="H99">
        <v>4</v>
      </c>
      <c r="I99">
        <v>0</v>
      </c>
      <c r="J99">
        <v>1</v>
      </c>
      <c r="K99">
        <v>0</v>
      </c>
      <c r="L99">
        <v>1</v>
      </c>
      <c r="M99">
        <v>0</v>
      </c>
      <c r="N99">
        <v>0</v>
      </c>
      <c r="O99">
        <v>0</v>
      </c>
      <c r="P99">
        <f t="shared" si="2"/>
        <v>12</v>
      </c>
      <c r="Q99">
        <f t="shared" si="3"/>
        <v>2</v>
      </c>
    </row>
    <row r="100" spans="1:22" x14ac:dyDescent="0.25">
      <c r="A100">
        <v>2000</v>
      </c>
      <c r="B100">
        <v>276</v>
      </c>
      <c r="C100">
        <v>14</v>
      </c>
      <c r="D100">
        <v>22</v>
      </c>
      <c r="E100">
        <v>23</v>
      </c>
      <c r="F100">
        <v>17</v>
      </c>
      <c r="G100">
        <v>6</v>
      </c>
      <c r="H100">
        <v>3</v>
      </c>
      <c r="I100">
        <v>3</v>
      </c>
      <c r="J100">
        <v>2</v>
      </c>
      <c r="K100">
        <v>0</v>
      </c>
      <c r="L100">
        <v>0</v>
      </c>
      <c r="M100">
        <v>0</v>
      </c>
      <c r="N100">
        <v>0</v>
      </c>
      <c r="O100">
        <v>0</v>
      </c>
      <c r="P100">
        <f t="shared" si="2"/>
        <v>9</v>
      </c>
      <c r="Q100">
        <f t="shared" si="3"/>
        <v>5</v>
      </c>
      <c r="S100" s="34"/>
      <c r="T100" s="43" t="s">
        <v>44</v>
      </c>
      <c r="U100" s="43"/>
      <c r="V100" s="35"/>
    </row>
    <row r="101" spans="1:22" ht="21" x14ac:dyDescent="0.35">
      <c r="A101">
        <v>2001</v>
      </c>
      <c r="B101">
        <v>279</v>
      </c>
      <c r="C101">
        <v>13</v>
      </c>
      <c r="D101">
        <v>32</v>
      </c>
      <c r="E101">
        <v>16</v>
      </c>
      <c r="F101">
        <v>19</v>
      </c>
      <c r="G101">
        <v>3</v>
      </c>
      <c r="H101">
        <v>2</v>
      </c>
      <c r="I101">
        <v>0</v>
      </c>
      <c r="J101">
        <v>1</v>
      </c>
      <c r="K101">
        <v>0</v>
      </c>
      <c r="L101">
        <v>0</v>
      </c>
      <c r="M101">
        <v>0</v>
      </c>
      <c r="N101">
        <v>0</v>
      </c>
      <c r="O101">
        <v>0</v>
      </c>
      <c r="P101">
        <f t="shared" si="2"/>
        <v>5</v>
      </c>
      <c r="Q101">
        <f t="shared" si="3"/>
        <v>1</v>
      </c>
      <c r="S101" s="33"/>
      <c r="T101" s="30" t="s">
        <v>15</v>
      </c>
      <c r="U101" s="30"/>
      <c r="V101" s="36"/>
    </row>
    <row r="102" spans="1:22" ht="21" x14ac:dyDescent="0.35">
      <c r="A102">
        <v>2002</v>
      </c>
      <c r="B102">
        <v>267</v>
      </c>
      <c r="C102">
        <v>24</v>
      </c>
      <c r="D102">
        <v>20</v>
      </c>
      <c r="E102">
        <v>18</v>
      </c>
      <c r="F102">
        <v>23</v>
      </c>
      <c r="G102">
        <v>9</v>
      </c>
      <c r="H102">
        <v>2</v>
      </c>
      <c r="I102">
        <v>2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f t="shared" si="2"/>
        <v>11</v>
      </c>
      <c r="Q102">
        <f t="shared" si="3"/>
        <v>2</v>
      </c>
      <c r="S102" s="33"/>
      <c r="T102" s="30" t="s">
        <v>16</v>
      </c>
      <c r="U102" s="30" t="s">
        <v>17</v>
      </c>
      <c r="V102" s="36"/>
    </row>
    <row r="103" spans="1:22" ht="21" x14ac:dyDescent="0.35">
      <c r="A103">
        <v>2003</v>
      </c>
      <c r="B103">
        <v>246</v>
      </c>
      <c r="C103">
        <v>18</v>
      </c>
      <c r="D103">
        <v>33</v>
      </c>
      <c r="E103">
        <v>27</v>
      </c>
      <c r="F103">
        <v>27</v>
      </c>
      <c r="G103">
        <v>8</v>
      </c>
      <c r="H103">
        <v>4</v>
      </c>
      <c r="I103">
        <v>1</v>
      </c>
      <c r="J103">
        <v>0</v>
      </c>
      <c r="K103">
        <v>1</v>
      </c>
      <c r="L103">
        <v>0</v>
      </c>
      <c r="M103">
        <v>0</v>
      </c>
      <c r="N103">
        <v>0</v>
      </c>
      <c r="O103">
        <v>0</v>
      </c>
      <c r="P103">
        <f t="shared" si="2"/>
        <v>12</v>
      </c>
      <c r="Q103">
        <f t="shared" si="3"/>
        <v>2</v>
      </c>
      <c r="S103" s="33"/>
      <c r="T103" s="30" t="s">
        <v>0</v>
      </c>
      <c r="U103" s="30" t="s">
        <v>18</v>
      </c>
      <c r="V103" s="36"/>
    </row>
    <row r="104" spans="1:22" ht="21" x14ac:dyDescent="0.35">
      <c r="A104">
        <v>2004</v>
      </c>
      <c r="B104">
        <v>259</v>
      </c>
      <c r="C104">
        <v>21</v>
      </c>
      <c r="D104">
        <v>26</v>
      </c>
      <c r="E104">
        <v>21</v>
      </c>
      <c r="F104">
        <v>27</v>
      </c>
      <c r="G104">
        <v>3</v>
      </c>
      <c r="H104">
        <v>2</v>
      </c>
      <c r="I104">
        <v>6</v>
      </c>
      <c r="J104">
        <v>0</v>
      </c>
      <c r="K104">
        <v>0</v>
      </c>
      <c r="L104">
        <v>1</v>
      </c>
      <c r="M104">
        <v>0</v>
      </c>
      <c r="N104">
        <v>0</v>
      </c>
      <c r="O104">
        <v>0</v>
      </c>
      <c r="P104">
        <f t="shared" si="2"/>
        <v>5</v>
      </c>
      <c r="Q104">
        <f t="shared" si="3"/>
        <v>7</v>
      </c>
      <c r="S104" s="33"/>
      <c r="T104" s="30" t="s">
        <v>1</v>
      </c>
      <c r="U104" s="30" t="s">
        <v>40</v>
      </c>
      <c r="V104" s="36"/>
    </row>
    <row r="105" spans="1:22" ht="21" x14ac:dyDescent="0.35">
      <c r="A105">
        <v>2005</v>
      </c>
      <c r="B105">
        <v>271</v>
      </c>
      <c r="C105">
        <v>15</v>
      </c>
      <c r="D105">
        <v>24</v>
      </c>
      <c r="E105">
        <v>22</v>
      </c>
      <c r="F105">
        <v>15</v>
      </c>
      <c r="G105">
        <v>12</v>
      </c>
      <c r="H105">
        <v>3</v>
      </c>
      <c r="I105">
        <v>2</v>
      </c>
      <c r="J105">
        <v>0</v>
      </c>
      <c r="K105">
        <v>1</v>
      </c>
      <c r="L105">
        <v>0</v>
      </c>
      <c r="M105">
        <v>0</v>
      </c>
      <c r="N105">
        <v>0</v>
      </c>
      <c r="O105">
        <v>0</v>
      </c>
      <c r="P105">
        <f t="shared" si="2"/>
        <v>15</v>
      </c>
      <c r="Q105">
        <f t="shared" si="3"/>
        <v>3</v>
      </c>
      <c r="S105" s="33"/>
      <c r="T105" s="30" t="s">
        <v>2</v>
      </c>
      <c r="U105" s="30" t="s">
        <v>41</v>
      </c>
      <c r="V105" s="36"/>
    </row>
    <row r="106" spans="1:22" ht="21" x14ac:dyDescent="0.35">
      <c r="A106">
        <v>2006</v>
      </c>
      <c r="B106">
        <v>281</v>
      </c>
      <c r="C106">
        <v>11</v>
      </c>
      <c r="D106">
        <v>16</v>
      </c>
      <c r="E106">
        <v>16</v>
      </c>
      <c r="F106">
        <v>23</v>
      </c>
      <c r="G106">
        <v>9</v>
      </c>
      <c r="H106">
        <v>4</v>
      </c>
      <c r="I106">
        <v>2</v>
      </c>
      <c r="J106">
        <v>3</v>
      </c>
      <c r="K106">
        <v>0</v>
      </c>
      <c r="L106">
        <v>0</v>
      </c>
      <c r="M106">
        <v>0</v>
      </c>
      <c r="N106">
        <v>0</v>
      </c>
      <c r="O106">
        <v>0</v>
      </c>
      <c r="P106">
        <f t="shared" si="2"/>
        <v>13</v>
      </c>
      <c r="Q106">
        <f t="shared" si="3"/>
        <v>5</v>
      </c>
      <c r="S106" s="33"/>
      <c r="T106" s="30" t="s">
        <v>3</v>
      </c>
      <c r="U106" s="30" t="s">
        <v>42</v>
      </c>
      <c r="V106" s="36"/>
    </row>
    <row r="107" spans="1:22" ht="21" x14ac:dyDescent="0.35">
      <c r="A107">
        <v>2007</v>
      </c>
      <c r="B107">
        <v>282</v>
      </c>
      <c r="C107">
        <v>17</v>
      </c>
      <c r="D107">
        <v>23</v>
      </c>
      <c r="E107">
        <v>14</v>
      </c>
      <c r="F107">
        <v>14</v>
      </c>
      <c r="G107">
        <v>9</v>
      </c>
      <c r="H107">
        <v>4</v>
      </c>
      <c r="I107">
        <v>0</v>
      </c>
      <c r="J107">
        <v>0</v>
      </c>
      <c r="K107">
        <v>2</v>
      </c>
      <c r="L107">
        <v>0</v>
      </c>
      <c r="M107">
        <v>0</v>
      </c>
      <c r="N107">
        <v>0</v>
      </c>
      <c r="O107">
        <v>0</v>
      </c>
      <c r="P107">
        <f t="shared" si="2"/>
        <v>13</v>
      </c>
      <c r="Q107">
        <f t="shared" si="3"/>
        <v>2</v>
      </c>
      <c r="S107" s="33"/>
      <c r="T107" s="30" t="s">
        <v>4</v>
      </c>
      <c r="U107" s="30" t="s">
        <v>43</v>
      </c>
      <c r="V107" s="36"/>
    </row>
    <row r="108" spans="1:22" ht="21" x14ac:dyDescent="0.35">
      <c r="A108">
        <v>2008</v>
      </c>
      <c r="B108">
        <v>272</v>
      </c>
      <c r="C108">
        <v>17</v>
      </c>
      <c r="D108">
        <v>20</v>
      </c>
      <c r="E108">
        <v>21</v>
      </c>
      <c r="F108">
        <v>22</v>
      </c>
      <c r="G108">
        <v>7</v>
      </c>
      <c r="H108">
        <v>5</v>
      </c>
      <c r="I108">
        <v>1</v>
      </c>
      <c r="J108">
        <v>1</v>
      </c>
      <c r="K108">
        <v>0</v>
      </c>
      <c r="L108">
        <v>0</v>
      </c>
      <c r="M108">
        <v>0</v>
      </c>
      <c r="N108">
        <v>0</v>
      </c>
      <c r="O108">
        <v>0</v>
      </c>
      <c r="P108">
        <f t="shared" si="2"/>
        <v>12</v>
      </c>
      <c r="Q108">
        <f t="shared" si="3"/>
        <v>2</v>
      </c>
      <c r="S108" s="33"/>
      <c r="T108" s="30" t="s">
        <v>23</v>
      </c>
      <c r="U108" s="30" t="s">
        <v>37</v>
      </c>
      <c r="V108" s="36"/>
    </row>
    <row r="109" spans="1:22" ht="21" x14ac:dyDescent="0.35">
      <c r="A109">
        <v>2009</v>
      </c>
      <c r="B109">
        <v>261</v>
      </c>
      <c r="C109">
        <v>13</v>
      </c>
      <c r="D109">
        <v>24</v>
      </c>
      <c r="E109">
        <v>23</v>
      </c>
      <c r="F109">
        <v>29</v>
      </c>
      <c r="G109">
        <v>8</v>
      </c>
      <c r="H109">
        <v>2</v>
      </c>
      <c r="I109">
        <v>3</v>
      </c>
      <c r="J109">
        <v>2</v>
      </c>
      <c r="K109">
        <v>0</v>
      </c>
      <c r="L109">
        <v>0</v>
      </c>
      <c r="M109">
        <v>0</v>
      </c>
      <c r="N109">
        <v>0</v>
      </c>
      <c r="O109">
        <v>0</v>
      </c>
      <c r="P109">
        <f t="shared" si="2"/>
        <v>10</v>
      </c>
      <c r="Q109">
        <f t="shared" si="3"/>
        <v>5</v>
      </c>
      <c r="S109" s="33"/>
      <c r="T109" s="30" t="s">
        <v>25</v>
      </c>
      <c r="U109" s="30" t="s">
        <v>38</v>
      </c>
      <c r="V109" s="36"/>
    </row>
    <row r="110" spans="1:22" ht="21" x14ac:dyDescent="0.35">
      <c r="A110">
        <v>2010</v>
      </c>
      <c r="B110">
        <v>282</v>
      </c>
      <c r="C110">
        <v>16</v>
      </c>
      <c r="D110">
        <v>16</v>
      </c>
      <c r="E110">
        <v>21</v>
      </c>
      <c r="F110">
        <v>18</v>
      </c>
      <c r="G110">
        <v>8</v>
      </c>
      <c r="H110">
        <v>2</v>
      </c>
      <c r="I110">
        <v>1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f t="shared" si="2"/>
        <v>10</v>
      </c>
      <c r="Q110">
        <f t="shared" si="3"/>
        <v>2</v>
      </c>
      <c r="S110" s="33"/>
      <c r="T110" s="42" t="s">
        <v>45</v>
      </c>
      <c r="U110" s="42"/>
      <c r="V110" s="36"/>
    </row>
    <row r="111" spans="1:22" x14ac:dyDescent="0.25">
      <c r="A111">
        <v>2011</v>
      </c>
      <c r="B111">
        <v>266</v>
      </c>
      <c r="C111">
        <v>13</v>
      </c>
      <c r="D111">
        <v>20</v>
      </c>
      <c r="E111">
        <v>30</v>
      </c>
      <c r="F111">
        <v>18</v>
      </c>
      <c r="G111">
        <v>11</v>
      </c>
      <c r="H111">
        <v>3</v>
      </c>
      <c r="I111">
        <v>1</v>
      </c>
      <c r="J111">
        <v>1</v>
      </c>
      <c r="K111">
        <v>0</v>
      </c>
      <c r="L111">
        <v>0</v>
      </c>
      <c r="M111">
        <v>2</v>
      </c>
      <c r="N111">
        <v>0</v>
      </c>
      <c r="O111">
        <v>0</v>
      </c>
      <c r="P111">
        <f t="shared" si="2"/>
        <v>14</v>
      </c>
      <c r="Q111">
        <f t="shared" si="3"/>
        <v>4</v>
      </c>
      <c r="S111" s="33"/>
      <c r="T111" s="37"/>
      <c r="U111" s="37"/>
      <c r="V111" s="36"/>
    </row>
    <row r="112" spans="1:22" x14ac:dyDescent="0.25">
      <c r="A112">
        <v>2012</v>
      </c>
      <c r="B112">
        <v>279</v>
      </c>
      <c r="C112">
        <v>13</v>
      </c>
      <c r="D112">
        <v>26</v>
      </c>
      <c r="E112">
        <v>22</v>
      </c>
      <c r="F112">
        <v>14</v>
      </c>
      <c r="G112">
        <v>7</v>
      </c>
      <c r="H112">
        <v>3</v>
      </c>
      <c r="I112">
        <v>0</v>
      </c>
      <c r="J112">
        <v>0</v>
      </c>
      <c r="K112">
        <v>1</v>
      </c>
      <c r="L112">
        <v>0</v>
      </c>
      <c r="M112">
        <v>1</v>
      </c>
      <c r="N112">
        <v>0</v>
      </c>
      <c r="O112">
        <v>0</v>
      </c>
      <c r="P112">
        <f t="shared" si="2"/>
        <v>10</v>
      </c>
      <c r="Q112">
        <f t="shared" si="3"/>
        <v>2</v>
      </c>
      <c r="S112" s="38"/>
      <c r="T112" s="39"/>
      <c r="U112" s="39"/>
      <c r="V112" s="40"/>
    </row>
    <row r="113" spans="1:17" x14ac:dyDescent="0.25">
      <c r="A113">
        <v>2013</v>
      </c>
      <c r="B113">
        <v>266</v>
      </c>
      <c r="C113">
        <v>14</v>
      </c>
      <c r="D113">
        <v>19</v>
      </c>
      <c r="E113">
        <v>28</v>
      </c>
      <c r="F113">
        <v>27</v>
      </c>
      <c r="G113">
        <v>5</v>
      </c>
      <c r="H113">
        <v>3</v>
      </c>
      <c r="I113">
        <v>1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0</v>
      </c>
      <c r="P113">
        <f t="shared" si="2"/>
        <v>8</v>
      </c>
      <c r="Q113">
        <f t="shared" si="3"/>
        <v>3</v>
      </c>
    </row>
    <row r="114" spans="1:17" x14ac:dyDescent="0.25">
      <c r="A114">
        <v>2014</v>
      </c>
      <c r="B114">
        <v>265</v>
      </c>
      <c r="C114">
        <v>13</v>
      </c>
      <c r="D114">
        <v>30</v>
      </c>
      <c r="E114">
        <v>18</v>
      </c>
      <c r="F114">
        <v>22</v>
      </c>
      <c r="G114">
        <v>7</v>
      </c>
      <c r="H114">
        <v>4</v>
      </c>
      <c r="I114">
        <v>6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f t="shared" si="2"/>
        <v>11</v>
      </c>
      <c r="Q114">
        <f t="shared" si="3"/>
        <v>6</v>
      </c>
    </row>
    <row r="115" spans="1:17" x14ac:dyDescent="0.25">
      <c r="A115">
        <v>2015</v>
      </c>
      <c r="B115">
        <v>274</v>
      </c>
      <c r="C115">
        <v>16</v>
      </c>
      <c r="D115">
        <v>28</v>
      </c>
      <c r="E115">
        <v>17</v>
      </c>
      <c r="F115">
        <v>15</v>
      </c>
      <c r="G115">
        <v>11</v>
      </c>
      <c r="H115">
        <v>3</v>
      </c>
      <c r="I115">
        <v>0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f t="shared" si="2"/>
        <v>14</v>
      </c>
      <c r="Q115">
        <f t="shared" si="3"/>
        <v>1</v>
      </c>
    </row>
    <row r="116" spans="1:17" x14ac:dyDescent="0.25">
      <c r="A116">
        <v>2016</v>
      </c>
      <c r="B116">
        <v>280</v>
      </c>
      <c r="C116">
        <v>7</v>
      </c>
      <c r="D116">
        <v>32</v>
      </c>
      <c r="E116">
        <v>16</v>
      </c>
      <c r="F116">
        <v>19</v>
      </c>
      <c r="G116">
        <v>9</v>
      </c>
      <c r="H116">
        <v>2</v>
      </c>
      <c r="I116">
        <v>0</v>
      </c>
      <c r="J116">
        <v>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f t="shared" si="2"/>
        <v>11</v>
      </c>
      <c r="Q116">
        <f t="shared" si="3"/>
        <v>1</v>
      </c>
    </row>
    <row r="117" spans="1:17" x14ac:dyDescent="0.25">
      <c r="A117">
        <v>2017</v>
      </c>
      <c r="B117">
        <v>274</v>
      </c>
      <c r="C117">
        <v>10</v>
      </c>
      <c r="D117">
        <v>25</v>
      </c>
      <c r="E117">
        <v>25</v>
      </c>
      <c r="F117">
        <v>18</v>
      </c>
      <c r="G117">
        <v>6</v>
      </c>
      <c r="H117">
        <v>3</v>
      </c>
      <c r="I117">
        <v>3</v>
      </c>
      <c r="J117">
        <v>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f t="shared" si="2"/>
        <v>9</v>
      </c>
      <c r="Q117">
        <f t="shared" si="3"/>
        <v>4</v>
      </c>
    </row>
    <row r="119" spans="1:17" x14ac:dyDescent="0.25">
      <c r="A119" s="28" t="s">
        <v>54</v>
      </c>
      <c r="B119" s="8"/>
      <c r="C119" s="21">
        <f>AVERAGE(C88:C117)</f>
        <v>17.033333333333335</v>
      </c>
      <c r="D119" s="21">
        <f t="shared" ref="D119:Q119" si="4">AVERAGE(D88:D117)</f>
        <v>23.4</v>
      </c>
      <c r="E119" s="21">
        <f t="shared" si="4"/>
        <v>20.866666666666667</v>
      </c>
      <c r="F119" s="21">
        <f t="shared" si="4"/>
        <v>19.899999999999999</v>
      </c>
      <c r="G119" s="21">
        <f t="shared" si="4"/>
        <v>7.6333333333333337</v>
      </c>
      <c r="H119" s="21">
        <f t="shared" si="4"/>
        <v>2.7333333333333334</v>
      </c>
      <c r="I119" s="21">
        <f t="shared" si="4"/>
        <v>1.5333333333333334</v>
      </c>
      <c r="J119" s="21">
        <f t="shared" si="4"/>
        <v>0.8666666666666667</v>
      </c>
      <c r="K119" s="21">
        <f t="shared" si="4"/>
        <v>0.26666666666666666</v>
      </c>
      <c r="L119" s="21">
        <f t="shared" si="4"/>
        <v>0.13333333333333333</v>
      </c>
      <c r="M119" s="21">
        <f t="shared" si="4"/>
        <v>0.1</v>
      </c>
      <c r="N119" s="21">
        <f t="shared" si="4"/>
        <v>0</v>
      </c>
      <c r="O119" s="21">
        <f t="shared" si="4"/>
        <v>0</v>
      </c>
      <c r="P119" s="21">
        <f t="shared" si="4"/>
        <v>10.366666666666667</v>
      </c>
      <c r="Q119" s="21">
        <f t="shared" si="4"/>
        <v>2.9</v>
      </c>
    </row>
    <row r="120" spans="1:17" x14ac:dyDescent="0.25">
      <c r="A120" s="28" t="s">
        <v>55</v>
      </c>
      <c r="B120" s="8"/>
      <c r="C120" s="21">
        <f>AVERAGE(C2:C87)</f>
        <v>28.372093023255815</v>
      </c>
      <c r="D120" s="21">
        <f t="shared" ref="D120:Q120" si="5">AVERAGE(D2:D87)</f>
        <v>24.488372093023255</v>
      </c>
      <c r="E120" s="21">
        <f t="shared" si="5"/>
        <v>21.151162790697676</v>
      </c>
      <c r="F120" s="21">
        <f t="shared" si="5"/>
        <v>18.511627906976745</v>
      </c>
      <c r="G120" s="21">
        <f t="shared" si="5"/>
        <v>6.7906976744186043</v>
      </c>
      <c r="H120" s="21">
        <f t="shared" si="5"/>
        <v>2.6860465116279069</v>
      </c>
      <c r="I120" s="21">
        <f t="shared" si="5"/>
        <v>1.0232558139534884</v>
      </c>
      <c r="J120" s="21">
        <f t="shared" si="5"/>
        <v>0.43023255813953487</v>
      </c>
      <c r="K120" s="21">
        <f t="shared" si="5"/>
        <v>0.32558139534883723</v>
      </c>
      <c r="L120" s="21">
        <f t="shared" si="5"/>
        <v>0.13953488372093023</v>
      </c>
      <c r="M120" s="21">
        <f t="shared" si="5"/>
        <v>3.4883720930232558E-2</v>
      </c>
      <c r="N120" s="21">
        <f t="shared" si="5"/>
        <v>3.4883720930232558E-2</v>
      </c>
      <c r="O120" s="21">
        <f t="shared" si="5"/>
        <v>1.1627906976744186E-2</v>
      </c>
      <c r="P120" s="21">
        <f t="shared" si="5"/>
        <v>9.4767441860465116</v>
      </c>
      <c r="Q120" s="21">
        <f t="shared" si="5"/>
        <v>2</v>
      </c>
    </row>
  </sheetData>
  <mergeCells count="2">
    <mergeCell ref="T110:U110"/>
    <mergeCell ref="T100:U10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131"/>
  <sheetViews>
    <sheetView zoomScale="70" zoomScaleNormal="70" workbookViewId="0">
      <pane ySplit="1" topLeftCell="A82" activePane="bottomLeft" state="frozen"/>
      <selection pane="bottomLeft" activeCell="U88" sqref="U88:V117"/>
    </sheetView>
  </sheetViews>
  <sheetFormatPr defaultRowHeight="15" x14ac:dyDescent="0.25"/>
  <cols>
    <col min="1" max="1" width="28.7109375" customWidth="1"/>
    <col min="2" max="2" width="0" hidden="1" customWidth="1"/>
    <col min="7" max="15" width="9.140625" hidden="1" customWidth="1"/>
    <col min="17" max="17" width="0" hidden="1" customWidth="1"/>
    <col min="27" max="35" width="0" hidden="1" customWidth="1"/>
    <col min="37" max="37" width="0" hidden="1" customWidth="1"/>
    <col min="41" max="41" width="18.5703125" bestFit="1" customWidth="1"/>
    <col min="42" max="42" width="17" bestFit="1" customWidth="1"/>
  </cols>
  <sheetData>
    <row r="1" spans="1:42" s="8" customFormat="1" ht="18.75" x14ac:dyDescent="0.3">
      <c r="C1" s="8" t="s">
        <v>1</v>
      </c>
      <c r="D1" s="8" t="s">
        <v>2</v>
      </c>
      <c r="E1" s="8" t="s">
        <v>3</v>
      </c>
      <c r="F1" s="8" t="s">
        <v>4</v>
      </c>
      <c r="G1" s="26" t="s">
        <v>5</v>
      </c>
      <c r="H1" s="26" t="s">
        <v>6</v>
      </c>
      <c r="I1" s="26" t="s">
        <v>7</v>
      </c>
      <c r="J1" s="26" t="s">
        <v>8</v>
      </c>
      <c r="K1" s="26" t="s">
        <v>9</v>
      </c>
      <c r="L1" s="26" t="s">
        <v>10</v>
      </c>
      <c r="M1" s="26" t="s">
        <v>11</v>
      </c>
      <c r="N1" s="26" t="s">
        <v>12</v>
      </c>
      <c r="O1" s="26" t="s">
        <v>13</v>
      </c>
      <c r="P1" s="8" t="s">
        <v>23</v>
      </c>
      <c r="Q1" s="26" t="s">
        <v>24</v>
      </c>
      <c r="R1" s="8" t="s">
        <v>25</v>
      </c>
      <c r="T1" s="8" t="s">
        <v>34</v>
      </c>
      <c r="U1" s="8" t="s">
        <v>35</v>
      </c>
      <c r="V1" s="8" t="s">
        <v>14</v>
      </c>
      <c r="W1" s="8" t="s">
        <v>1</v>
      </c>
      <c r="X1" s="8" t="s">
        <v>2</v>
      </c>
      <c r="Y1" s="8" t="s">
        <v>3</v>
      </c>
      <c r="Z1" s="8" t="s">
        <v>4</v>
      </c>
      <c r="AA1" s="8" t="s">
        <v>5</v>
      </c>
      <c r="AB1" s="8" t="s">
        <v>6</v>
      </c>
      <c r="AC1" s="8" t="s">
        <v>7</v>
      </c>
      <c r="AD1" s="8" t="s">
        <v>8</v>
      </c>
      <c r="AE1" s="8" t="s">
        <v>9</v>
      </c>
      <c r="AF1" s="8" t="s">
        <v>10</v>
      </c>
      <c r="AG1" s="8" t="s">
        <v>11</v>
      </c>
      <c r="AH1" s="8" t="s">
        <v>12</v>
      </c>
      <c r="AI1" s="8" t="s">
        <v>13</v>
      </c>
      <c r="AJ1" s="8" t="s">
        <v>23</v>
      </c>
      <c r="AK1" s="8" t="s">
        <v>24</v>
      </c>
      <c r="AL1" s="8" t="s">
        <v>25</v>
      </c>
      <c r="AO1" s="7" t="s">
        <v>15</v>
      </c>
      <c r="AP1" s="7"/>
    </row>
    <row r="2" spans="1:42" ht="18.75" x14ac:dyDescent="0.3">
      <c r="A2">
        <v>1902</v>
      </c>
      <c r="B2">
        <v>0</v>
      </c>
      <c r="C2">
        <v>1.68</v>
      </c>
      <c r="D2">
        <v>4.8600000000000003</v>
      </c>
      <c r="E2">
        <v>6.35</v>
      </c>
      <c r="F2">
        <v>21.22</v>
      </c>
      <c r="G2" s="26">
        <v>11.489999999999901</v>
      </c>
      <c r="H2" s="26">
        <v>5.04</v>
      </c>
      <c r="I2" s="26">
        <v>2.1</v>
      </c>
      <c r="J2" s="26">
        <v>2.6</v>
      </c>
      <c r="K2" s="26">
        <v>0</v>
      </c>
      <c r="L2" s="26">
        <v>0</v>
      </c>
      <c r="M2" s="26">
        <v>0</v>
      </c>
      <c r="N2" s="26">
        <v>0</v>
      </c>
      <c r="O2" s="26">
        <v>0</v>
      </c>
      <c r="P2">
        <f>SUM(G2:H2)</f>
        <v>16.529999999999902</v>
      </c>
      <c r="Q2" s="26">
        <f>SUM(I2:K2)</f>
        <v>4.7</v>
      </c>
      <c r="R2">
        <f>SUM(I2:O2)</f>
        <v>4.7</v>
      </c>
      <c r="U2" s="1">
        <v>1902</v>
      </c>
      <c r="V2" s="2">
        <v>55.4</v>
      </c>
      <c r="W2" s="5">
        <f t="shared" ref="W2:AI2" si="0">C2/$V2</f>
        <v>3.032490974729242E-2</v>
      </c>
      <c r="X2" s="5">
        <f t="shared" si="0"/>
        <v>8.772563176895308E-2</v>
      </c>
      <c r="Y2" s="5">
        <f t="shared" si="0"/>
        <v>0.11462093862815884</v>
      </c>
      <c r="Z2" s="5">
        <f t="shared" si="0"/>
        <v>0.38303249097472925</v>
      </c>
      <c r="AA2" s="5">
        <f t="shared" si="0"/>
        <v>0.20740072202165885</v>
      </c>
      <c r="AB2" s="5">
        <f t="shared" si="0"/>
        <v>9.0974729241877259E-2</v>
      </c>
      <c r="AC2" s="5">
        <f t="shared" si="0"/>
        <v>3.7906137184115528E-2</v>
      </c>
      <c r="AD2" s="5">
        <f t="shared" si="0"/>
        <v>4.6931407942238268E-2</v>
      </c>
      <c r="AE2" s="5">
        <f t="shared" si="0"/>
        <v>0</v>
      </c>
      <c r="AF2" s="5">
        <f t="shared" si="0"/>
        <v>0</v>
      </c>
      <c r="AG2" s="5">
        <f t="shared" si="0"/>
        <v>0</v>
      </c>
      <c r="AH2" s="5">
        <f t="shared" si="0"/>
        <v>0</v>
      </c>
      <c r="AI2" s="5">
        <f t="shared" si="0"/>
        <v>0</v>
      </c>
      <c r="AJ2" s="6">
        <f>SUM(AA2:AB2)</f>
        <v>0.2983754512635361</v>
      </c>
      <c r="AK2" s="6">
        <f>SUM(AC2:AE2)</f>
        <v>8.4837545126353803E-2</v>
      </c>
      <c r="AL2" s="6">
        <f>SUM(AC2:AI2)</f>
        <v>8.4837545126353803E-2</v>
      </c>
      <c r="AO2" s="7" t="s">
        <v>16</v>
      </c>
      <c r="AP2" s="7" t="s">
        <v>17</v>
      </c>
    </row>
    <row r="3" spans="1:42" ht="18.75" x14ac:dyDescent="0.3">
      <c r="A3">
        <v>1903</v>
      </c>
      <c r="B3">
        <v>0</v>
      </c>
      <c r="C3">
        <v>1.66</v>
      </c>
      <c r="D3">
        <v>4.4000000000000004</v>
      </c>
      <c r="E3">
        <v>9.2200000000000006</v>
      </c>
      <c r="F3">
        <v>15.75</v>
      </c>
      <c r="G3" s="26">
        <v>8.7899999999999991</v>
      </c>
      <c r="H3" s="26">
        <v>1.6</v>
      </c>
      <c r="I3" s="26">
        <v>0</v>
      </c>
      <c r="J3" s="26">
        <v>0</v>
      </c>
      <c r="K3" s="26">
        <v>0</v>
      </c>
      <c r="L3" s="26">
        <v>0</v>
      </c>
      <c r="M3" s="26">
        <v>5.65</v>
      </c>
      <c r="N3" s="26">
        <v>0</v>
      </c>
      <c r="O3" s="26">
        <v>0</v>
      </c>
      <c r="P3">
        <f t="shared" ref="P3:P66" si="1">SUM(G3:H3)</f>
        <v>10.389999999999999</v>
      </c>
      <c r="Q3" s="26">
        <f t="shared" ref="Q3:Q66" si="2">SUM(I3:K3)</f>
        <v>0</v>
      </c>
      <c r="R3">
        <f t="shared" ref="R3:R66" si="3">SUM(I3:O3)</f>
        <v>5.65</v>
      </c>
      <c r="U3" s="3">
        <v>1903</v>
      </c>
      <c r="V3" s="4">
        <v>47.07</v>
      </c>
      <c r="W3" s="5">
        <f t="shared" ref="W3:W12" si="4">C3/$V3</f>
        <v>3.5266624176758021E-2</v>
      </c>
      <c r="X3" s="5">
        <f t="shared" ref="X3:X12" si="5">D3/$V3</f>
        <v>9.3477799022732108E-2</v>
      </c>
      <c r="Y3" s="5">
        <f t="shared" ref="Y3:Y12" si="6">E3/$V3</f>
        <v>0.19587847886127047</v>
      </c>
      <c r="Z3" s="5">
        <f t="shared" ref="Z3:Z12" si="7">F3/$V3</f>
        <v>0.33460803059273425</v>
      </c>
      <c r="AA3" s="5">
        <f t="shared" ref="AA3:AA12" si="8">G3/$V3</f>
        <v>0.1867431485022307</v>
      </c>
      <c r="AB3" s="5">
        <f t="shared" ref="AB3:AB12" si="9">H3/$V3</f>
        <v>3.3991926917357126E-2</v>
      </c>
      <c r="AC3" s="5">
        <f t="shared" ref="AC3:AC12" si="10">I3/$V3</f>
        <v>0</v>
      </c>
      <c r="AD3" s="5">
        <f t="shared" ref="AD3:AD12" si="11">J3/$V3</f>
        <v>0</v>
      </c>
      <c r="AE3" s="5">
        <f t="shared" ref="AE3:AE12" si="12">K3/$V3</f>
        <v>0</v>
      </c>
      <c r="AF3" s="5">
        <f t="shared" ref="AF3:AF12" si="13">L3/$V3</f>
        <v>0</v>
      </c>
      <c r="AG3" s="5">
        <f t="shared" ref="AG3:AG12" si="14">M3/$V3</f>
        <v>0.12003399192691737</v>
      </c>
      <c r="AH3" s="5">
        <f t="shared" ref="AH3:AH12" si="15">N3/$V3</f>
        <v>0</v>
      </c>
      <c r="AI3" s="5">
        <f t="shared" ref="AI3:AI12" si="16">O3/$V3</f>
        <v>0</v>
      </c>
      <c r="AJ3" s="6">
        <f t="shared" ref="AJ3:AJ66" si="17">SUM(AA3:AB3)</f>
        <v>0.22073507541958781</v>
      </c>
      <c r="AK3" s="6">
        <f t="shared" ref="AK3:AK66" si="18">SUM(AC3:AE3)</f>
        <v>0</v>
      </c>
      <c r="AL3" s="6">
        <f t="shared" ref="AL3:AL66" si="19">SUM(AC3:AI3)</f>
        <v>0.12003399192691737</v>
      </c>
      <c r="AO3" s="7" t="s">
        <v>0</v>
      </c>
      <c r="AP3" s="7" t="s">
        <v>18</v>
      </c>
    </row>
    <row r="4" spans="1:42" ht="18.75" x14ac:dyDescent="0.3">
      <c r="A4">
        <v>1904</v>
      </c>
      <c r="B4">
        <v>0</v>
      </c>
      <c r="C4">
        <v>2.06</v>
      </c>
      <c r="D4">
        <v>5.6</v>
      </c>
      <c r="E4">
        <v>8.94</v>
      </c>
      <c r="F4">
        <v>10.24</v>
      </c>
      <c r="G4" s="26">
        <v>3.57</v>
      </c>
      <c r="H4" s="26">
        <v>1.51</v>
      </c>
      <c r="I4" s="26">
        <v>2.4</v>
      </c>
      <c r="J4" s="26">
        <v>0</v>
      </c>
      <c r="K4" s="26">
        <v>0</v>
      </c>
      <c r="L4" s="26">
        <v>4.9000000000000004</v>
      </c>
      <c r="M4" s="26">
        <v>0</v>
      </c>
      <c r="N4" s="26">
        <v>0</v>
      </c>
      <c r="O4" s="26">
        <v>0</v>
      </c>
      <c r="P4">
        <f t="shared" si="1"/>
        <v>5.08</v>
      </c>
      <c r="Q4" s="26">
        <f t="shared" si="2"/>
        <v>2.4</v>
      </c>
      <c r="R4">
        <f t="shared" si="3"/>
        <v>7.3000000000000007</v>
      </c>
      <c r="U4" s="1">
        <v>1904</v>
      </c>
      <c r="V4" s="2">
        <v>39.26</v>
      </c>
      <c r="W4" s="5">
        <f t="shared" si="4"/>
        <v>5.2470708099847177E-2</v>
      </c>
      <c r="X4" s="5">
        <f t="shared" si="5"/>
        <v>0.14263881813550688</v>
      </c>
      <c r="Y4" s="5">
        <f t="shared" si="6"/>
        <v>0.22771268466632705</v>
      </c>
      <c r="Z4" s="5">
        <f t="shared" si="7"/>
        <v>0.260825267447784</v>
      </c>
      <c r="AA4" s="5">
        <f t="shared" si="8"/>
        <v>9.0932246561385641E-2</v>
      </c>
      <c r="AB4" s="5">
        <f t="shared" si="9"/>
        <v>3.8461538461538464E-2</v>
      </c>
      <c r="AC4" s="5">
        <f t="shared" si="10"/>
        <v>6.1130922058074376E-2</v>
      </c>
      <c r="AD4" s="5">
        <f t="shared" si="11"/>
        <v>0</v>
      </c>
      <c r="AE4" s="5">
        <f t="shared" si="12"/>
        <v>0</v>
      </c>
      <c r="AF4" s="5">
        <f t="shared" si="13"/>
        <v>0.12480896586856853</v>
      </c>
      <c r="AG4" s="5">
        <f t="shared" si="14"/>
        <v>0</v>
      </c>
      <c r="AH4" s="5">
        <f t="shared" si="15"/>
        <v>0</v>
      </c>
      <c r="AI4" s="5">
        <f t="shared" si="16"/>
        <v>0</v>
      </c>
      <c r="AJ4" s="6">
        <f t="shared" si="17"/>
        <v>0.12939378502292409</v>
      </c>
      <c r="AK4" s="6">
        <f t="shared" si="18"/>
        <v>6.1130922058074376E-2</v>
      </c>
      <c r="AL4" s="6">
        <f t="shared" si="19"/>
        <v>0.1859398879266429</v>
      </c>
      <c r="AO4" s="7" t="s">
        <v>1</v>
      </c>
      <c r="AP4" s="7" t="s">
        <v>19</v>
      </c>
    </row>
    <row r="5" spans="1:42" ht="18.75" x14ac:dyDescent="0.3">
      <c r="A5">
        <v>1905</v>
      </c>
      <c r="B5">
        <v>0</v>
      </c>
      <c r="C5">
        <v>1.87</v>
      </c>
      <c r="D5">
        <v>4.3099999999999996</v>
      </c>
      <c r="E5">
        <v>10.199999999999999</v>
      </c>
      <c r="F5">
        <v>13.84</v>
      </c>
      <c r="G5" s="26">
        <v>8.18</v>
      </c>
      <c r="H5" s="26">
        <v>2</v>
      </c>
      <c r="I5" s="26">
        <v>0</v>
      </c>
      <c r="J5" s="26">
        <v>2.58</v>
      </c>
      <c r="K5" s="26">
        <v>3.02</v>
      </c>
      <c r="L5" s="26">
        <v>0</v>
      </c>
      <c r="M5" s="26">
        <v>0</v>
      </c>
      <c r="N5" s="26">
        <v>0</v>
      </c>
      <c r="O5" s="26">
        <v>0</v>
      </c>
      <c r="P5">
        <f t="shared" si="1"/>
        <v>10.18</v>
      </c>
      <c r="Q5" s="26">
        <f t="shared" si="2"/>
        <v>5.6</v>
      </c>
      <c r="R5">
        <f t="shared" si="3"/>
        <v>5.6</v>
      </c>
      <c r="U5" s="3">
        <v>1905</v>
      </c>
      <c r="V5" s="4">
        <v>46.02</v>
      </c>
      <c r="W5" s="5">
        <f t="shared" si="4"/>
        <v>4.0634506736201649E-2</v>
      </c>
      <c r="X5" s="5">
        <f t="shared" si="5"/>
        <v>9.3654932637983468E-2</v>
      </c>
      <c r="Y5" s="5">
        <f t="shared" si="6"/>
        <v>0.22164276401564534</v>
      </c>
      <c r="Z5" s="5">
        <f t="shared" si="7"/>
        <v>0.30073880921338547</v>
      </c>
      <c r="AA5" s="5">
        <f t="shared" si="8"/>
        <v>0.17774880486744893</v>
      </c>
      <c r="AB5" s="5">
        <f t="shared" si="9"/>
        <v>4.3459365493263798E-2</v>
      </c>
      <c r="AC5" s="5">
        <f t="shared" si="10"/>
        <v>0</v>
      </c>
      <c r="AD5" s="5">
        <f t="shared" si="11"/>
        <v>5.6062581486310298E-2</v>
      </c>
      <c r="AE5" s="5">
        <f t="shared" si="12"/>
        <v>6.5623641894828333E-2</v>
      </c>
      <c r="AF5" s="5">
        <f t="shared" si="13"/>
        <v>0</v>
      </c>
      <c r="AG5" s="5">
        <f t="shared" si="14"/>
        <v>0</v>
      </c>
      <c r="AH5" s="5">
        <f t="shared" si="15"/>
        <v>0</v>
      </c>
      <c r="AI5" s="5">
        <f t="shared" si="16"/>
        <v>0</v>
      </c>
      <c r="AJ5" s="6">
        <f t="shared" si="17"/>
        <v>0.22120817036071272</v>
      </c>
      <c r="AK5" s="6">
        <f t="shared" si="18"/>
        <v>0.12168622338113863</v>
      </c>
      <c r="AL5" s="6">
        <f t="shared" si="19"/>
        <v>0.12168622338113863</v>
      </c>
      <c r="AO5" s="7" t="s">
        <v>2</v>
      </c>
      <c r="AP5" s="7" t="s">
        <v>20</v>
      </c>
    </row>
    <row r="6" spans="1:42" ht="18.75" x14ac:dyDescent="0.3">
      <c r="A6">
        <v>1906</v>
      </c>
      <c r="B6">
        <v>0</v>
      </c>
      <c r="C6">
        <v>1.88</v>
      </c>
      <c r="D6">
        <v>5.94</v>
      </c>
      <c r="E6">
        <v>8.39</v>
      </c>
      <c r="F6">
        <v>16.279999999999902</v>
      </c>
      <c r="G6" s="26">
        <v>9.6</v>
      </c>
      <c r="H6" s="26">
        <v>1.72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7.15</v>
      </c>
      <c r="P6">
        <f t="shared" si="1"/>
        <v>11.32</v>
      </c>
      <c r="Q6" s="26">
        <f t="shared" si="2"/>
        <v>0</v>
      </c>
      <c r="R6">
        <f t="shared" si="3"/>
        <v>7.15</v>
      </c>
      <c r="U6" s="1">
        <v>1906</v>
      </c>
      <c r="V6" s="2">
        <v>50.98</v>
      </c>
      <c r="W6" s="5">
        <f t="shared" si="4"/>
        <v>3.6877206747744216E-2</v>
      </c>
      <c r="X6" s="5">
        <f t="shared" si="5"/>
        <v>0.11651628089446843</v>
      </c>
      <c r="Y6" s="5">
        <f t="shared" si="6"/>
        <v>0.16457434287956063</v>
      </c>
      <c r="Z6" s="5">
        <f t="shared" si="7"/>
        <v>0.31934091800705966</v>
      </c>
      <c r="AA6" s="5">
        <f t="shared" si="8"/>
        <v>0.18830914083954492</v>
      </c>
      <c r="AB6" s="5">
        <f t="shared" si="9"/>
        <v>3.3738721067085135E-2</v>
      </c>
      <c r="AC6" s="5">
        <f t="shared" si="10"/>
        <v>0</v>
      </c>
      <c r="AD6" s="5">
        <f t="shared" si="11"/>
        <v>0</v>
      </c>
      <c r="AE6" s="5">
        <f t="shared" si="12"/>
        <v>0</v>
      </c>
      <c r="AF6" s="5">
        <f t="shared" si="13"/>
        <v>0</v>
      </c>
      <c r="AG6" s="5">
        <f t="shared" si="14"/>
        <v>0</v>
      </c>
      <c r="AH6" s="5">
        <f t="shared" si="15"/>
        <v>0</v>
      </c>
      <c r="AI6" s="5">
        <f t="shared" si="16"/>
        <v>0.14025107885445273</v>
      </c>
      <c r="AJ6" s="6">
        <f t="shared" si="17"/>
        <v>0.22204786190663006</v>
      </c>
      <c r="AK6" s="6">
        <f t="shared" si="18"/>
        <v>0</v>
      </c>
      <c r="AL6" s="6">
        <f t="shared" si="19"/>
        <v>0.14025107885445273</v>
      </c>
      <c r="AO6" s="7" t="s">
        <v>3</v>
      </c>
      <c r="AP6" s="7" t="s">
        <v>21</v>
      </c>
    </row>
    <row r="7" spans="1:42" ht="18.75" x14ac:dyDescent="0.3">
      <c r="A7">
        <v>1907</v>
      </c>
      <c r="B7">
        <v>0</v>
      </c>
      <c r="C7">
        <v>1.73</v>
      </c>
      <c r="D7">
        <v>5.92</v>
      </c>
      <c r="E7">
        <v>8.5699999999999896</v>
      </c>
      <c r="F7">
        <v>18.849999999999898</v>
      </c>
      <c r="G7" s="26">
        <v>7.51</v>
      </c>
      <c r="H7" s="26">
        <v>9.84</v>
      </c>
      <c r="I7" s="26">
        <v>0</v>
      </c>
      <c r="J7" s="26">
        <v>5.54</v>
      </c>
      <c r="K7" s="26">
        <v>0</v>
      </c>
      <c r="L7" s="26">
        <v>0</v>
      </c>
      <c r="M7" s="26">
        <v>0</v>
      </c>
      <c r="N7" s="26">
        <v>0</v>
      </c>
      <c r="O7" s="26">
        <v>0</v>
      </c>
      <c r="P7">
        <f t="shared" si="1"/>
        <v>17.350000000000001</v>
      </c>
      <c r="Q7" s="26">
        <f t="shared" si="2"/>
        <v>5.54</v>
      </c>
      <c r="R7">
        <f t="shared" si="3"/>
        <v>5.54</v>
      </c>
      <c r="U7" s="3">
        <v>1907</v>
      </c>
      <c r="V7" s="4">
        <v>58</v>
      </c>
      <c r="W7" s="5">
        <f t="shared" si="4"/>
        <v>2.9827586206896552E-2</v>
      </c>
      <c r="X7" s="5">
        <f t="shared" si="5"/>
        <v>0.10206896551724137</v>
      </c>
      <c r="Y7" s="5">
        <f t="shared" si="6"/>
        <v>0.14775862068965501</v>
      </c>
      <c r="Z7" s="5">
        <f t="shared" si="7"/>
        <v>0.32499999999999823</v>
      </c>
      <c r="AA7" s="5">
        <f t="shared" si="8"/>
        <v>0.12948275862068964</v>
      </c>
      <c r="AB7" s="5">
        <f t="shared" si="9"/>
        <v>0.1696551724137931</v>
      </c>
      <c r="AC7" s="5">
        <f t="shared" si="10"/>
        <v>0</v>
      </c>
      <c r="AD7" s="5">
        <f t="shared" si="11"/>
        <v>9.551724137931035E-2</v>
      </c>
      <c r="AE7" s="5">
        <f t="shared" si="12"/>
        <v>0</v>
      </c>
      <c r="AF7" s="5">
        <f t="shared" si="13"/>
        <v>0</v>
      </c>
      <c r="AG7" s="5">
        <f t="shared" si="14"/>
        <v>0</v>
      </c>
      <c r="AH7" s="5">
        <f t="shared" si="15"/>
        <v>0</v>
      </c>
      <c r="AI7" s="5">
        <f t="shared" si="16"/>
        <v>0</v>
      </c>
      <c r="AJ7" s="6">
        <f t="shared" si="17"/>
        <v>0.29913793103448272</v>
      </c>
      <c r="AK7" s="6">
        <f t="shared" si="18"/>
        <v>9.551724137931035E-2</v>
      </c>
      <c r="AL7" s="6">
        <f t="shared" si="19"/>
        <v>9.551724137931035E-2</v>
      </c>
      <c r="AO7" s="7" t="s">
        <v>4</v>
      </c>
      <c r="AP7" s="7" t="s">
        <v>22</v>
      </c>
    </row>
    <row r="8" spans="1:42" ht="18.75" x14ac:dyDescent="0.3">
      <c r="A8">
        <v>1908</v>
      </c>
      <c r="B8">
        <v>0</v>
      </c>
      <c r="C8">
        <v>1.82</v>
      </c>
      <c r="D8">
        <v>4.3600000000000003</v>
      </c>
      <c r="E8">
        <v>8.25</v>
      </c>
      <c r="F8">
        <v>6.35</v>
      </c>
      <c r="G8" s="26">
        <v>7.4499999999999904</v>
      </c>
      <c r="H8" s="26">
        <v>13.66</v>
      </c>
      <c r="I8" s="26">
        <v>2.0099999999999998</v>
      </c>
      <c r="J8" s="26">
        <v>2.86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>
        <f t="shared" si="1"/>
        <v>21.109999999999992</v>
      </c>
      <c r="Q8" s="26">
        <f t="shared" si="2"/>
        <v>4.8699999999999992</v>
      </c>
      <c r="R8">
        <f t="shared" si="3"/>
        <v>4.8699999999999992</v>
      </c>
      <c r="U8" s="1">
        <v>1908</v>
      </c>
      <c r="V8" s="2">
        <v>46.84</v>
      </c>
      <c r="W8" s="5">
        <f t="shared" si="4"/>
        <v>3.8855678906917164E-2</v>
      </c>
      <c r="X8" s="5">
        <f t="shared" si="5"/>
        <v>9.308283518360376E-2</v>
      </c>
      <c r="Y8" s="5">
        <f t="shared" si="6"/>
        <v>0.17613151152860801</v>
      </c>
      <c r="Z8" s="5">
        <f t="shared" si="7"/>
        <v>0.13556789069171646</v>
      </c>
      <c r="AA8" s="5">
        <f t="shared" si="8"/>
        <v>0.15905209222886399</v>
      </c>
      <c r="AB8" s="5">
        <f t="shared" si="9"/>
        <v>0.29163108454312553</v>
      </c>
      <c r="AC8" s="5">
        <f t="shared" si="10"/>
        <v>4.2912040990606311E-2</v>
      </c>
      <c r="AD8" s="5">
        <f t="shared" si="11"/>
        <v>6.1058923996584108E-2</v>
      </c>
      <c r="AE8" s="5">
        <f t="shared" si="12"/>
        <v>0</v>
      </c>
      <c r="AF8" s="5">
        <f t="shared" si="13"/>
        <v>0</v>
      </c>
      <c r="AG8" s="5">
        <f t="shared" si="14"/>
        <v>0</v>
      </c>
      <c r="AH8" s="5">
        <f t="shared" si="15"/>
        <v>0</v>
      </c>
      <c r="AI8" s="5">
        <f t="shared" si="16"/>
        <v>0</v>
      </c>
      <c r="AJ8" s="6">
        <f t="shared" si="17"/>
        <v>0.45068317677198955</v>
      </c>
      <c r="AK8" s="6">
        <f t="shared" si="18"/>
        <v>0.10397096498719041</v>
      </c>
      <c r="AL8" s="6">
        <f t="shared" si="19"/>
        <v>0.10397096498719041</v>
      </c>
      <c r="AO8" s="7" t="s">
        <v>23</v>
      </c>
      <c r="AP8" s="7" t="s">
        <v>37</v>
      </c>
    </row>
    <row r="9" spans="1:42" ht="18.75" x14ac:dyDescent="0.3">
      <c r="A9">
        <v>1909</v>
      </c>
      <c r="B9">
        <v>0</v>
      </c>
      <c r="C9">
        <v>1.82</v>
      </c>
      <c r="D9">
        <v>4.2699999999999996</v>
      </c>
      <c r="E9">
        <v>10.36</v>
      </c>
      <c r="F9">
        <v>6.45</v>
      </c>
      <c r="G9" s="26">
        <v>6.14</v>
      </c>
      <c r="H9" s="26">
        <v>6.68</v>
      </c>
      <c r="I9" s="26">
        <v>2.15</v>
      </c>
      <c r="J9" s="26">
        <v>2.7</v>
      </c>
      <c r="K9" s="26">
        <v>0</v>
      </c>
      <c r="L9" s="26">
        <v>0</v>
      </c>
      <c r="M9" s="26">
        <v>0</v>
      </c>
      <c r="N9" s="26">
        <v>0</v>
      </c>
      <c r="O9" s="26">
        <v>0</v>
      </c>
      <c r="P9">
        <f t="shared" si="1"/>
        <v>12.82</v>
      </c>
      <c r="Q9" s="26">
        <f t="shared" si="2"/>
        <v>4.8499999999999996</v>
      </c>
      <c r="R9">
        <f t="shared" si="3"/>
        <v>4.8499999999999996</v>
      </c>
      <c r="U9" s="3">
        <v>1909</v>
      </c>
      <c r="V9" s="4">
        <v>40.67</v>
      </c>
      <c r="W9" s="5">
        <f t="shared" si="4"/>
        <v>4.4750430292598967E-2</v>
      </c>
      <c r="X9" s="5">
        <f t="shared" si="5"/>
        <v>0.10499139414802064</v>
      </c>
      <c r="Y9" s="5">
        <f t="shared" si="6"/>
        <v>0.25473321858864023</v>
      </c>
      <c r="Z9" s="5">
        <f t="shared" si="7"/>
        <v>0.15859355790508975</v>
      </c>
      <c r="AA9" s="5">
        <f t="shared" si="8"/>
        <v>0.15097123186624045</v>
      </c>
      <c r="AB9" s="5">
        <f t="shared" si="9"/>
        <v>0.16424883206294566</v>
      </c>
      <c r="AC9" s="5">
        <f t="shared" si="10"/>
        <v>5.2864519301696576E-2</v>
      </c>
      <c r="AD9" s="5">
        <f t="shared" si="11"/>
        <v>6.6388000983525944E-2</v>
      </c>
      <c r="AE9" s="5">
        <f t="shared" si="12"/>
        <v>0</v>
      </c>
      <c r="AF9" s="5">
        <f t="shared" si="13"/>
        <v>0</v>
      </c>
      <c r="AG9" s="5">
        <f t="shared" si="14"/>
        <v>0</v>
      </c>
      <c r="AH9" s="5">
        <f t="shared" si="15"/>
        <v>0</v>
      </c>
      <c r="AI9" s="5">
        <f t="shared" si="16"/>
        <v>0</v>
      </c>
      <c r="AJ9" s="6">
        <f t="shared" si="17"/>
        <v>0.31522006392918611</v>
      </c>
      <c r="AK9" s="6">
        <f t="shared" si="18"/>
        <v>0.11925252028522251</v>
      </c>
      <c r="AL9" s="6">
        <f t="shared" si="19"/>
        <v>0.11925252028522251</v>
      </c>
      <c r="AO9" s="7" t="s">
        <v>25</v>
      </c>
      <c r="AP9" s="7" t="s">
        <v>38</v>
      </c>
    </row>
    <row r="10" spans="1:42" ht="18.75" x14ac:dyDescent="0.3">
      <c r="A10">
        <v>1910</v>
      </c>
      <c r="B10">
        <v>0</v>
      </c>
      <c r="C10">
        <v>1.28</v>
      </c>
      <c r="D10">
        <v>4.3</v>
      </c>
      <c r="E10">
        <v>9.25</v>
      </c>
      <c r="F10">
        <v>10.119999999999999</v>
      </c>
      <c r="G10" s="26">
        <v>9.18</v>
      </c>
      <c r="H10" s="26">
        <v>1.61</v>
      </c>
      <c r="I10" s="26">
        <v>2.0499999999999998</v>
      </c>
      <c r="J10" s="26">
        <v>0</v>
      </c>
      <c r="K10" s="26">
        <v>3.18</v>
      </c>
      <c r="L10" s="26">
        <v>0</v>
      </c>
      <c r="M10" s="26">
        <v>0</v>
      </c>
      <c r="N10" s="26">
        <v>0</v>
      </c>
      <c r="O10" s="26">
        <v>0</v>
      </c>
      <c r="P10">
        <f t="shared" si="1"/>
        <v>10.79</v>
      </c>
      <c r="Q10" s="26">
        <f t="shared" si="2"/>
        <v>5.23</v>
      </c>
      <c r="R10">
        <f t="shared" si="3"/>
        <v>5.23</v>
      </c>
      <c r="U10" s="1">
        <v>1910</v>
      </c>
      <c r="V10" s="2">
        <v>41.07</v>
      </c>
      <c r="W10" s="5">
        <f t="shared" si="4"/>
        <v>3.1166301436571706E-2</v>
      </c>
      <c r="X10" s="5">
        <f t="shared" si="5"/>
        <v>0.10469929388848308</v>
      </c>
      <c r="Y10" s="5">
        <f t="shared" si="6"/>
        <v>0.22522522522522523</v>
      </c>
      <c r="Z10" s="5">
        <f t="shared" si="7"/>
        <v>0.24640857073289504</v>
      </c>
      <c r="AA10" s="5">
        <f t="shared" si="8"/>
        <v>0.22352081811541269</v>
      </c>
      <c r="AB10" s="5">
        <f t="shared" si="9"/>
        <v>3.920136352568785E-2</v>
      </c>
      <c r="AC10" s="5">
        <f t="shared" si="10"/>
        <v>4.9914779644509369E-2</v>
      </c>
      <c r="AD10" s="5">
        <f t="shared" si="11"/>
        <v>0</v>
      </c>
      <c r="AE10" s="5">
        <f t="shared" si="12"/>
        <v>7.7428780131482841E-2</v>
      </c>
      <c r="AF10" s="5">
        <f t="shared" si="13"/>
        <v>0</v>
      </c>
      <c r="AG10" s="5">
        <f t="shared" si="14"/>
        <v>0</v>
      </c>
      <c r="AH10" s="5">
        <f t="shared" si="15"/>
        <v>0</v>
      </c>
      <c r="AI10" s="5">
        <f t="shared" si="16"/>
        <v>0</v>
      </c>
      <c r="AJ10" s="6">
        <f t="shared" si="17"/>
        <v>0.26272218164110056</v>
      </c>
      <c r="AK10" s="6">
        <f t="shared" si="18"/>
        <v>0.12734355977599221</v>
      </c>
      <c r="AL10" s="6">
        <f t="shared" si="19"/>
        <v>0.12734355977599221</v>
      </c>
      <c r="AO10" s="7"/>
      <c r="AP10" s="7"/>
    </row>
    <row r="11" spans="1:42" ht="18.75" x14ac:dyDescent="0.3">
      <c r="A11">
        <v>1911</v>
      </c>
      <c r="B11">
        <v>0</v>
      </c>
      <c r="C11">
        <v>1.76</v>
      </c>
      <c r="D11">
        <v>3.86</v>
      </c>
      <c r="E11">
        <v>11.07</v>
      </c>
      <c r="F11">
        <v>15.22</v>
      </c>
      <c r="G11" s="26">
        <v>9.4600000000000009</v>
      </c>
      <c r="H11" s="26">
        <v>4.97</v>
      </c>
      <c r="I11" s="26">
        <v>8.93</v>
      </c>
      <c r="J11" s="26">
        <v>0</v>
      </c>
      <c r="K11" s="26">
        <v>3.39</v>
      </c>
      <c r="L11" s="26">
        <v>0</v>
      </c>
      <c r="M11" s="26">
        <v>0</v>
      </c>
      <c r="N11" s="26">
        <v>0</v>
      </c>
      <c r="O11" s="26">
        <v>0</v>
      </c>
      <c r="P11">
        <f t="shared" si="1"/>
        <v>14.43</v>
      </c>
      <c r="Q11" s="26">
        <f t="shared" si="2"/>
        <v>12.32</v>
      </c>
      <c r="R11">
        <f t="shared" si="3"/>
        <v>12.32</v>
      </c>
      <c r="U11" s="3">
        <v>1911</v>
      </c>
      <c r="V11" s="4">
        <v>58.67</v>
      </c>
      <c r="W11" s="5">
        <f t="shared" si="4"/>
        <v>2.9998295551389127E-2</v>
      </c>
      <c r="X11" s="5">
        <f t="shared" si="5"/>
        <v>6.5791716379751147E-2</v>
      </c>
      <c r="Y11" s="5">
        <f t="shared" si="6"/>
        <v>0.18868246122379409</v>
      </c>
      <c r="Z11" s="5">
        <f t="shared" si="7"/>
        <v>0.25941707857508095</v>
      </c>
      <c r="AA11" s="5">
        <f t="shared" si="8"/>
        <v>0.16124083858871657</v>
      </c>
      <c r="AB11" s="5">
        <f t="shared" si="9"/>
        <v>8.4711095960456784E-2</v>
      </c>
      <c r="AC11" s="5">
        <f t="shared" si="10"/>
        <v>0.15220726095108231</v>
      </c>
      <c r="AD11" s="5">
        <f t="shared" si="11"/>
        <v>0</v>
      </c>
      <c r="AE11" s="5">
        <f t="shared" si="12"/>
        <v>5.7780807908641554E-2</v>
      </c>
      <c r="AF11" s="5">
        <f t="shared" si="13"/>
        <v>0</v>
      </c>
      <c r="AG11" s="5">
        <f t="shared" si="14"/>
        <v>0</v>
      </c>
      <c r="AH11" s="5">
        <f t="shared" si="15"/>
        <v>0</v>
      </c>
      <c r="AI11" s="5">
        <f t="shared" si="16"/>
        <v>0</v>
      </c>
      <c r="AJ11" s="6">
        <f t="shared" si="17"/>
        <v>0.24595193454917336</v>
      </c>
      <c r="AK11" s="6">
        <f t="shared" si="18"/>
        <v>0.20998806885972388</v>
      </c>
      <c r="AL11" s="6">
        <f t="shared" si="19"/>
        <v>0.20998806885972388</v>
      </c>
      <c r="AO11" s="7"/>
      <c r="AP11" s="7"/>
    </row>
    <row r="12" spans="1:42" ht="18.75" x14ac:dyDescent="0.3">
      <c r="A12">
        <v>1912</v>
      </c>
      <c r="B12">
        <v>0</v>
      </c>
      <c r="C12">
        <v>1.75</v>
      </c>
      <c r="D12">
        <v>3.9</v>
      </c>
      <c r="E12">
        <v>6.6</v>
      </c>
      <c r="F12">
        <v>14.659999999999901</v>
      </c>
      <c r="G12" s="26">
        <v>11.44</v>
      </c>
      <c r="H12" s="26">
        <v>10.45</v>
      </c>
      <c r="I12" s="26">
        <v>2.13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>
        <f t="shared" si="1"/>
        <v>21.89</v>
      </c>
      <c r="Q12" s="26">
        <f t="shared" si="2"/>
        <v>2.13</v>
      </c>
      <c r="R12">
        <f t="shared" si="3"/>
        <v>2.13</v>
      </c>
      <c r="U12" s="1">
        <v>1912</v>
      </c>
      <c r="V12" s="2">
        <v>50.96</v>
      </c>
      <c r="W12" s="5">
        <f t="shared" si="4"/>
        <v>3.4340659340659337E-2</v>
      </c>
      <c r="X12" s="5">
        <f t="shared" si="5"/>
        <v>7.6530612244897961E-2</v>
      </c>
      <c r="Y12" s="5">
        <f t="shared" si="6"/>
        <v>0.12951334379905807</v>
      </c>
      <c r="Z12" s="5">
        <f t="shared" si="7"/>
        <v>0.28767660910517856</v>
      </c>
      <c r="AA12" s="5">
        <f t="shared" si="8"/>
        <v>0.22448979591836735</v>
      </c>
      <c r="AB12" s="5">
        <f t="shared" si="9"/>
        <v>0.2050627943485086</v>
      </c>
      <c r="AC12" s="5">
        <f t="shared" si="10"/>
        <v>4.1797488226059651E-2</v>
      </c>
      <c r="AD12" s="5">
        <f t="shared" si="11"/>
        <v>0</v>
      </c>
      <c r="AE12" s="5">
        <f t="shared" si="12"/>
        <v>0</v>
      </c>
      <c r="AF12" s="5">
        <f t="shared" si="13"/>
        <v>0</v>
      </c>
      <c r="AG12" s="5">
        <f t="shared" si="14"/>
        <v>0</v>
      </c>
      <c r="AH12" s="5">
        <f t="shared" si="15"/>
        <v>0</v>
      </c>
      <c r="AI12" s="5">
        <f t="shared" si="16"/>
        <v>0</v>
      </c>
      <c r="AJ12" s="6">
        <f t="shared" si="17"/>
        <v>0.42955259026687598</v>
      </c>
      <c r="AK12" s="6">
        <f t="shared" si="18"/>
        <v>4.1797488226059651E-2</v>
      </c>
      <c r="AL12" s="6">
        <f t="shared" si="19"/>
        <v>4.1797488226059651E-2</v>
      </c>
      <c r="AO12" s="7"/>
      <c r="AP12" s="7"/>
    </row>
    <row r="13" spans="1:42" ht="18.75" x14ac:dyDescent="0.3">
      <c r="A13">
        <v>1913</v>
      </c>
      <c r="B13">
        <v>0</v>
      </c>
      <c r="C13">
        <v>2.54</v>
      </c>
      <c r="D13">
        <v>5.46</v>
      </c>
      <c r="E13">
        <v>5.2399999999999904</v>
      </c>
      <c r="F13">
        <v>15.58</v>
      </c>
      <c r="G13" s="26">
        <v>10.18</v>
      </c>
      <c r="H13" s="26">
        <v>1.98</v>
      </c>
      <c r="I13" s="26">
        <v>4.5199999999999996</v>
      </c>
      <c r="J13" s="26">
        <v>0</v>
      </c>
      <c r="K13" s="26">
        <v>0</v>
      </c>
      <c r="L13" s="26">
        <v>0</v>
      </c>
      <c r="M13" s="26">
        <v>0</v>
      </c>
      <c r="N13" s="26">
        <v>0</v>
      </c>
      <c r="O13" s="26">
        <v>0</v>
      </c>
      <c r="P13">
        <f t="shared" si="1"/>
        <v>12.16</v>
      </c>
      <c r="Q13" s="26">
        <f t="shared" si="2"/>
        <v>4.5199999999999996</v>
      </c>
      <c r="R13">
        <f t="shared" si="3"/>
        <v>4.5199999999999996</v>
      </c>
      <c r="U13" s="3">
        <v>1913</v>
      </c>
      <c r="V13" s="4">
        <v>45.56</v>
      </c>
      <c r="W13" s="5">
        <f t="shared" ref="W13:W76" si="20">C13/$V13</f>
        <v>5.5750658472344158E-2</v>
      </c>
      <c r="X13" s="5">
        <f t="shared" ref="X13:X76" si="21">D13/$V13</f>
        <v>0.11984196663740122</v>
      </c>
      <c r="Y13" s="5">
        <f t="shared" ref="Y13:Y76" si="22">E13/$V13</f>
        <v>0.11501316944688302</v>
      </c>
      <c r="Z13" s="5">
        <f t="shared" ref="Z13:Z76" si="23">F13/$V13</f>
        <v>0.34196663740122912</v>
      </c>
      <c r="AA13" s="5">
        <f t="shared" ref="AA13:AA76" si="24">G13/$V13</f>
        <v>0.22344161545215099</v>
      </c>
      <c r="AB13" s="5">
        <f t="shared" ref="AB13:AB76" si="25">H13/$V13</f>
        <v>4.3459174714661979E-2</v>
      </c>
      <c r="AC13" s="5">
        <f t="shared" ref="AC13:AC76" si="26">I13/$V13</f>
        <v>9.920983318700613E-2</v>
      </c>
      <c r="AD13" s="5">
        <f t="shared" ref="AD13:AD76" si="27">J13/$V13</f>
        <v>0</v>
      </c>
      <c r="AE13" s="5">
        <f t="shared" ref="AE13:AE76" si="28">K13/$V13</f>
        <v>0</v>
      </c>
      <c r="AF13" s="5">
        <f t="shared" ref="AF13:AF76" si="29">L13/$V13</f>
        <v>0</v>
      </c>
      <c r="AG13" s="5">
        <f t="shared" ref="AG13:AG76" si="30">M13/$V13</f>
        <v>0</v>
      </c>
      <c r="AH13" s="5">
        <f t="shared" ref="AH13:AH76" si="31">N13/$V13</f>
        <v>0</v>
      </c>
      <c r="AI13" s="5">
        <f t="shared" ref="AI13:AI76" si="32">O13/$V13</f>
        <v>0</v>
      </c>
      <c r="AJ13" s="6">
        <f t="shared" si="17"/>
        <v>0.26690079016681295</v>
      </c>
      <c r="AK13" s="6">
        <f t="shared" si="18"/>
        <v>9.920983318700613E-2</v>
      </c>
      <c r="AL13" s="6">
        <f t="shared" si="19"/>
        <v>9.920983318700613E-2</v>
      </c>
      <c r="AO13" s="7"/>
      <c r="AP13" s="7"/>
    </row>
    <row r="14" spans="1:42" ht="18.75" x14ac:dyDescent="0.3">
      <c r="A14">
        <v>1914</v>
      </c>
      <c r="B14">
        <v>0</v>
      </c>
      <c r="C14">
        <v>2.0499999999999998</v>
      </c>
      <c r="D14">
        <v>3.43</v>
      </c>
      <c r="E14">
        <v>7.72</v>
      </c>
      <c r="F14">
        <v>14.299999999999899</v>
      </c>
      <c r="G14" s="26">
        <v>4.71</v>
      </c>
      <c r="H14" s="26">
        <v>5.0199999999999996</v>
      </c>
      <c r="I14" s="26">
        <v>0</v>
      </c>
      <c r="J14" s="26">
        <v>2.61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>
        <f t="shared" si="1"/>
        <v>9.73</v>
      </c>
      <c r="Q14" s="26">
        <f t="shared" si="2"/>
        <v>2.61</v>
      </c>
      <c r="R14">
        <f t="shared" si="3"/>
        <v>2.61</v>
      </c>
      <c r="U14" s="1">
        <v>1914</v>
      </c>
      <c r="V14" s="2">
        <v>39.96</v>
      </c>
      <c r="W14" s="5">
        <f t="shared" si="20"/>
        <v>5.1301301301301297E-2</v>
      </c>
      <c r="X14" s="5">
        <f t="shared" si="21"/>
        <v>8.5835835835835844E-2</v>
      </c>
      <c r="Y14" s="5">
        <f t="shared" si="22"/>
        <v>0.1931931931931932</v>
      </c>
      <c r="Z14" s="5">
        <f t="shared" si="23"/>
        <v>0.35785785785785534</v>
      </c>
      <c r="AA14" s="5">
        <f t="shared" si="24"/>
        <v>0.11786786786786786</v>
      </c>
      <c r="AB14" s="5">
        <f t="shared" si="25"/>
        <v>0.12562562562562563</v>
      </c>
      <c r="AC14" s="5">
        <f t="shared" si="26"/>
        <v>0</v>
      </c>
      <c r="AD14" s="5">
        <f t="shared" si="27"/>
        <v>6.5315315315315314E-2</v>
      </c>
      <c r="AE14" s="5">
        <f t="shared" si="28"/>
        <v>0</v>
      </c>
      <c r="AF14" s="5">
        <f t="shared" si="29"/>
        <v>0</v>
      </c>
      <c r="AG14" s="5">
        <f t="shared" si="30"/>
        <v>0</v>
      </c>
      <c r="AH14" s="5">
        <f t="shared" si="31"/>
        <v>0</v>
      </c>
      <c r="AI14" s="5">
        <f t="shared" si="32"/>
        <v>0</v>
      </c>
      <c r="AJ14" s="6">
        <f t="shared" si="17"/>
        <v>0.24349349349349347</v>
      </c>
      <c r="AK14" s="6">
        <f t="shared" si="18"/>
        <v>6.5315315315315314E-2</v>
      </c>
      <c r="AL14" s="6">
        <f t="shared" si="19"/>
        <v>6.5315315315315314E-2</v>
      </c>
      <c r="AO14" s="7"/>
      <c r="AP14" s="7"/>
    </row>
    <row r="15" spans="1:42" ht="18.75" x14ac:dyDescent="0.3">
      <c r="A15">
        <v>1915</v>
      </c>
      <c r="B15">
        <v>0</v>
      </c>
      <c r="C15">
        <v>1.78</v>
      </c>
      <c r="D15">
        <v>3.64</v>
      </c>
      <c r="E15">
        <v>12.28</v>
      </c>
      <c r="F15">
        <v>13.54</v>
      </c>
      <c r="G15" s="26">
        <v>5</v>
      </c>
      <c r="H15" s="26">
        <v>3.73</v>
      </c>
      <c r="I15" s="26">
        <v>4.49</v>
      </c>
      <c r="J15" s="26">
        <v>0</v>
      </c>
      <c r="K15" s="26">
        <v>0</v>
      </c>
      <c r="L15" s="26">
        <v>4.3899999999999997</v>
      </c>
      <c r="M15" s="26">
        <v>0</v>
      </c>
      <c r="N15" s="26">
        <v>0</v>
      </c>
      <c r="O15" s="26">
        <v>0</v>
      </c>
      <c r="P15">
        <f t="shared" si="1"/>
        <v>8.73</v>
      </c>
      <c r="Q15" s="26">
        <f t="shared" si="2"/>
        <v>4.49</v>
      </c>
      <c r="R15">
        <f t="shared" si="3"/>
        <v>8.879999999999999</v>
      </c>
      <c r="U15" s="3">
        <v>1915</v>
      </c>
      <c r="V15" s="4">
        <v>48.89</v>
      </c>
      <c r="W15" s="5">
        <f t="shared" si="20"/>
        <v>3.6408263448557986E-2</v>
      </c>
      <c r="X15" s="5">
        <f t="shared" si="21"/>
        <v>7.4452853344242176E-2</v>
      </c>
      <c r="Y15" s="5">
        <f t="shared" si="22"/>
        <v>0.25117610963387194</v>
      </c>
      <c r="Z15" s="5">
        <f t="shared" si="23"/>
        <v>0.27694825117610961</v>
      </c>
      <c r="AA15" s="5">
        <f t="shared" si="24"/>
        <v>0.1022704029453876</v>
      </c>
      <c r="AB15" s="5">
        <f t="shared" si="25"/>
        <v>7.6293720597259154E-2</v>
      </c>
      <c r="AC15" s="5">
        <f t="shared" si="26"/>
        <v>9.1838821844958077E-2</v>
      </c>
      <c r="AD15" s="5">
        <f t="shared" si="27"/>
        <v>0</v>
      </c>
      <c r="AE15" s="5">
        <f t="shared" si="28"/>
        <v>0</v>
      </c>
      <c r="AF15" s="5">
        <f t="shared" si="29"/>
        <v>8.9793413786050311E-2</v>
      </c>
      <c r="AG15" s="5">
        <f t="shared" si="30"/>
        <v>0</v>
      </c>
      <c r="AH15" s="5">
        <f t="shared" si="31"/>
        <v>0</v>
      </c>
      <c r="AI15" s="5">
        <f t="shared" si="32"/>
        <v>0</v>
      </c>
      <c r="AJ15" s="6">
        <f t="shared" si="17"/>
        <v>0.17856412354264675</v>
      </c>
      <c r="AK15" s="6">
        <f t="shared" si="18"/>
        <v>9.1838821844958077E-2</v>
      </c>
      <c r="AL15" s="6">
        <f t="shared" si="19"/>
        <v>0.18163223563100839</v>
      </c>
      <c r="AO15" s="7"/>
      <c r="AP15" s="7"/>
    </row>
    <row r="16" spans="1:42" ht="18.75" x14ac:dyDescent="0.3">
      <c r="A16">
        <v>1916</v>
      </c>
      <c r="B16">
        <v>0</v>
      </c>
      <c r="C16">
        <v>2</v>
      </c>
      <c r="D16">
        <v>5.0999999999999996</v>
      </c>
      <c r="E16">
        <v>8.8499999999999908</v>
      </c>
      <c r="F16">
        <v>12.38</v>
      </c>
      <c r="G16" s="26">
        <v>7.07</v>
      </c>
      <c r="H16" s="26">
        <v>3.4</v>
      </c>
      <c r="I16" s="26">
        <v>2.04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>
        <f t="shared" si="1"/>
        <v>10.47</v>
      </c>
      <c r="Q16" s="26">
        <f t="shared" si="2"/>
        <v>2.04</v>
      </c>
      <c r="R16">
        <f t="shared" si="3"/>
        <v>2.04</v>
      </c>
      <c r="U16" s="1">
        <v>1916</v>
      </c>
      <c r="V16" s="2">
        <v>40.909999999999997</v>
      </c>
      <c r="W16" s="5">
        <f t="shared" si="20"/>
        <v>4.8887802493277933E-2</v>
      </c>
      <c r="X16" s="5">
        <f t="shared" si="21"/>
        <v>0.12466389635785871</v>
      </c>
      <c r="Y16" s="5">
        <f t="shared" si="22"/>
        <v>0.21632852603275463</v>
      </c>
      <c r="Z16" s="5">
        <f t="shared" si="23"/>
        <v>0.30261549743339039</v>
      </c>
      <c r="AA16" s="5">
        <f t="shared" si="24"/>
        <v>0.17281838181373749</v>
      </c>
      <c r="AB16" s="5">
        <f t="shared" si="25"/>
        <v>8.3109264238572483E-2</v>
      </c>
      <c r="AC16" s="5">
        <f t="shared" si="26"/>
        <v>4.9865558543143493E-2</v>
      </c>
      <c r="AD16" s="5">
        <f t="shared" si="27"/>
        <v>0</v>
      </c>
      <c r="AE16" s="5">
        <f t="shared" si="28"/>
        <v>0</v>
      </c>
      <c r="AF16" s="5">
        <f t="shared" si="29"/>
        <v>0</v>
      </c>
      <c r="AG16" s="5">
        <f t="shared" si="30"/>
        <v>0</v>
      </c>
      <c r="AH16" s="5">
        <f t="shared" si="31"/>
        <v>0</v>
      </c>
      <c r="AI16" s="5">
        <f t="shared" si="32"/>
        <v>0</v>
      </c>
      <c r="AJ16" s="6">
        <f t="shared" si="17"/>
        <v>0.25592764605231</v>
      </c>
      <c r="AK16" s="6">
        <f t="shared" si="18"/>
        <v>4.9865558543143493E-2</v>
      </c>
      <c r="AL16" s="6">
        <f t="shared" si="19"/>
        <v>4.9865558543143493E-2</v>
      </c>
      <c r="AO16" s="7"/>
      <c r="AP16" s="7"/>
    </row>
    <row r="17" spans="1:42" ht="18.75" x14ac:dyDescent="0.3">
      <c r="A17">
        <v>1917</v>
      </c>
      <c r="B17">
        <v>0</v>
      </c>
      <c r="C17">
        <v>1.55</v>
      </c>
      <c r="D17">
        <v>4.8</v>
      </c>
      <c r="E17">
        <v>10.44</v>
      </c>
      <c r="F17">
        <v>13.719999999999899</v>
      </c>
      <c r="G17" s="26">
        <v>7.66</v>
      </c>
      <c r="H17" s="26">
        <v>1.9</v>
      </c>
      <c r="I17" s="26">
        <v>4.3699999999999903</v>
      </c>
      <c r="J17" s="26">
        <v>2.8</v>
      </c>
      <c r="K17" s="26">
        <v>3.06</v>
      </c>
      <c r="L17" s="26">
        <v>0</v>
      </c>
      <c r="M17" s="26">
        <v>0</v>
      </c>
      <c r="N17" s="26">
        <v>0</v>
      </c>
      <c r="O17" s="26">
        <v>0</v>
      </c>
      <c r="P17">
        <f t="shared" si="1"/>
        <v>9.56</v>
      </c>
      <c r="Q17" s="26">
        <f t="shared" si="2"/>
        <v>10.22999999999999</v>
      </c>
      <c r="R17">
        <f t="shared" si="3"/>
        <v>10.22999999999999</v>
      </c>
      <c r="U17" s="3">
        <v>1917</v>
      </c>
      <c r="V17" s="4">
        <v>50.37</v>
      </c>
      <c r="W17" s="5">
        <f t="shared" si="20"/>
        <v>3.0772285090331548E-2</v>
      </c>
      <c r="X17" s="5">
        <f t="shared" si="21"/>
        <v>9.5294818344252533E-2</v>
      </c>
      <c r="Y17" s="5">
        <f t="shared" si="22"/>
        <v>0.20726622989874927</v>
      </c>
      <c r="Z17" s="5">
        <f t="shared" si="23"/>
        <v>0.27238435576731984</v>
      </c>
      <c r="AA17" s="5">
        <f t="shared" si="24"/>
        <v>0.15207464760770301</v>
      </c>
      <c r="AB17" s="5">
        <f t="shared" si="25"/>
        <v>3.7720865594599959E-2</v>
      </c>
      <c r="AC17" s="5">
        <f t="shared" si="26"/>
        <v>8.6757990867579723E-2</v>
      </c>
      <c r="AD17" s="5">
        <f t="shared" si="27"/>
        <v>5.558864403414731E-2</v>
      </c>
      <c r="AE17" s="5">
        <f t="shared" si="28"/>
        <v>6.0750446694460995E-2</v>
      </c>
      <c r="AF17" s="5">
        <f t="shared" si="29"/>
        <v>0</v>
      </c>
      <c r="AG17" s="5">
        <f t="shared" si="30"/>
        <v>0</v>
      </c>
      <c r="AH17" s="5">
        <f t="shared" si="31"/>
        <v>0</v>
      </c>
      <c r="AI17" s="5">
        <f t="shared" si="32"/>
        <v>0</v>
      </c>
      <c r="AJ17" s="6">
        <f t="shared" si="17"/>
        <v>0.18979551320230298</v>
      </c>
      <c r="AK17" s="6">
        <f t="shared" si="18"/>
        <v>0.20309708159618803</v>
      </c>
      <c r="AL17" s="6">
        <f t="shared" si="19"/>
        <v>0.20309708159618803</v>
      </c>
      <c r="AO17" s="7"/>
      <c r="AP17" s="7"/>
    </row>
    <row r="18" spans="1:42" x14ac:dyDescent="0.25">
      <c r="A18">
        <v>1918</v>
      </c>
      <c r="B18">
        <v>0</v>
      </c>
      <c r="C18">
        <v>2.46</v>
      </c>
      <c r="D18">
        <v>3.05</v>
      </c>
      <c r="E18">
        <v>9.3000000000000007</v>
      </c>
      <c r="F18">
        <v>10.050000000000001</v>
      </c>
      <c r="G18" s="26">
        <v>8.5299999999999994</v>
      </c>
      <c r="H18" s="26">
        <v>3.76</v>
      </c>
      <c r="I18" s="26">
        <v>0</v>
      </c>
      <c r="J18" s="26">
        <v>0</v>
      </c>
      <c r="K18" s="26">
        <v>3.92</v>
      </c>
      <c r="L18" s="26">
        <v>0</v>
      </c>
      <c r="M18" s="26">
        <v>0</v>
      </c>
      <c r="N18" s="26">
        <v>0</v>
      </c>
      <c r="O18" s="26">
        <v>0</v>
      </c>
      <c r="P18">
        <f t="shared" si="1"/>
        <v>12.29</v>
      </c>
      <c r="Q18" s="26">
        <f t="shared" si="2"/>
        <v>3.92</v>
      </c>
      <c r="R18">
        <f t="shared" si="3"/>
        <v>3.92</v>
      </c>
      <c r="U18" s="1">
        <v>1918</v>
      </c>
      <c r="V18" s="2">
        <v>41.13</v>
      </c>
      <c r="W18" s="5">
        <f t="shared" si="20"/>
        <v>5.9810357403355212E-2</v>
      </c>
      <c r="X18" s="5">
        <f t="shared" si="21"/>
        <v>7.4155117918794061E-2</v>
      </c>
      <c r="Y18" s="5">
        <f t="shared" si="22"/>
        <v>0.2261123267687819</v>
      </c>
      <c r="Z18" s="5">
        <f t="shared" si="23"/>
        <v>0.24434719183078046</v>
      </c>
      <c r="AA18" s="5">
        <f t="shared" si="24"/>
        <v>0.20739119863846339</v>
      </c>
      <c r="AB18" s="5">
        <f t="shared" si="25"/>
        <v>9.1417456844152672E-2</v>
      </c>
      <c r="AC18" s="5">
        <f t="shared" si="26"/>
        <v>0</v>
      </c>
      <c r="AD18" s="5">
        <f t="shared" si="27"/>
        <v>0</v>
      </c>
      <c r="AE18" s="5">
        <f t="shared" si="28"/>
        <v>9.5307561390712364E-2</v>
      </c>
      <c r="AF18" s="5">
        <f t="shared" si="29"/>
        <v>0</v>
      </c>
      <c r="AG18" s="5">
        <f t="shared" si="30"/>
        <v>0</v>
      </c>
      <c r="AH18" s="5">
        <f t="shared" si="31"/>
        <v>0</v>
      </c>
      <c r="AI18" s="5">
        <f t="shared" si="32"/>
        <v>0</v>
      </c>
      <c r="AJ18" s="6">
        <f t="shared" si="17"/>
        <v>0.29880865548261604</v>
      </c>
      <c r="AK18" s="6">
        <f t="shared" si="18"/>
        <v>9.5307561390712364E-2</v>
      </c>
      <c r="AL18" s="6">
        <f t="shared" si="19"/>
        <v>9.5307561390712364E-2</v>
      </c>
    </row>
    <row r="19" spans="1:42" x14ac:dyDescent="0.25">
      <c r="A19">
        <v>1919</v>
      </c>
      <c r="B19">
        <v>0</v>
      </c>
      <c r="C19">
        <v>1.97</v>
      </c>
      <c r="D19">
        <v>4.58</v>
      </c>
      <c r="E19">
        <v>9.19</v>
      </c>
      <c r="F19">
        <v>17.940000000000001</v>
      </c>
      <c r="G19" s="26">
        <v>6.08</v>
      </c>
      <c r="H19" s="26">
        <v>6.8199999999999896</v>
      </c>
      <c r="I19" s="26">
        <v>2.2400000000000002</v>
      </c>
      <c r="J19" s="26">
        <v>3</v>
      </c>
      <c r="K19" s="26">
        <v>0</v>
      </c>
      <c r="L19" s="26">
        <v>0</v>
      </c>
      <c r="M19" s="26">
        <v>0</v>
      </c>
      <c r="N19" s="26">
        <v>0</v>
      </c>
      <c r="O19" s="26">
        <v>0</v>
      </c>
      <c r="P19">
        <f t="shared" si="1"/>
        <v>12.89999999999999</v>
      </c>
      <c r="Q19" s="26">
        <f t="shared" si="2"/>
        <v>5.24</v>
      </c>
      <c r="R19">
        <f t="shared" si="3"/>
        <v>5.24</v>
      </c>
      <c r="U19" s="3">
        <v>1919</v>
      </c>
      <c r="V19" s="4">
        <v>51.91</v>
      </c>
      <c r="W19" s="5">
        <f t="shared" si="20"/>
        <v>3.79502985937199E-2</v>
      </c>
      <c r="X19" s="5">
        <f t="shared" si="21"/>
        <v>8.822962820265845E-2</v>
      </c>
      <c r="Y19" s="5">
        <f t="shared" si="22"/>
        <v>0.17703717973415528</v>
      </c>
      <c r="Z19" s="5">
        <f t="shared" si="23"/>
        <v>0.34559815064534777</v>
      </c>
      <c r="AA19" s="5">
        <f t="shared" si="24"/>
        <v>0.11712579464457716</v>
      </c>
      <c r="AB19" s="5">
        <f t="shared" si="25"/>
        <v>0.13138123675592353</v>
      </c>
      <c r="AC19" s="5">
        <f t="shared" si="26"/>
        <v>4.3151608553265275E-2</v>
      </c>
      <c r="AD19" s="5">
        <f t="shared" si="27"/>
        <v>5.7792332883837415E-2</v>
      </c>
      <c r="AE19" s="5">
        <f t="shared" si="28"/>
        <v>0</v>
      </c>
      <c r="AF19" s="5">
        <f t="shared" si="29"/>
        <v>0</v>
      </c>
      <c r="AG19" s="5">
        <f t="shared" si="30"/>
        <v>0</v>
      </c>
      <c r="AH19" s="5">
        <f t="shared" si="31"/>
        <v>0</v>
      </c>
      <c r="AI19" s="5">
        <f t="shared" si="32"/>
        <v>0</v>
      </c>
      <c r="AJ19" s="6">
        <f t="shared" si="17"/>
        <v>0.24850703140050068</v>
      </c>
      <c r="AK19" s="6">
        <f t="shared" si="18"/>
        <v>0.1009439414371027</v>
      </c>
      <c r="AL19" s="6">
        <f t="shared" si="19"/>
        <v>0.1009439414371027</v>
      </c>
    </row>
    <row r="20" spans="1:42" x14ac:dyDescent="0.25">
      <c r="A20">
        <v>1920</v>
      </c>
      <c r="B20">
        <v>0</v>
      </c>
      <c r="C20">
        <v>1.76</v>
      </c>
      <c r="D20">
        <v>5.69</v>
      </c>
      <c r="E20">
        <v>7.6399999999999899</v>
      </c>
      <c r="F20">
        <v>14.77</v>
      </c>
      <c r="G20" s="26">
        <v>13.6299999999999</v>
      </c>
      <c r="H20" s="26">
        <v>0</v>
      </c>
      <c r="I20" s="26">
        <v>0</v>
      </c>
      <c r="J20" s="26">
        <v>0</v>
      </c>
      <c r="K20" s="26">
        <v>6.82</v>
      </c>
      <c r="L20" s="26">
        <v>0</v>
      </c>
      <c r="M20" s="26">
        <v>0</v>
      </c>
      <c r="N20" s="26">
        <v>0</v>
      </c>
      <c r="O20" s="26">
        <v>0</v>
      </c>
      <c r="P20">
        <f t="shared" si="1"/>
        <v>13.6299999999999</v>
      </c>
      <c r="Q20" s="26">
        <f t="shared" si="2"/>
        <v>6.82</v>
      </c>
      <c r="R20">
        <f t="shared" si="3"/>
        <v>6.82</v>
      </c>
      <c r="U20" s="1">
        <v>1920</v>
      </c>
      <c r="V20" s="2">
        <v>50.45</v>
      </c>
      <c r="W20" s="5">
        <f t="shared" si="20"/>
        <v>3.4886025768087213E-2</v>
      </c>
      <c r="X20" s="5">
        <f t="shared" si="21"/>
        <v>0.11278493557978196</v>
      </c>
      <c r="Y20" s="5">
        <f t="shared" si="22"/>
        <v>0.15143706640237839</v>
      </c>
      <c r="Z20" s="5">
        <f t="shared" si="23"/>
        <v>0.29276511397423188</v>
      </c>
      <c r="AA20" s="5">
        <f t="shared" si="24"/>
        <v>0.27016848364717344</v>
      </c>
      <c r="AB20" s="5">
        <f t="shared" si="25"/>
        <v>0</v>
      </c>
      <c r="AC20" s="5">
        <f t="shared" si="26"/>
        <v>0</v>
      </c>
      <c r="AD20" s="5">
        <f t="shared" si="27"/>
        <v>0</v>
      </c>
      <c r="AE20" s="5">
        <f t="shared" si="28"/>
        <v>0.13518334985133795</v>
      </c>
      <c r="AF20" s="5">
        <f t="shared" si="29"/>
        <v>0</v>
      </c>
      <c r="AG20" s="5">
        <f t="shared" si="30"/>
        <v>0</v>
      </c>
      <c r="AH20" s="5">
        <f t="shared" si="31"/>
        <v>0</v>
      </c>
      <c r="AI20" s="5">
        <f t="shared" si="32"/>
        <v>0</v>
      </c>
      <c r="AJ20" s="6">
        <f t="shared" si="17"/>
        <v>0.27016848364717344</v>
      </c>
      <c r="AK20" s="6">
        <f t="shared" si="18"/>
        <v>0.13518334985133795</v>
      </c>
      <c r="AL20" s="6">
        <f t="shared" si="19"/>
        <v>0.13518334985133795</v>
      </c>
    </row>
    <row r="21" spans="1:42" x14ac:dyDescent="0.25">
      <c r="A21">
        <v>1921</v>
      </c>
      <c r="B21">
        <v>0</v>
      </c>
      <c r="C21">
        <v>2.48</v>
      </c>
      <c r="D21">
        <v>4.8</v>
      </c>
      <c r="E21">
        <v>9.19</v>
      </c>
      <c r="F21">
        <v>13.739999999999901</v>
      </c>
      <c r="G21" s="26">
        <v>3.87</v>
      </c>
      <c r="H21" s="26">
        <v>1.97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>
        <f t="shared" si="1"/>
        <v>5.84</v>
      </c>
      <c r="Q21" s="26">
        <f t="shared" si="2"/>
        <v>0</v>
      </c>
      <c r="R21">
        <f t="shared" si="3"/>
        <v>0</v>
      </c>
      <c r="U21" s="3">
        <v>1921</v>
      </c>
      <c r="V21" s="4">
        <v>36.14</v>
      </c>
      <c r="W21" s="5">
        <f t="shared" si="20"/>
        <v>6.8622025456557822E-2</v>
      </c>
      <c r="X21" s="5">
        <f t="shared" si="21"/>
        <v>0.13281682346430548</v>
      </c>
      <c r="Y21" s="5">
        <f t="shared" si="22"/>
        <v>0.25428887659103483</v>
      </c>
      <c r="Z21" s="5">
        <f t="shared" si="23"/>
        <v>0.38018815716657167</v>
      </c>
      <c r="AA21" s="5">
        <f t="shared" si="24"/>
        <v>0.1070835639180963</v>
      </c>
      <c r="AB21" s="5">
        <f t="shared" si="25"/>
        <v>5.4510237963475372E-2</v>
      </c>
      <c r="AC21" s="5">
        <f t="shared" si="26"/>
        <v>0</v>
      </c>
      <c r="AD21" s="5">
        <f t="shared" si="27"/>
        <v>0</v>
      </c>
      <c r="AE21" s="5">
        <f t="shared" si="28"/>
        <v>0</v>
      </c>
      <c r="AF21" s="5">
        <f t="shared" si="29"/>
        <v>0</v>
      </c>
      <c r="AG21" s="5">
        <f t="shared" si="30"/>
        <v>0</v>
      </c>
      <c r="AH21" s="5">
        <f t="shared" si="31"/>
        <v>0</v>
      </c>
      <c r="AI21" s="5">
        <f t="shared" si="32"/>
        <v>0</v>
      </c>
      <c r="AJ21" s="6">
        <f t="shared" si="17"/>
        <v>0.16159380188157169</v>
      </c>
      <c r="AK21" s="6">
        <f t="shared" si="18"/>
        <v>0</v>
      </c>
      <c r="AL21" s="6">
        <f t="shared" si="19"/>
        <v>0</v>
      </c>
    </row>
    <row r="22" spans="1:42" x14ac:dyDescent="0.25">
      <c r="A22">
        <v>1922</v>
      </c>
      <c r="B22">
        <v>0</v>
      </c>
      <c r="C22">
        <v>1.89</v>
      </c>
      <c r="D22">
        <v>5.69</v>
      </c>
      <c r="E22">
        <v>9.02</v>
      </c>
      <c r="F22">
        <v>14.28</v>
      </c>
      <c r="G22" s="26">
        <v>8.41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>
        <f t="shared" si="1"/>
        <v>8.41</v>
      </c>
      <c r="Q22" s="26">
        <f t="shared" si="2"/>
        <v>0</v>
      </c>
      <c r="R22">
        <f t="shared" si="3"/>
        <v>0</v>
      </c>
      <c r="U22" s="1">
        <v>1922</v>
      </c>
      <c r="V22" s="2">
        <v>39.369999999999997</v>
      </c>
      <c r="W22" s="5">
        <f t="shared" si="20"/>
        <v>4.8006096012192023E-2</v>
      </c>
      <c r="X22" s="5">
        <f t="shared" si="21"/>
        <v>0.14452628905257811</v>
      </c>
      <c r="Y22" s="5">
        <f t="shared" si="22"/>
        <v>0.22910845821691644</v>
      </c>
      <c r="Z22" s="5">
        <f t="shared" si="23"/>
        <v>0.36271272542545085</v>
      </c>
      <c r="AA22" s="5">
        <f t="shared" si="24"/>
        <v>0.21361442722885449</v>
      </c>
      <c r="AB22" s="5">
        <f t="shared" si="25"/>
        <v>0</v>
      </c>
      <c r="AC22" s="5">
        <f t="shared" si="26"/>
        <v>0</v>
      </c>
      <c r="AD22" s="5">
        <f t="shared" si="27"/>
        <v>0</v>
      </c>
      <c r="AE22" s="5">
        <f t="shared" si="28"/>
        <v>0</v>
      </c>
      <c r="AF22" s="5">
        <f t="shared" si="29"/>
        <v>0</v>
      </c>
      <c r="AG22" s="5">
        <f t="shared" si="30"/>
        <v>0</v>
      </c>
      <c r="AH22" s="5">
        <f t="shared" si="31"/>
        <v>0</v>
      </c>
      <c r="AI22" s="5">
        <f t="shared" si="32"/>
        <v>0</v>
      </c>
      <c r="AJ22" s="6">
        <f t="shared" si="17"/>
        <v>0.21361442722885449</v>
      </c>
      <c r="AK22" s="6">
        <f t="shared" si="18"/>
        <v>0</v>
      </c>
      <c r="AL22" s="6">
        <f t="shared" si="19"/>
        <v>0</v>
      </c>
    </row>
    <row r="23" spans="1:42" x14ac:dyDescent="0.25">
      <c r="A23">
        <v>1923</v>
      </c>
      <c r="B23">
        <v>0</v>
      </c>
      <c r="C23">
        <v>1.59</v>
      </c>
      <c r="D23">
        <v>3.73</v>
      </c>
      <c r="E23">
        <v>9.9</v>
      </c>
      <c r="F23">
        <v>10.5299999999999</v>
      </c>
      <c r="G23" s="26">
        <v>14.04</v>
      </c>
      <c r="H23" s="26">
        <v>1.65</v>
      </c>
      <c r="I23" s="26">
        <v>0</v>
      </c>
      <c r="J23" s="26">
        <v>2.78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>
        <f t="shared" si="1"/>
        <v>15.69</v>
      </c>
      <c r="Q23" s="26">
        <f t="shared" si="2"/>
        <v>2.78</v>
      </c>
      <c r="R23">
        <f t="shared" si="3"/>
        <v>2.78</v>
      </c>
      <c r="U23" s="3">
        <v>1923</v>
      </c>
      <c r="V23" s="4">
        <v>44.28</v>
      </c>
      <c r="W23" s="5">
        <f t="shared" si="20"/>
        <v>3.5907859078590787E-2</v>
      </c>
      <c r="X23" s="5">
        <f t="shared" si="21"/>
        <v>8.423667570009033E-2</v>
      </c>
      <c r="Y23" s="5">
        <f t="shared" si="22"/>
        <v>0.22357723577235772</v>
      </c>
      <c r="Z23" s="5">
        <f t="shared" si="23"/>
        <v>0.23780487804877823</v>
      </c>
      <c r="AA23" s="5">
        <f t="shared" si="24"/>
        <v>0.31707317073170727</v>
      </c>
      <c r="AB23" s="5">
        <f t="shared" si="25"/>
        <v>3.7262872628726282E-2</v>
      </c>
      <c r="AC23" s="5">
        <f t="shared" si="26"/>
        <v>0</v>
      </c>
      <c r="AD23" s="5">
        <f t="shared" si="27"/>
        <v>6.2782294489611562E-2</v>
      </c>
      <c r="AE23" s="5">
        <f t="shared" si="28"/>
        <v>0</v>
      </c>
      <c r="AF23" s="5">
        <f t="shared" si="29"/>
        <v>0</v>
      </c>
      <c r="AG23" s="5">
        <f t="shared" si="30"/>
        <v>0</v>
      </c>
      <c r="AH23" s="5">
        <f t="shared" si="31"/>
        <v>0</v>
      </c>
      <c r="AI23" s="5">
        <f t="shared" si="32"/>
        <v>0</v>
      </c>
      <c r="AJ23" s="6">
        <f t="shared" si="17"/>
        <v>0.35433604336043356</v>
      </c>
      <c r="AK23" s="6">
        <f t="shared" si="18"/>
        <v>6.2782294489611562E-2</v>
      </c>
      <c r="AL23" s="6">
        <f t="shared" si="19"/>
        <v>6.2782294489611562E-2</v>
      </c>
    </row>
    <row r="24" spans="1:42" x14ac:dyDescent="0.25">
      <c r="A24">
        <v>1924</v>
      </c>
      <c r="B24">
        <v>0</v>
      </c>
      <c r="C24">
        <v>1.22</v>
      </c>
      <c r="D24">
        <v>4.79</v>
      </c>
      <c r="E24">
        <v>8.9499999999999993</v>
      </c>
      <c r="F24">
        <v>9.77</v>
      </c>
      <c r="G24" s="26">
        <v>11.749999999999901</v>
      </c>
      <c r="H24" s="26">
        <v>7.26</v>
      </c>
      <c r="I24" s="26">
        <v>6.69</v>
      </c>
      <c r="J24" s="26">
        <v>2.73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>
        <f t="shared" si="1"/>
        <v>19.009999999999899</v>
      </c>
      <c r="Q24" s="26">
        <f t="shared" si="2"/>
        <v>9.42</v>
      </c>
      <c r="R24">
        <f t="shared" si="3"/>
        <v>9.42</v>
      </c>
      <c r="U24" s="1">
        <v>1924</v>
      </c>
      <c r="V24" s="2">
        <v>53.24</v>
      </c>
      <c r="W24" s="5">
        <f t="shared" si="20"/>
        <v>2.291510142749812E-2</v>
      </c>
      <c r="X24" s="5">
        <f t="shared" si="21"/>
        <v>8.9969947407963935E-2</v>
      </c>
      <c r="Y24" s="5">
        <f t="shared" si="22"/>
        <v>0.16810668670172801</v>
      </c>
      <c r="Z24" s="5">
        <f t="shared" si="23"/>
        <v>0.18350864012021034</v>
      </c>
      <c r="AA24" s="5">
        <f t="shared" si="24"/>
        <v>0.2206987227648366</v>
      </c>
      <c r="AB24" s="5">
        <f t="shared" si="25"/>
        <v>0.13636363636363635</v>
      </c>
      <c r="AC24" s="5">
        <f t="shared" si="26"/>
        <v>0.12565740045078888</v>
      </c>
      <c r="AD24" s="5">
        <f t="shared" si="27"/>
        <v>5.127723516153268E-2</v>
      </c>
      <c r="AE24" s="5">
        <f t="shared" si="28"/>
        <v>0</v>
      </c>
      <c r="AF24" s="5">
        <f t="shared" si="29"/>
        <v>0</v>
      </c>
      <c r="AG24" s="5">
        <f t="shared" si="30"/>
        <v>0</v>
      </c>
      <c r="AH24" s="5">
        <f t="shared" si="31"/>
        <v>0</v>
      </c>
      <c r="AI24" s="5">
        <f t="shared" si="32"/>
        <v>0</v>
      </c>
      <c r="AJ24" s="6">
        <f t="shared" si="17"/>
        <v>0.35706235912847295</v>
      </c>
      <c r="AK24" s="6">
        <f t="shared" si="18"/>
        <v>0.17693463561232156</v>
      </c>
      <c r="AL24" s="6">
        <f t="shared" si="19"/>
        <v>0.17693463561232156</v>
      </c>
    </row>
    <row r="25" spans="1:42" x14ac:dyDescent="0.25">
      <c r="A25">
        <v>1925</v>
      </c>
      <c r="B25">
        <v>0</v>
      </c>
      <c r="C25">
        <v>1.98</v>
      </c>
      <c r="D25">
        <v>3.98</v>
      </c>
      <c r="E25">
        <v>8.9299999999999908</v>
      </c>
      <c r="F25">
        <v>9.14</v>
      </c>
      <c r="G25" s="26">
        <v>7.08</v>
      </c>
      <c r="H25" s="26">
        <v>7.08</v>
      </c>
      <c r="I25" s="26">
        <v>0</v>
      </c>
      <c r="J25" s="26">
        <v>2.72</v>
      </c>
      <c r="K25" s="26">
        <v>3.98</v>
      </c>
      <c r="L25" s="26">
        <v>0</v>
      </c>
      <c r="M25" s="26">
        <v>0</v>
      </c>
      <c r="N25" s="26">
        <v>0</v>
      </c>
      <c r="O25" s="26">
        <v>0</v>
      </c>
      <c r="P25">
        <f t="shared" si="1"/>
        <v>14.16</v>
      </c>
      <c r="Q25" s="26">
        <f t="shared" si="2"/>
        <v>6.7</v>
      </c>
      <c r="R25">
        <f t="shared" si="3"/>
        <v>6.7</v>
      </c>
      <c r="U25" s="3">
        <v>1925</v>
      </c>
      <c r="V25" s="4">
        <v>44.91</v>
      </c>
      <c r="W25" s="5">
        <f t="shared" si="20"/>
        <v>4.4088176352705413E-2</v>
      </c>
      <c r="X25" s="5">
        <f t="shared" si="21"/>
        <v>8.8621687820084616E-2</v>
      </c>
      <c r="Y25" s="5">
        <f t="shared" si="22"/>
        <v>0.19884212870184795</v>
      </c>
      <c r="Z25" s="5">
        <f t="shared" si="23"/>
        <v>0.20351814740592297</v>
      </c>
      <c r="AA25" s="5">
        <f t="shared" si="24"/>
        <v>0.15764863059452239</v>
      </c>
      <c r="AB25" s="5">
        <f t="shared" si="25"/>
        <v>0.15764863059452239</v>
      </c>
      <c r="AC25" s="5">
        <f t="shared" si="26"/>
        <v>0</v>
      </c>
      <c r="AD25" s="5">
        <f t="shared" si="27"/>
        <v>6.0565575595635725E-2</v>
      </c>
      <c r="AE25" s="5">
        <f t="shared" si="28"/>
        <v>8.8621687820084616E-2</v>
      </c>
      <c r="AF25" s="5">
        <f t="shared" si="29"/>
        <v>0</v>
      </c>
      <c r="AG25" s="5">
        <f t="shared" si="30"/>
        <v>0</v>
      </c>
      <c r="AH25" s="5">
        <f t="shared" si="31"/>
        <v>0</v>
      </c>
      <c r="AI25" s="5">
        <f t="shared" si="32"/>
        <v>0</v>
      </c>
      <c r="AJ25" s="6">
        <f t="shared" si="17"/>
        <v>0.31529726118904478</v>
      </c>
      <c r="AK25" s="6">
        <f t="shared" si="18"/>
        <v>0.14918726341572033</v>
      </c>
      <c r="AL25" s="6">
        <f t="shared" si="19"/>
        <v>0.14918726341572033</v>
      </c>
    </row>
    <row r="26" spans="1:42" x14ac:dyDescent="0.25">
      <c r="A26">
        <v>1926</v>
      </c>
      <c r="B26">
        <v>0</v>
      </c>
      <c r="C26">
        <v>1.68</v>
      </c>
      <c r="D26">
        <v>4.03</v>
      </c>
      <c r="E26">
        <v>11.86</v>
      </c>
      <c r="F26">
        <v>18.68</v>
      </c>
      <c r="G26" s="26">
        <v>4.8899999999999997</v>
      </c>
      <c r="H26" s="26">
        <v>8.5099999999999891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>
        <f t="shared" si="1"/>
        <v>13.399999999999988</v>
      </c>
      <c r="Q26" s="26">
        <f t="shared" si="2"/>
        <v>0</v>
      </c>
      <c r="R26">
        <f t="shared" si="3"/>
        <v>0</v>
      </c>
      <c r="U26" s="1">
        <v>1926</v>
      </c>
      <c r="V26" s="2">
        <v>49.67</v>
      </c>
      <c r="W26" s="5">
        <f t="shared" si="20"/>
        <v>3.3823233340044292E-2</v>
      </c>
      <c r="X26" s="5">
        <f t="shared" si="21"/>
        <v>8.1135494262130056E-2</v>
      </c>
      <c r="Y26" s="5">
        <f t="shared" si="22"/>
        <v>0.23877592107912218</v>
      </c>
      <c r="Z26" s="5">
        <f t="shared" si="23"/>
        <v>0.37608214213811153</v>
      </c>
      <c r="AA26" s="5">
        <f t="shared" si="24"/>
        <v>9.8449768471914625E-2</v>
      </c>
      <c r="AB26" s="5">
        <f t="shared" si="25"/>
        <v>0.17133078316891462</v>
      </c>
      <c r="AC26" s="5">
        <f t="shared" si="26"/>
        <v>0</v>
      </c>
      <c r="AD26" s="5">
        <f t="shared" si="27"/>
        <v>0</v>
      </c>
      <c r="AE26" s="5">
        <f t="shared" si="28"/>
        <v>0</v>
      </c>
      <c r="AF26" s="5">
        <f t="shared" si="29"/>
        <v>0</v>
      </c>
      <c r="AG26" s="5">
        <f t="shared" si="30"/>
        <v>0</v>
      </c>
      <c r="AH26" s="5">
        <f t="shared" si="31"/>
        <v>0</v>
      </c>
      <c r="AI26" s="5">
        <f t="shared" si="32"/>
        <v>0</v>
      </c>
      <c r="AJ26" s="6">
        <f t="shared" si="17"/>
        <v>0.26978055164082926</v>
      </c>
      <c r="AK26" s="6">
        <f t="shared" si="18"/>
        <v>0</v>
      </c>
      <c r="AL26" s="6">
        <f t="shared" si="19"/>
        <v>0</v>
      </c>
    </row>
    <row r="27" spans="1:42" x14ac:dyDescent="0.25">
      <c r="A27">
        <v>1927</v>
      </c>
      <c r="B27">
        <v>0</v>
      </c>
      <c r="C27">
        <v>1.71</v>
      </c>
      <c r="D27">
        <v>4.87</v>
      </c>
      <c r="E27">
        <v>10.48</v>
      </c>
      <c r="F27">
        <v>11.059999999999899</v>
      </c>
      <c r="G27" s="26">
        <v>9.3199999999999896</v>
      </c>
      <c r="H27" s="26">
        <v>7.11</v>
      </c>
      <c r="I27" s="26">
        <v>4.25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>
        <f t="shared" si="1"/>
        <v>16.429999999999989</v>
      </c>
      <c r="Q27" s="26">
        <f t="shared" si="2"/>
        <v>4.25</v>
      </c>
      <c r="R27">
        <f t="shared" si="3"/>
        <v>4.25</v>
      </c>
      <c r="U27" s="3">
        <v>1927</v>
      </c>
      <c r="V27" s="4">
        <v>48.88</v>
      </c>
      <c r="W27" s="5">
        <f t="shared" si="20"/>
        <v>3.4983633387888707E-2</v>
      </c>
      <c r="X27" s="5">
        <f t="shared" si="21"/>
        <v>9.9631751227495902E-2</v>
      </c>
      <c r="Y27" s="5">
        <f t="shared" si="22"/>
        <v>0.2144026186579378</v>
      </c>
      <c r="Z27" s="5">
        <f t="shared" si="23"/>
        <v>0.22626841243862314</v>
      </c>
      <c r="AA27" s="5">
        <f t="shared" si="24"/>
        <v>0.19067103109656278</v>
      </c>
      <c r="AB27" s="5">
        <f t="shared" si="25"/>
        <v>0.14545826513911619</v>
      </c>
      <c r="AC27" s="5">
        <f t="shared" si="26"/>
        <v>8.6947626841243852E-2</v>
      </c>
      <c r="AD27" s="5">
        <f t="shared" si="27"/>
        <v>0</v>
      </c>
      <c r="AE27" s="5">
        <f t="shared" si="28"/>
        <v>0</v>
      </c>
      <c r="AF27" s="5">
        <f t="shared" si="29"/>
        <v>0</v>
      </c>
      <c r="AG27" s="5">
        <f t="shared" si="30"/>
        <v>0</v>
      </c>
      <c r="AH27" s="5">
        <f t="shared" si="31"/>
        <v>0</v>
      </c>
      <c r="AI27" s="5">
        <f t="shared" si="32"/>
        <v>0</v>
      </c>
      <c r="AJ27" s="6">
        <f t="shared" si="17"/>
        <v>0.336129296235679</v>
      </c>
      <c r="AK27" s="6">
        <f t="shared" si="18"/>
        <v>8.6947626841243852E-2</v>
      </c>
      <c r="AL27" s="6">
        <f t="shared" si="19"/>
        <v>8.6947626841243852E-2</v>
      </c>
    </row>
    <row r="28" spans="1:42" x14ac:dyDescent="0.25">
      <c r="A28">
        <v>1928</v>
      </c>
      <c r="B28">
        <v>0</v>
      </c>
      <c r="C28">
        <v>1.73</v>
      </c>
      <c r="D28">
        <v>4.62</v>
      </c>
      <c r="E28">
        <v>7.4799999999999898</v>
      </c>
      <c r="F28">
        <v>15.87</v>
      </c>
      <c r="G28" s="26">
        <v>4.4499999999999904</v>
      </c>
      <c r="H28" s="26">
        <v>17.16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>
        <f t="shared" si="1"/>
        <v>21.609999999999992</v>
      </c>
      <c r="Q28" s="26">
        <f t="shared" si="2"/>
        <v>0</v>
      </c>
      <c r="R28">
        <f t="shared" si="3"/>
        <v>0</v>
      </c>
      <c r="U28" s="1">
        <v>1928</v>
      </c>
      <c r="V28" s="2">
        <v>51.31</v>
      </c>
      <c r="W28" s="5">
        <f t="shared" si="20"/>
        <v>3.3716624439680369E-2</v>
      </c>
      <c r="X28" s="5">
        <f t="shared" si="21"/>
        <v>9.0040927694406553E-2</v>
      </c>
      <c r="Y28" s="5">
        <f t="shared" si="22"/>
        <v>0.14578054960046755</v>
      </c>
      <c r="Z28" s="5">
        <f t="shared" si="23"/>
        <v>0.30929643344377311</v>
      </c>
      <c r="AA28" s="5">
        <f t="shared" si="24"/>
        <v>8.6727733385304817E-2</v>
      </c>
      <c r="AB28" s="5">
        <f t="shared" si="25"/>
        <v>0.33443773143636718</v>
      </c>
      <c r="AC28" s="5">
        <f t="shared" si="26"/>
        <v>0</v>
      </c>
      <c r="AD28" s="5">
        <f t="shared" si="27"/>
        <v>0</v>
      </c>
      <c r="AE28" s="5">
        <f t="shared" si="28"/>
        <v>0</v>
      </c>
      <c r="AF28" s="5">
        <f t="shared" si="29"/>
        <v>0</v>
      </c>
      <c r="AG28" s="5">
        <f t="shared" si="30"/>
        <v>0</v>
      </c>
      <c r="AH28" s="5">
        <f t="shared" si="31"/>
        <v>0</v>
      </c>
      <c r="AI28" s="5">
        <f t="shared" si="32"/>
        <v>0</v>
      </c>
      <c r="AJ28" s="6">
        <f t="shared" si="17"/>
        <v>0.421165464821672</v>
      </c>
      <c r="AK28" s="6">
        <f t="shared" si="18"/>
        <v>0</v>
      </c>
      <c r="AL28" s="6">
        <f t="shared" si="19"/>
        <v>0</v>
      </c>
    </row>
    <row r="29" spans="1:42" x14ac:dyDescent="0.25">
      <c r="A29">
        <v>1929</v>
      </c>
      <c r="B29">
        <v>0</v>
      </c>
      <c r="C29">
        <v>1.74</v>
      </c>
      <c r="D29">
        <v>4.66</v>
      </c>
      <c r="E29">
        <v>9.1999999999999993</v>
      </c>
      <c r="F29">
        <v>10.1299999999999</v>
      </c>
      <c r="G29" s="26">
        <v>14.809999999999899</v>
      </c>
      <c r="H29" s="26">
        <v>5.17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>
        <f t="shared" si="1"/>
        <v>19.979999999999897</v>
      </c>
      <c r="Q29" s="26">
        <f t="shared" si="2"/>
        <v>0</v>
      </c>
      <c r="R29">
        <f t="shared" si="3"/>
        <v>0</v>
      </c>
      <c r="U29" s="3">
        <v>1929</v>
      </c>
      <c r="V29" s="4">
        <v>45.75</v>
      </c>
      <c r="W29" s="5">
        <f t="shared" si="20"/>
        <v>3.8032786885245903E-2</v>
      </c>
      <c r="X29" s="5">
        <f t="shared" si="21"/>
        <v>0.10185792349726776</v>
      </c>
      <c r="Y29" s="5">
        <f t="shared" si="22"/>
        <v>0.20109289617486337</v>
      </c>
      <c r="Z29" s="5">
        <f t="shared" si="23"/>
        <v>0.22142076502732022</v>
      </c>
      <c r="AA29" s="5">
        <f t="shared" si="24"/>
        <v>0.32371584699453332</v>
      </c>
      <c r="AB29" s="5">
        <f t="shared" si="25"/>
        <v>0.11300546448087431</v>
      </c>
      <c r="AC29" s="5">
        <f t="shared" si="26"/>
        <v>0</v>
      </c>
      <c r="AD29" s="5">
        <f t="shared" si="27"/>
        <v>0</v>
      </c>
      <c r="AE29" s="5">
        <f t="shared" si="28"/>
        <v>0</v>
      </c>
      <c r="AF29" s="5">
        <f t="shared" si="29"/>
        <v>0</v>
      </c>
      <c r="AG29" s="5">
        <f t="shared" si="30"/>
        <v>0</v>
      </c>
      <c r="AH29" s="5">
        <f t="shared" si="31"/>
        <v>0</v>
      </c>
      <c r="AI29" s="5">
        <f t="shared" si="32"/>
        <v>0</v>
      </c>
      <c r="AJ29" s="6">
        <f t="shared" si="17"/>
        <v>0.4367213114754076</v>
      </c>
      <c r="AK29" s="6">
        <f t="shared" si="18"/>
        <v>0</v>
      </c>
      <c r="AL29" s="6">
        <f t="shared" si="19"/>
        <v>0</v>
      </c>
    </row>
    <row r="30" spans="1:42" x14ac:dyDescent="0.25">
      <c r="A30">
        <v>1930</v>
      </c>
      <c r="B30">
        <v>0</v>
      </c>
      <c r="C30">
        <v>1.8</v>
      </c>
      <c r="D30">
        <v>5.15</v>
      </c>
      <c r="E30">
        <v>6.93</v>
      </c>
      <c r="F30">
        <v>8</v>
      </c>
      <c r="G30" s="26">
        <v>6.54</v>
      </c>
      <c r="H30" s="26">
        <v>3.63</v>
      </c>
      <c r="I30" s="26">
        <v>4.0999999999999996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>
        <f t="shared" si="1"/>
        <v>10.17</v>
      </c>
      <c r="Q30" s="26">
        <f t="shared" si="2"/>
        <v>4.0999999999999996</v>
      </c>
      <c r="R30">
        <f t="shared" si="3"/>
        <v>4.0999999999999996</v>
      </c>
      <c r="U30" s="1">
        <v>1930</v>
      </c>
      <c r="V30" s="2">
        <v>36.15</v>
      </c>
      <c r="W30" s="5">
        <f t="shared" si="20"/>
        <v>4.9792531120331954E-2</v>
      </c>
      <c r="X30" s="5">
        <f t="shared" si="21"/>
        <v>0.14246196403872755</v>
      </c>
      <c r="Y30" s="5">
        <f t="shared" si="22"/>
        <v>0.19170124481327802</v>
      </c>
      <c r="Z30" s="5">
        <f t="shared" si="23"/>
        <v>0.22130013831258646</v>
      </c>
      <c r="AA30" s="5">
        <f t="shared" si="24"/>
        <v>0.18091286307053941</v>
      </c>
      <c r="AB30" s="5">
        <f t="shared" si="25"/>
        <v>0.1004149377593361</v>
      </c>
      <c r="AC30" s="5">
        <f t="shared" si="26"/>
        <v>0.11341632088520055</v>
      </c>
      <c r="AD30" s="5">
        <f t="shared" si="27"/>
        <v>0</v>
      </c>
      <c r="AE30" s="5">
        <f t="shared" si="28"/>
        <v>0</v>
      </c>
      <c r="AF30" s="5">
        <f t="shared" si="29"/>
        <v>0</v>
      </c>
      <c r="AG30" s="5">
        <f t="shared" si="30"/>
        <v>0</v>
      </c>
      <c r="AH30" s="5">
        <f t="shared" si="31"/>
        <v>0</v>
      </c>
      <c r="AI30" s="5">
        <f t="shared" si="32"/>
        <v>0</v>
      </c>
      <c r="AJ30" s="6">
        <f t="shared" si="17"/>
        <v>0.28132780082987552</v>
      </c>
      <c r="AK30" s="6">
        <f t="shared" si="18"/>
        <v>0.11341632088520055</v>
      </c>
      <c r="AL30" s="6">
        <f t="shared" si="19"/>
        <v>0.11341632088520055</v>
      </c>
    </row>
    <row r="31" spans="1:42" x14ac:dyDescent="0.25">
      <c r="A31">
        <v>1931</v>
      </c>
      <c r="B31">
        <v>0</v>
      </c>
      <c r="C31">
        <v>1.67</v>
      </c>
      <c r="D31">
        <v>2.77</v>
      </c>
      <c r="E31">
        <v>6.18</v>
      </c>
      <c r="F31">
        <v>11.95</v>
      </c>
      <c r="G31" s="26">
        <v>10.83</v>
      </c>
      <c r="H31" s="26">
        <v>5.14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>
        <f t="shared" si="1"/>
        <v>15.969999999999999</v>
      </c>
      <c r="Q31" s="26">
        <f t="shared" si="2"/>
        <v>0</v>
      </c>
      <c r="R31">
        <f t="shared" si="3"/>
        <v>0</v>
      </c>
      <c r="U31" s="3">
        <v>1931</v>
      </c>
      <c r="V31" s="4">
        <v>38.58</v>
      </c>
      <c r="W31" s="5">
        <f t="shared" si="20"/>
        <v>4.3286677034733025E-2</v>
      </c>
      <c r="X31" s="5">
        <f t="shared" si="21"/>
        <v>7.1798859512700888E-2</v>
      </c>
      <c r="Y31" s="5">
        <f t="shared" si="22"/>
        <v>0.16018662519440124</v>
      </c>
      <c r="Z31" s="5">
        <f t="shared" si="23"/>
        <v>0.30974598237428719</v>
      </c>
      <c r="AA31" s="5">
        <f t="shared" si="24"/>
        <v>0.28071539657853811</v>
      </c>
      <c r="AB31" s="5">
        <f t="shared" si="25"/>
        <v>0.13322965266977707</v>
      </c>
      <c r="AC31" s="5">
        <f t="shared" si="26"/>
        <v>0</v>
      </c>
      <c r="AD31" s="5">
        <f t="shared" si="27"/>
        <v>0</v>
      </c>
      <c r="AE31" s="5">
        <f t="shared" si="28"/>
        <v>0</v>
      </c>
      <c r="AF31" s="5">
        <f t="shared" si="29"/>
        <v>0</v>
      </c>
      <c r="AG31" s="5">
        <f t="shared" si="30"/>
        <v>0</v>
      </c>
      <c r="AH31" s="5">
        <f t="shared" si="31"/>
        <v>0</v>
      </c>
      <c r="AI31" s="5">
        <f t="shared" si="32"/>
        <v>0</v>
      </c>
      <c r="AJ31" s="6">
        <f t="shared" si="17"/>
        <v>0.41394504924831521</v>
      </c>
      <c r="AK31" s="6">
        <f t="shared" si="18"/>
        <v>0</v>
      </c>
      <c r="AL31" s="6">
        <f t="shared" si="19"/>
        <v>0</v>
      </c>
    </row>
    <row r="32" spans="1:42" x14ac:dyDescent="0.25">
      <c r="A32">
        <v>1932</v>
      </c>
      <c r="B32">
        <v>0</v>
      </c>
      <c r="C32">
        <v>1.5</v>
      </c>
      <c r="D32">
        <v>5.03</v>
      </c>
      <c r="E32">
        <v>5.6</v>
      </c>
      <c r="F32">
        <v>14.48</v>
      </c>
      <c r="G32" s="26">
        <v>7.5399999999999903</v>
      </c>
      <c r="H32" s="26">
        <v>6.79</v>
      </c>
      <c r="I32" s="26">
        <v>8.69</v>
      </c>
      <c r="J32" s="26">
        <v>2.61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>
        <f t="shared" si="1"/>
        <v>14.329999999999991</v>
      </c>
      <c r="Q32" s="26">
        <f t="shared" si="2"/>
        <v>11.299999999999999</v>
      </c>
      <c r="R32">
        <f t="shared" si="3"/>
        <v>11.299999999999999</v>
      </c>
      <c r="U32" s="1">
        <v>1932</v>
      </c>
      <c r="V32" s="2">
        <v>52.24</v>
      </c>
      <c r="W32" s="5">
        <f t="shared" si="20"/>
        <v>2.8713629402756506E-2</v>
      </c>
      <c r="X32" s="5">
        <f t="shared" si="21"/>
        <v>9.6286370597243487E-2</v>
      </c>
      <c r="Y32" s="5">
        <f t="shared" si="22"/>
        <v>0.10719754977029096</v>
      </c>
      <c r="Z32" s="5">
        <f t="shared" si="23"/>
        <v>0.27718223583460949</v>
      </c>
      <c r="AA32" s="5">
        <f t="shared" si="24"/>
        <v>0.14433384379785585</v>
      </c>
      <c r="AB32" s="5">
        <f t="shared" si="25"/>
        <v>0.12997702909647779</v>
      </c>
      <c r="AC32" s="5">
        <f t="shared" si="26"/>
        <v>0.16634762633996936</v>
      </c>
      <c r="AD32" s="5">
        <f t="shared" si="27"/>
        <v>4.9961715160796318E-2</v>
      </c>
      <c r="AE32" s="5">
        <f t="shared" si="28"/>
        <v>0</v>
      </c>
      <c r="AF32" s="5">
        <f t="shared" si="29"/>
        <v>0</v>
      </c>
      <c r="AG32" s="5">
        <f t="shared" si="30"/>
        <v>0</v>
      </c>
      <c r="AH32" s="5">
        <f t="shared" si="31"/>
        <v>0</v>
      </c>
      <c r="AI32" s="5">
        <f t="shared" si="32"/>
        <v>0</v>
      </c>
      <c r="AJ32" s="6">
        <f t="shared" si="17"/>
        <v>0.27431087289433365</v>
      </c>
      <c r="AK32" s="6">
        <f t="shared" si="18"/>
        <v>0.21630934150076567</v>
      </c>
      <c r="AL32" s="6">
        <f t="shared" si="19"/>
        <v>0.21630934150076567</v>
      </c>
    </row>
    <row r="33" spans="1:42" x14ac:dyDescent="0.25">
      <c r="A33">
        <v>1933</v>
      </c>
      <c r="B33">
        <v>0</v>
      </c>
      <c r="C33">
        <v>1.34</v>
      </c>
      <c r="D33">
        <v>5.08</v>
      </c>
      <c r="E33">
        <v>7.24</v>
      </c>
      <c r="F33">
        <v>19.2</v>
      </c>
      <c r="G33" s="26">
        <v>9.89</v>
      </c>
      <c r="H33" s="26">
        <v>3.95</v>
      </c>
      <c r="I33" s="26">
        <v>4.0599999999999996</v>
      </c>
      <c r="J33" s="26">
        <v>2.9</v>
      </c>
      <c r="K33" s="26">
        <v>3.1</v>
      </c>
      <c r="L33" s="26">
        <v>0</v>
      </c>
      <c r="M33" s="26">
        <v>0</v>
      </c>
      <c r="N33" s="26">
        <v>0</v>
      </c>
      <c r="O33" s="26">
        <v>0</v>
      </c>
      <c r="P33">
        <f t="shared" si="1"/>
        <v>13.84</v>
      </c>
      <c r="Q33" s="26">
        <f t="shared" si="2"/>
        <v>10.059999999999999</v>
      </c>
      <c r="R33">
        <f t="shared" si="3"/>
        <v>10.059999999999999</v>
      </c>
      <c r="U33" s="3">
        <v>1933</v>
      </c>
      <c r="V33" s="4">
        <v>56.84</v>
      </c>
      <c r="W33" s="5">
        <f t="shared" si="20"/>
        <v>2.3574947220267418E-2</v>
      </c>
      <c r="X33" s="5">
        <f t="shared" si="21"/>
        <v>8.9373680506685427E-2</v>
      </c>
      <c r="Y33" s="5">
        <f t="shared" si="22"/>
        <v>0.12737508796622096</v>
      </c>
      <c r="Z33" s="5">
        <f t="shared" si="23"/>
        <v>0.33779028852920473</v>
      </c>
      <c r="AA33" s="5">
        <f t="shared" si="24"/>
        <v>0.17399718508092893</v>
      </c>
      <c r="AB33" s="5">
        <f t="shared" si="25"/>
        <v>6.9493314567206185E-2</v>
      </c>
      <c r="AC33" s="5">
        <f t="shared" si="26"/>
        <v>7.1428571428571411E-2</v>
      </c>
      <c r="AD33" s="5">
        <f t="shared" si="27"/>
        <v>5.10204081632653E-2</v>
      </c>
      <c r="AE33" s="5">
        <f t="shared" si="28"/>
        <v>5.4539057002111188E-2</v>
      </c>
      <c r="AF33" s="5">
        <f t="shared" si="29"/>
        <v>0</v>
      </c>
      <c r="AG33" s="5">
        <f t="shared" si="30"/>
        <v>0</v>
      </c>
      <c r="AH33" s="5">
        <f t="shared" si="31"/>
        <v>0</v>
      </c>
      <c r="AI33" s="5">
        <f t="shared" si="32"/>
        <v>0</v>
      </c>
      <c r="AJ33" s="6">
        <f t="shared" si="17"/>
        <v>0.24349049964813513</v>
      </c>
      <c r="AK33" s="6">
        <f t="shared" si="18"/>
        <v>0.17698803659394791</v>
      </c>
      <c r="AL33" s="6">
        <f t="shared" si="19"/>
        <v>0.17698803659394791</v>
      </c>
    </row>
    <row r="34" spans="1:42" x14ac:dyDescent="0.25">
      <c r="A34">
        <v>1934</v>
      </c>
      <c r="B34">
        <v>0</v>
      </c>
      <c r="C34">
        <v>1.59</v>
      </c>
      <c r="D34">
        <v>3.78</v>
      </c>
      <c r="E34">
        <v>7.46999999999999</v>
      </c>
      <c r="F34">
        <v>15.55</v>
      </c>
      <c r="G34" s="26">
        <v>11.559999999999899</v>
      </c>
      <c r="H34" s="26">
        <v>3.41</v>
      </c>
      <c r="I34" s="26">
        <v>4.21</v>
      </c>
      <c r="J34" s="26">
        <v>0</v>
      </c>
      <c r="K34" s="26">
        <v>3.73</v>
      </c>
      <c r="L34" s="26">
        <v>0</v>
      </c>
      <c r="M34" s="26">
        <v>0</v>
      </c>
      <c r="N34" s="26">
        <v>0</v>
      </c>
      <c r="O34" s="26">
        <v>0</v>
      </c>
      <c r="P34">
        <f t="shared" si="1"/>
        <v>14.969999999999899</v>
      </c>
      <c r="Q34" s="26">
        <f t="shared" si="2"/>
        <v>7.9399999999999995</v>
      </c>
      <c r="R34">
        <f t="shared" si="3"/>
        <v>7.9399999999999995</v>
      </c>
      <c r="U34" s="1">
        <v>1934</v>
      </c>
      <c r="V34" s="2">
        <v>51.36</v>
      </c>
      <c r="W34" s="5">
        <f t="shared" si="20"/>
        <v>3.0957943925233648E-2</v>
      </c>
      <c r="X34" s="5">
        <f t="shared" si="21"/>
        <v>7.359813084112149E-2</v>
      </c>
      <c r="Y34" s="5">
        <f t="shared" si="22"/>
        <v>0.14544392523364466</v>
      </c>
      <c r="Z34" s="5">
        <f t="shared" si="23"/>
        <v>0.30276479750778817</v>
      </c>
      <c r="AA34" s="5">
        <f t="shared" si="24"/>
        <v>0.22507788161993575</v>
      </c>
      <c r="AB34" s="5">
        <f t="shared" si="25"/>
        <v>6.6394080996884736E-2</v>
      </c>
      <c r="AC34" s="5">
        <f t="shared" si="26"/>
        <v>8.1970404984423678E-2</v>
      </c>
      <c r="AD34" s="5">
        <f t="shared" si="27"/>
        <v>0</v>
      </c>
      <c r="AE34" s="5">
        <f t="shared" si="28"/>
        <v>7.2624610591900313E-2</v>
      </c>
      <c r="AF34" s="5">
        <f t="shared" si="29"/>
        <v>0</v>
      </c>
      <c r="AG34" s="5">
        <f t="shared" si="30"/>
        <v>0</v>
      </c>
      <c r="AH34" s="5">
        <f t="shared" si="31"/>
        <v>0</v>
      </c>
      <c r="AI34" s="5">
        <f t="shared" si="32"/>
        <v>0</v>
      </c>
      <c r="AJ34" s="6">
        <f t="shared" si="17"/>
        <v>0.29147196261682051</v>
      </c>
      <c r="AK34" s="6">
        <f t="shared" si="18"/>
        <v>0.15459501557632399</v>
      </c>
      <c r="AL34" s="6">
        <f t="shared" si="19"/>
        <v>0.15459501557632399</v>
      </c>
    </row>
    <row r="35" spans="1:42" x14ac:dyDescent="0.25">
      <c r="A35">
        <v>1935</v>
      </c>
      <c r="B35">
        <v>0</v>
      </c>
      <c r="C35">
        <v>1.84</v>
      </c>
      <c r="D35">
        <v>5.87</v>
      </c>
      <c r="E35">
        <v>8.48</v>
      </c>
      <c r="F35">
        <v>12.4599999999999</v>
      </c>
      <c r="G35" s="26">
        <v>4.8499999999999996</v>
      </c>
      <c r="H35" s="26">
        <v>3.42</v>
      </c>
      <c r="I35" s="26">
        <v>8.59</v>
      </c>
      <c r="J35" s="26">
        <v>2.82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>
        <f t="shared" si="1"/>
        <v>8.27</v>
      </c>
      <c r="Q35" s="26">
        <f t="shared" si="2"/>
        <v>11.41</v>
      </c>
      <c r="R35">
        <f t="shared" si="3"/>
        <v>11.41</v>
      </c>
      <c r="U35" s="3">
        <v>1935</v>
      </c>
      <c r="V35" s="4">
        <v>48.37</v>
      </c>
      <c r="W35" s="5">
        <f t="shared" si="20"/>
        <v>3.804010750465165E-2</v>
      </c>
      <c r="X35" s="5">
        <f t="shared" si="21"/>
        <v>0.12135621252842672</v>
      </c>
      <c r="Y35" s="5">
        <f t="shared" si="22"/>
        <v>0.17531527806491629</v>
      </c>
      <c r="Z35" s="5">
        <f t="shared" si="23"/>
        <v>0.25759768451519333</v>
      </c>
      <c r="AA35" s="5">
        <f t="shared" si="24"/>
        <v>0.10026876162910894</v>
      </c>
      <c r="AB35" s="5">
        <f t="shared" si="25"/>
        <v>7.0704982427124252E-2</v>
      </c>
      <c r="AC35" s="5">
        <f t="shared" si="26"/>
        <v>0.1775894149266074</v>
      </c>
      <c r="AD35" s="5">
        <f t="shared" si="27"/>
        <v>5.8300599545172631E-2</v>
      </c>
      <c r="AE35" s="5">
        <f t="shared" si="28"/>
        <v>0</v>
      </c>
      <c r="AF35" s="5">
        <f t="shared" si="29"/>
        <v>0</v>
      </c>
      <c r="AG35" s="5">
        <f t="shared" si="30"/>
        <v>0</v>
      </c>
      <c r="AH35" s="5">
        <f t="shared" si="31"/>
        <v>0</v>
      </c>
      <c r="AI35" s="5">
        <f t="shared" si="32"/>
        <v>0</v>
      </c>
      <c r="AJ35" s="6">
        <f t="shared" si="17"/>
        <v>0.1709737440562332</v>
      </c>
      <c r="AK35" s="6">
        <f t="shared" si="18"/>
        <v>0.23589001447178004</v>
      </c>
      <c r="AL35" s="6">
        <f t="shared" si="19"/>
        <v>0.23589001447178004</v>
      </c>
    </row>
    <row r="36" spans="1:42" x14ac:dyDescent="0.25">
      <c r="A36">
        <v>1936</v>
      </c>
      <c r="B36">
        <v>0</v>
      </c>
      <c r="C36">
        <v>1.47</v>
      </c>
      <c r="D36">
        <v>3.73</v>
      </c>
      <c r="E36">
        <v>6.64</v>
      </c>
      <c r="F36">
        <v>14.9299999999999</v>
      </c>
      <c r="G36" s="26">
        <v>5.8999999999999897</v>
      </c>
      <c r="H36" s="26">
        <v>4.8899999999999997</v>
      </c>
      <c r="I36" s="26">
        <v>8.5399999999999991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>
        <f t="shared" si="1"/>
        <v>10.789999999999988</v>
      </c>
      <c r="Q36" s="26">
        <f t="shared" si="2"/>
        <v>8.5399999999999991</v>
      </c>
      <c r="R36">
        <f t="shared" si="3"/>
        <v>8.5399999999999991</v>
      </c>
      <c r="U36" s="1">
        <v>1936</v>
      </c>
      <c r="V36" s="2">
        <v>46.15</v>
      </c>
      <c r="W36" s="5">
        <f t="shared" si="20"/>
        <v>3.1852654387865657E-2</v>
      </c>
      <c r="X36" s="5">
        <f t="shared" si="21"/>
        <v>8.0823401950162521E-2</v>
      </c>
      <c r="Y36" s="5">
        <f t="shared" si="22"/>
        <v>0.14387865655471288</v>
      </c>
      <c r="Z36" s="5">
        <f t="shared" si="23"/>
        <v>0.32351029252437485</v>
      </c>
      <c r="AA36" s="5">
        <f t="shared" si="24"/>
        <v>0.12784398699891636</v>
      </c>
      <c r="AB36" s="5">
        <f t="shared" si="25"/>
        <v>0.10595882990249188</v>
      </c>
      <c r="AC36" s="5">
        <f t="shared" si="26"/>
        <v>0.18504875406283855</v>
      </c>
      <c r="AD36" s="5">
        <f t="shared" si="27"/>
        <v>0</v>
      </c>
      <c r="AE36" s="5">
        <f t="shared" si="28"/>
        <v>0</v>
      </c>
      <c r="AF36" s="5">
        <f t="shared" si="29"/>
        <v>0</v>
      </c>
      <c r="AG36" s="5">
        <f t="shared" si="30"/>
        <v>0</v>
      </c>
      <c r="AH36" s="5">
        <f t="shared" si="31"/>
        <v>0</v>
      </c>
      <c r="AI36" s="5">
        <f t="shared" si="32"/>
        <v>0</v>
      </c>
      <c r="AJ36" s="6">
        <f t="shared" si="17"/>
        <v>0.23380281690140825</v>
      </c>
      <c r="AK36" s="6">
        <f t="shared" si="18"/>
        <v>0.18504875406283855</v>
      </c>
      <c r="AL36" s="6">
        <f t="shared" si="19"/>
        <v>0.18504875406283855</v>
      </c>
    </row>
    <row r="37" spans="1:42" x14ac:dyDescent="0.25">
      <c r="A37">
        <v>1937</v>
      </c>
      <c r="B37">
        <v>0</v>
      </c>
      <c r="C37">
        <v>1.74</v>
      </c>
      <c r="D37">
        <v>5.78</v>
      </c>
      <c r="E37">
        <v>8.83</v>
      </c>
      <c r="F37">
        <v>17.97</v>
      </c>
      <c r="G37" s="26">
        <v>10.059999999999899</v>
      </c>
      <c r="H37" s="26">
        <v>4.91</v>
      </c>
      <c r="I37" s="26">
        <v>2.1</v>
      </c>
      <c r="J37" s="26">
        <v>0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>
        <f t="shared" si="1"/>
        <v>14.969999999999899</v>
      </c>
      <c r="Q37" s="26">
        <f t="shared" si="2"/>
        <v>2.1</v>
      </c>
      <c r="R37">
        <f t="shared" si="3"/>
        <v>2.1</v>
      </c>
      <c r="U37" s="3">
        <v>1937</v>
      </c>
      <c r="V37" s="4">
        <v>51.43</v>
      </c>
      <c r="W37" s="5">
        <f t="shared" si="20"/>
        <v>3.3832393544623758E-2</v>
      </c>
      <c r="X37" s="5">
        <f t="shared" si="21"/>
        <v>0.11238576706202606</v>
      </c>
      <c r="Y37" s="5">
        <f t="shared" si="22"/>
        <v>0.1716896752867976</v>
      </c>
      <c r="Z37" s="5">
        <f t="shared" si="23"/>
        <v>0.34940696091775225</v>
      </c>
      <c r="AA37" s="5">
        <f t="shared" si="24"/>
        <v>0.19560567762006414</v>
      </c>
      <c r="AB37" s="5">
        <f t="shared" si="25"/>
        <v>9.5469570289714173E-2</v>
      </c>
      <c r="AC37" s="5">
        <f t="shared" si="26"/>
        <v>4.0832199105580405E-2</v>
      </c>
      <c r="AD37" s="5">
        <f t="shared" si="27"/>
        <v>0</v>
      </c>
      <c r="AE37" s="5">
        <f t="shared" si="28"/>
        <v>0</v>
      </c>
      <c r="AF37" s="5">
        <f t="shared" si="29"/>
        <v>0</v>
      </c>
      <c r="AG37" s="5">
        <f t="shared" si="30"/>
        <v>0</v>
      </c>
      <c r="AH37" s="5">
        <f t="shared" si="31"/>
        <v>0</v>
      </c>
      <c r="AI37" s="5">
        <f t="shared" si="32"/>
        <v>0</v>
      </c>
      <c r="AJ37" s="6">
        <f t="shared" si="17"/>
        <v>0.29107524790977835</v>
      </c>
      <c r="AK37" s="6">
        <f t="shared" si="18"/>
        <v>4.0832199105580405E-2</v>
      </c>
      <c r="AL37" s="6">
        <f t="shared" si="19"/>
        <v>4.0832199105580405E-2</v>
      </c>
    </row>
    <row r="38" spans="1:42" x14ac:dyDescent="0.25">
      <c r="A38">
        <v>1938</v>
      </c>
      <c r="B38">
        <v>0</v>
      </c>
      <c r="C38">
        <v>1.78</v>
      </c>
      <c r="D38">
        <v>5.97</v>
      </c>
      <c r="E38">
        <v>8.01</v>
      </c>
      <c r="F38">
        <v>15.3599999999999</v>
      </c>
      <c r="G38" s="26">
        <v>7.5899999999999901</v>
      </c>
      <c r="H38" s="26">
        <v>1.63</v>
      </c>
      <c r="I38" s="26">
        <v>2.37</v>
      </c>
      <c r="J38" s="26">
        <v>0</v>
      </c>
      <c r="K38" s="26">
        <v>0</v>
      </c>
      <c r="L38" s="26">
        <v>4.26</v>
      </c>
      <c r="M38" s="26">
        <v>0</v>
      </c>
      <c r="N38" s="26">
        <v>6.78</v>
      </c>
      <c r="O38" s="26">
        <v>0</v>
      </c>
      <c r="P38">
        <f t="shared" si="1"/>
        <v>9.21999999999999</v>
      </c>
      <c r="Q38" s="26">
        <f t="shared" si="2"/>
        <v>2.37</v>
      </c>
      <c r="R38">
        <f t="shared" si="3"/>
        <v>13.41</v>
      </c>
      <c r="U38" s="1">
        <v>1938</v>
      </c>
      <c r="V38" s="2">
        <v>53.97</v>
      </c>
      <c r="W38" s="5">
        <f t="shared" si="20"/>
        <v>3.2981285899573838E-2</v>
      </c>
      <c r="X38" s="5">
        <f t="shared" si="21"/>
        <v>0.11061700944969427</v>
      </c>
      <c r="Y38" s="5">
        <f t="shared" si="22"/>
        <v>0.14841578654808227</v>
      </c>
      <c r="Z38" s="5">
        <f t="shared" si="23"/>
        <v>0.28460255697609599</v>
      </c>
      <c r="AA38" s="5">
        <f t="shared" si="24"/>
        <v>0.1406336853807669</v>
      </c>
      <c r="AB38" s="5">
        <f t="shared" si="25"/>
        <v>3.0201964054104132E-2</v>
      </c>
      <c r="AC38" s="5">
        <f t="shared" si="26"/>
        <v>4.3913285158421349E-2</v>
      </c>
      <c r="AD38" s="5">
        <f t="shared" si="27"/>
        <v>0</v>
      </c>
      <c r="AE38" s="5">
        <f t="shared" si="28"/>
        <v>0</v>
      </c>
      <c r="AF38" s="5">
        <f t="shared" si="29"/>
        <v>7.893274041133963E-2</v>
      </c>
      <c r="AG38" s="5">
        <f t="shared" si="30"/>
        <v>0</v>
      </c>
      <c r="AH38" s="5">
        <f t="shared" si="31"/>
        <v>0.12562534741523068</v>
      </c>
      <c r="AI38" s="5">
        <f t="shared" si="32"/>
        <v>0</v>
      </c>
      <c r="AJ38" s="6">
        <f t="shared" si="17"/>
        <v>0.17083564943487103</v>
      </c>
      <c r="AK38" s="6">
        <f t="shared" si="18"/>
        <v>4.3913285158421349E-2</v>
      </c>
      <c r="AL38" s="6">
        <f t="shared" si="19"/>
        <v>0.24847137298499167</v>
      </c>
    </row>
    <row r="39" spans="1:42" x14ac:dyDescent="0.25">
      <c r="A39">
        <v>1939</v>
      </c>
      <c r="B39">
        <v>0</v>
      </c>
      <c r="C39">
        <v>2.11</v>
      </c>
      <c r="D39">
        <v>4.78</v>
      </c>
      <c r="E39">
        <v>7.2299999999999898</v>
      </c>
      <c r="F39">
        <v>11.719999999999899</v>
      </c>
      <c r="G39" s="26">
        <v>10.45</v>
      </c>
      <c r="H39" s="26">
        <v>3.3899999999999899</v>
      </c>
      <c r="I39" s="26">
        <v>0</v>
      </c>
      <c r="J39" s="26">
        <v>0</v>
      </c>
      <c r="K39" s="26">
        <v>4</v>
      </c>
      <c r="L39" s="26">
        <v>0</v>
      </c>
      <c r="M39" s="26">
        <v>0</v>
      </c>
      <c r="N39" s="26">
        <v>6.05</v>
      </c>
      <c r="O39" s="26">
        <v>0</v>
      </c>
      <c r="P39">
        <f t="shared" si="1"/>
        <v>13.839999999999989</v>
      </c>
      <c r="Q39" s="26">
        <f t="shared" si="2"/>
        <v>4</v>
      </c>
      <c r="R39">
        <f t="shared" si="3"/>
        <v>10.050000000000001</v>
      </c>
      <c r="U39" s="3">
        <v>1939</v>
      </c>
      <c r="V39" s="4">
        <v>49.96</v>
      </c>
      <c r="W39" s="5">
        <f t="shared" si="20"/>
        <v>4.2233787029623694E-2</v>
      </c>
      <c r="X39" s="5">
        <f t="shared" si="21"/>
        <v>9.5676541232986398E-2</v>
      </c>
      <c r="Y39" s="5">
        <f t="shared" si="22"/>
        <v>0.14471577261809426</v>
      </c>
      <c r="Z39" s="5">
        <f t="shared" si="23"/>
        <v>0.23458767013610687</v>
      </c>
      <c r="AA39" s="5">
        <f t="shared" si="24"/>
        <v>0.20916733386709366</v>
      </c>
      <c r="AB39" s="5">
        <f t="shared" si="25"/>
        <v>6.7854283426741185E-2</v>
      </c>
      <c r="AC39" s="5">
        <f t="shared" si="26"/>
        <v>0</v>
      </c>
      <c r="AD39" s="5">
        <f t="shared" si="27"/>
        <v>0</v>
      </c>
      <c r="AE39" s="5">
        <f t="shared" si="28"/>
        <v>8.0064051240992792E-2</v>
      </c>
      <c r="AF39" s="5">
        <f t="shared" si="29"/>
        <v>0</v>
      </c>
      <c r="AG39" s="5">
        <f t="shared" si="30"/>
        <v>0</v>
      </c>
      <c r="AH39" s="5">
        <f t="shared" si="31"/>
        <v>0.1210968775020016</v>
      </c>
      <c r="AI39" s="5">
        <f t="shared" si="32"/>
        <v>0</v>
      </c>
      <c r="AJ39" s="6">
        <f t="shared" si="17"/>
        <v>0.27702161729383484</v>
      </c>
      <c r="AK39" s="6">
        <f t="shared" si="18"/>
        <v>8.0064051240992792E-2</v>
      </c>
      <c r="AL39" s="6">
        <f t="shared" si="19"/>
        <v>0.2011609287429944</v>
      </c>
    </row>
    <row r="40" spans="1:42" x14ac:dyDescent="0.25">
      <c r="A40">
        <v>1940</v>
      </c>
      <c r="B40">
        <v>0</v>
      </c>
      <c r="C40">
        <v>1.99</v>
      </c>
      <c r="D40">
        <v>4.8099999999999996</v>
      </c>
      <c r="E40">
        <v>6.57</v>
      </c>
      <c r="F40">
        <v>13.729999999999899</v>
      </c>
      <c r="G40" s="26">
        <v>7.9899999999999904</v>
      </c>
      <c r="H40" s="26">
        <v>6.66</v>
      </c>
      <c r="I40" s="26">
        <v>2.31</v>
      </c>
      <c r="J40" s="26">
        <v>2.96</v>
      </c>
      <c r="K40" s="26">
        <v>0</v>
      </c>
      <c r="L40" s="26">
        <v>4.55</v>
      </c>
      <c r="M40" s="26">
        <v>0</v>
      </c>
      <c r="N40" s="26">
        <v>0</v>
      </c>
      <c r="O40" s="26">
        <v>0</v>
      </c>
      <c r="P40">
        <f t="shared" si="1"/>
        <v>14.649999999999991</v>
      </c>
      <c r="Q40" s="26">
        <f t="shared" si="2"/>
        <v>5.27</v>
      </c>
      <c r="R40">
        <f t="shared" si="3"/>
        <v>9.82</v>
      </c>
      <c r="U40" s="1">
        <v>1940</v>
      </c>
      <c r="V40" s="2">
        <v>51.82</v>
      </c>
      <c r="W40" s="5">
        <f t="shared" si="20"/>
        <v>3.8402161327672713E-2</v>
      </c>
      <c r="X40" s="5">
        <f t="shared" si="21"/>
        <v>9.2821304515631017E-2</v>
      </c>
      <c r="Y40" s="5">
        <f t="shared" si="22"/>
        <v>0.12678502508683906</v>
      </c>
      <c r="Z40" s="5">
        <f t="shared" si="23"/>
        <v>0.26495561559243341</v>
      </c>
      <c r="AA40" s="5">
        <f t="shared" si="24"/>
        <v>0.15418757236588171</v>
      </c>
      <c r="AB40" s="5">
        <f t="shared" si="25"/>
        <v>0.12852180625241219</v>
      </c>
      <c r="AC40" s="5">
        <f t="shared" si="26"/>
        <v>4.4577383249710535E-2</v>
      </c>
      <c r="AD40" s="5">
        <f t="shared" si="27"/>
        <v>5.7120802778849865E-2</v>
      </c>
      <c r="AE40" s="5">
        <f t="shared" si="28"/>
        <v>0</v>
      </c>
      <c r="AF40" s="5">
        <f t="shared" si="29"/>
        <v>8.7803936703975294E-2</v>
      </c>
      <c r="AG40" s="5">
        <f t="shared" si="30"/>
        <v>0</v>
      </c>
      <c r="AH40" s="5">
        <f t="shared" si="31"/>
        <v>0</v>
      </c>
      <c r="AI40" s="5">
        <f t="shared" si="32"/>
        <v>0</v>
      </c>
      <c r="AJ40" s="6">
        <f t="shared" si="17"/>
        <v>0.28270937861829393</v>
      </c>
      <c r="AK40" s="6">
        <f t="shared" si="18"/>
        <v>0.1016981860285604</v>
      </c>
      <c r="AL40" s="6">
        <f t="shared" si="19"/>
        <v>0.18950212273253569</v>
      </c>
    </row>
    <row r="41" spans="1:42" ht="18.75" x14ac:dyDescent="0.3">
      <c r="A41">
        <v>1941</v>
      </c>
      <c r="B41">
        <v>0</v>
      </c>
      <c r="C41">
        <v>1.54</v>
      </c>
      <c r="D41">
        <v>3.3699999999999899</v>
      </c>
      <c r="E41">
        <v>5.6899999999999897</v>
      </c>
      <c r="F41">
        <v>10.92</v>
      </c>
      <c r="G41" s="26">
        <v>10.51</v>
      </c>
      <c r="H41" s="26">
        <v>5.28</v>
      </c>
      <c r="I41" s="26">
        <v>0</v>
      </c>
      <c r="J41" s="26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>
        <f t="shared" si="1"/>
        <v>15.79</v>
      </c>
      <c r="Q41" s="26">
        <f t="shared" si="2"/>
        <v>0</v>
      </c>
      <c r="R41">
        <f t="shared" si="3"/>
        <v>0</v>
      </c>
      <c r="U41" s="3">
        <v>1941</v>
      </c>
      <c r="V41" s="4">
        <v>37.409999999999997</v>
      </c>
      <c r="W41" s="5">
        <f t="shared" si="20"/>
        <v>4.1165463779738044E-2</v>
      </c>
      <c r="X41" s="5">
        <f t="shared" si="21"/>
        <v>9.0082865543971935E-2</v>
      </c>
      <c r="Y41" s="5">
        <f t="shared" si="22"/>
        <v>0.15209836941994093</v>
      </c>
      <c r="Z41" s="5">
        <f t="shared" si="23"/>
        <v>0.29190056134723341</v>
      </c>
      <c r="AA41" s="5">
        <f t="shared" si="24"/>
        <v>0.28094092488639405</v>
      </c>
      <c r="AB41" s="5">
        <f t="shared" si="25"/>
        <v>0.14113873295910187</v>
      </c>
      <c r="AC41" s="5">
        <f t="shared" si="26"/>
        <v>0</v>
      </c>
      <c r="AD41" s="5">
        <f t="shared" si="27"/>
        <v>0</v>
      </c>
      <c r="AE41" s="5">
        <f t="shared" si="28"/>
        <v>0</v>
      </c>
      <c r="AF41" s="5">
        <f t="shared" si="29"/>
        <v>0</v>
      </c>
      <c r="AG41" s="5">
        <f t="shared" si="30"/>
        <v>0</v>
      </c>
      <c r="AH41" s="5">
        <f t="shared" si="31"/>
        <v>0</v>
      </c>
      <c r="AI41" s="5">
        <f t="shared" si="32"/>
        <v>0</v>
      </c>
      <c r="AJ41" s="6">
        <f t="shared" si="17"/>
        <v>0.42207965784549595</v>
      </c>
      <c r="AK41" s="6">
        <f t="shared" si="18"/>
        <v>0</v>
      </c>
      <c r="AL41" s="6">
        <f t="shared" si="19"/>
        <v>0</v>
      </c>
      <c r="AO41" s="7" t="s">
        <v>15</v>
      </c>
      <c r="AP41" s="7"/>
    </row>
    <row r="42" spans="1:42" ht="18.75" x14ac:dyDescent="0.3">
      <c r="A42">
        <v>1942</v>
      </c>
      <c r="B42">
        <v>0</v>
      </c>
      <c r="C42">
        <v>1.52</v>
      </c>
      <c r="D42">
        <v>4.25</v>
      </c>
      <c r="E42">
        <v>7.5799999999999903</v>
      </c>
      <c r="F42">
        <v>16.57</v>
      </c>
      <c r="G42" s="26">
        <v>5.76</v>
      </c>
      <c r="H42" s="26">
        <v>3.57</v>
      </c>
      <c r="I42" s="26">
        <v>0</v>
      </c>
      <c r="J42" s="26">
        <v>0</v>
      </c>
      <c r="K42" s="26">
        <v>3.2</v>
      </c>
      <c r="L42" s="26">
        <v>0</v>
      </c>
      <c r="M42" s="26">
        <v>0</v>
      </c>
      <c r="N42" s="26">
        <v>0</v>
      </c>
      <c r="O42" s="26">
        <v>0</v>
      </c>
      <c r="P42">
        <f t="shared" si="1"/>
        <v>9.33</v>
      </c>
      <c r="Q42" s="26">
        <f t="shared" si="2"/>
        <v>3.2</v>
      </c>
      <c r="R42">
        <f t="shared" si="3"/>
        <v>3.2</v>
      </c>
      <c r="U42" s="1">
        <v>1942</v>
      </c>
      <c r="V42" s="2">
        <v>42.63</v>
      </c>
      <c r="W42" s="5">
        <f t="shared" si="20"/>
        <v>3.5655641566971617E-2</v>
      </c>
      <c r="X42" s="5">
        <f t="shared" si="21"/>
        <v>9.9695050433966689E-2</v>
      </c>
      <c r="Y42" s="5">
        <f t="shared" si="22"/>
        <v>0.17780905465634506</v>
      </c>
      <c r="Z42" s="5">
        <f t="shared" si="23"/>
        <v>0.38869340839784189</v>
      </c>
      <c r="AA42" s="5">
        <f t="shared" si="24"/>
        <v>0.13511611541168189</v>
      </c>
      <c r="AB42" s="5">
        <f t="shared" si="25"/>
        <v>8.3743842364532015E-2</v>
      </c>
      <c r="AC42" s="5">
        <f t="shared" si="26"/>
        <v>0</v>
      </c>
      <c r="AD42" s="5">
        <f t="shared" si="27"/>
        <v>0</v>
      </c>
      <c r="AE42" s="5">
        <f t="shared" si="28"/>
        <v>7.5064508562045509E-2</v>
      </c>
      <c r="AF42" s="5">
        <f t="shared" si="29"/>
        <v>0</v>
      </c>
      <c r="AG42" s="5">
        <f t="shared" si="30"/>
        <v>0</v>
      </c>
      <c r="AH42" s="5">
        <f t="shared" si="31"/>
        <v>0</v>
      </c>
      <c r="AI42" s="5">
        <f t="shared" si="32"/>
        <v>0</v>
      </c>
      <c r="AJ42" s="6">
        <f t="shared" si="17"/>
        <v>0.21885995777621392</v>
      </c>
      <c r="AK42" s="6">
        <f t="shared" si="18"/>
        <v>7.5064508562045509E-2</v>
      </c>
      <c r="AL42" s="6">
        <f t="shared" si="19"/>
        <v>7.5064508562045509E-2</v>
      </c>
      <c r="AO42" s="7" t="s">
        <v>16</v>
      </c>
      <c r="AP42" s="7" t="s">
        <v>17</v>
      </c>
    </row>
    <row r="43" spans="1:42" ht="18.75" x14ac:dyDescent="0.3">
      <c r="A43">
        <v>1943</v>
      </c>
      <c r="B43">
        <v>0</v>
      </c>
      <c r="C43">
        <v>2.02</v>
      </c>
      <c r="D43">
        <v>3.2899999999999898</v>
      </c>
      <c r="E43">
        <v>6.56</v>
      </c>
      <c r="F43">
        <v>7.5299999999999896</v>
      </c>
      <c r="G43" s="26">
        <v>6.44</v>
      </c>
      <c r="H43" s="26">
        <v>6.52</v>
      </c>
      <c r="I43" s="26">
        <v>0</v>
      </c>
      <c r="J43" s="26">
        <v>0</v>
      </c>
      <c r="K43" s="26">
        <v>3.5</v>
      </c>
      <c r="L43" s="26">
        <v>0</v>
      </c>
      <c r="M43" s="26">
        <v>0</v>
      </c>
      <c r="N43" s="26">
        <v>0</v>
      </c>
      <c r="O43" s="26">
        <v>0</v>
      </c>
      <c r="P43">
        <f t="shared" si="1"/>
        <v>12.96</v>
      </c>
      <c r="Q43" s="26">
        <f t="shared" si="2"/>
        <v>3.5</v>
      </c>
      <c r="R43">
        <f t="shared" si="3"/>
        <v>3.5</v>
      </c>
      <c r="U43" s="3">
        <v>1943</v>
      </c>
      <c r="V43" s="4">
        <v>36.07</v>
      </c>
      <c r="W43" s="5">
        <f t="shared" si="20"/>
        <v>5.6002217909620185E-2</v>
      </c>
      <c r="X43" s="5">
        <f t="shared" si="21"/>
        <v>9.1211533130024669E-2</v>
      </c>
      <c r="Y43" s="5">
        <f t="shared" si="22"/>
        <v>0.18186858885500415</v>
      </c>
      <c r="Z43" s="5">
        <f t="shared" si="23"/>
        <v>0.20876074299972247</v>
      </c>
      <c r="AA43" s="5">
        <f t="shared" si="24"/>
        <v>0.17854172442472971</v>
      </c>
      <c r="AB43" s="5">
        <f t="shared" si="25"/>
        <v>0.18075963404491266</v>
      </c>
      <c r="AC43" s="5">
        <f t="shared" si="26"/>
        <v>0</v>
      </c>
      <c r="AD43" s="5">
        <f t="shared" si="27"/>
        <v>0</v>
      </c>
      <c r="AE43" s="5">
        <f t="shared" si="28"/>
        <v>9.7033545883005265E-2</v>
      </c>
      <c r="AF43" s="5">
        <f t="shared" si="29"/>
        <v>0</v>
      </c>
      <c r="AG43" s="5">
        <f t="shared" si="30"/>
        <v>0</v>
      </c>
      <c r="AH43" s="5">
        <f t="shared" si="31"/>
        <v>0</v>
      </c>
      <c r="AI43" s="5">
        <f t="shared" si="32"/>
        <v>0</v>
      </c>
      <c r="AJ43" s="6">
        <f t="shared" si="17"/>
        <v>0.3593013584696424</v>
      </c>
      <c r="AK43" s="6">
        <f t="shared" si="18"/>
        <v>9.7033545883005265E-2</v>
      </c>
      <c r="AL43" s="6">
        <f t="shared" si="19"/>
        <v>9.7033545883005265E-2</v>
      </c>
      <c r="AO43" s="7" t="s">
        <v>0</v>
      </c>
      <c r="AP43" s="7" t="s">
        <v>18</v>
      </c>
    </row>
    <row r="44" spans="1:42" ht="18.75" x14ac:dyDescent="0.3">
      <c r="A44">
        <v>1944</v>
      </c>
      <c r="B44">
        <v>0</v>
      </c>
      <c r="C44">
        <v>2.19</v>
      </c>
      <c r="D44">
        <v>4.63</v>
      </c>
      <c r="E44">
        <v>4.4000000000000004</v>
      </c>
      <c r="F44">
        <v>9.7799999999999994</v>
      </c>
      <c r="G44" s="26">
        <v>10.53</v>
      </c>
      <c r="H44" s="26">
        <v>6.75</v>
      </c>
      <c r="I44" s="26">
        <v>2.0099999999999998</v>
      </c>
      <c r="J44" s="26">
        <v>0</v>
      </c>
      <c r="K44" s="26">
        <v>3.45</v>
      </c>
      <c r="L44" s="26">
        <v>0</v>
      </c>
      <c r="M44" s="26">
        <v>0</v>
      </c>
      <c r="N44" s="26">
        <v>0</v>
      </c>
      <c r="O44" s="26">
        <v>0</v>
      </c>
      <c r="P44">
        <f t="shared" si="1"/>
        <v>17.28</v>
      </c>
      <c r="Q44" s="26">
        <f t="shared" si="2"/>
        <v>5.46</v>
      </c>
      <c r="R44">
        <f t="shared" si="3"/>
        <v>5.46</v>
      </c>
      <c r="U44" s="1">
        <v>1944</v>
      </c>
      <c r="V44" s="2">
        <v>43.91</v>
      </c>
      <c r="W44" s="5">
        <f t="shared" si="20"/>
        <v>4.9874743794124349E-2</v>
      </c>
      <c r="X44" s="5">
        <f t="shared" si="21"/>
        <v>0.10544295149168754</v>
      </c>
      <c r="Y44" s="5">
        <f t="shared" si="22"/>
        <v>0.10020496470052381</v>
      </c>
      <c r="Z44" s="5">
        <f t="shared" si="23"/>
        <v>0.2227283079025279</v>
      </c>
      <c r="AA44" s="5">
        <f t="shared" si="24"/>
        <v>0.23980869961284446</v>
      </c>
      <c r="AB44" s="5">
        <f t="shared" si="25"/>
        <v>0.15372352539284903</v>
      </c>
      <c r="AC44" s="5">
        <f t="shared" si="26"/>
        <v>4.5775449783648371E-2</v>
      </c>
      <c r="AD44" s="5">
        <f t="shared" si="27"/>
        <v>0</v>
      </c>
      <c r="AE44" s="5">
        <f t="shared" si="28"/>
        <v>7.8569801867456171E-2</v>
      </c>
      <c r="AF44" s="5">
        <f t="shared" si="29"/>
        <v>0</v>
      </c>
      <c r="AG44" s="5">
        <f t="shared" si="30"/>
        <v>0</v>
      </c>
      <c r="AH44" s="5">
        <f t="shared" si="31"/>
        <v>0</v>
      </c>
      <c r="AI44" s="5">
        <f t="shared" si="32"/>
        <v>0</v>
      </c>
      <c r="AJ44" s="6">
        <f t="shared" si="17"/>
        <v>0.39353222500569351</v>
      </c>
      <c r="AK44" s="6">
        <f t="shared" si="18"/>
        <v>0.12434525165110455</v>
      </c>
      <c r="AL44" s="6">
        <f t="shared" si="19"/>
        <v>0.12434525165110455</v>
      </c>
      <c r="AO44" s="7" t="s">
        <v>1</v>
      </c>
      <c r="AP44" s="7" t="s">
        <v>19</v>
      </c>
    </row>
    <row r="45" spans="1:42" ht="18.75" x14ac:dyDescent="0.3">
      <c r="A45">
        <v>1945</v>
      </c>
      <c r="B45">
        <v>0</v>
      </c>
      <c r="C45">
        <v>2.4500000000000002</v>
      </c>
      <c r="D45">
        <v>6.08</v>
      </c>
      <c r="E45">
        <v>9.2100000000000009</v>
      </c>
      <c r="F45">
        <v>17.350000000000001</v>
      </c>
      <c r="G45" s="26">
        <v>1.05</v>
      </c>
      <c r="H45" s="26">
        <v>5.1099999999999897</v>
      </c>
      <c r="I45" s="26">
        <v>2.11</v>
      </c>
      <c r="J45" s="26">
        <v>5.47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>
        <f t="shared" si="1"/>
        <v>6.1599999999999895</v>
      </c>
      <c r="Q45" s="26">
        <f t="shared" si="2"/>
        <v>7.58</v>
      </c>
      <c r="R45">
        <f t="shared" si="3"/>
        <v>7.58</v>
      </c>
      <c r="U45" s="3">
        <v>1945</v>
      </c>
      <c r="V45" s="4">
        <v>48.98</v>
      </c>
      <c r="W45" s="5">
        <f t="shared" si="20"/>
        <v>5.0020416496529205E-2</v>
      </c>
      <c r="X45" s="5">
        <f t="shared" si="21"/>
        <v>0.12413229889750919</v>
      </c>
      <c r="Y45" s="5">
        <f t="shared" si="22"/>
        <v>0.18803593303389141</v>
      </c>
      <c r="Z45" s="5">
        <f t="shared" si="23"/>
        <v>0.35422621478154354</v>
      </c>
      <c r="AA45" s="5">
        <f t="shared" si="24"/>
        <v>2.1437321355655372E-2</v>
      </c>
      <c r="AB45" s="5">
        <f t="shared" si="25"/>
        <v>0.10432829726418925</v>
      </c>
      <c r="AC45" s="5">
        <f t="shared" si="26"/>
        <v>4.3078807676602694E-2</v>
      </c>
      <c r="AD45" s="5">
        <f t="shared" si="27"/>
        <v>0.11167823601469988</v>
      </c>
      <c r="AE45" s="5">
        <f t="shared" si="28"/>
        <v>0</v>
      </c>
      <c r="AF45" s="5">
        <f t="shared" si="29"/>
        <v>0</v>
      </c>
      <c r="AG45" s="5">
        <f t="shared" si="30"/>
        <v>0</v>
      </c>
      <c r="AH45" s="5">
        <f t="shared" si="31"/>
        <v>0</v>
      </c>
      <c r="AI45" s="5">
        <f t="shared" si="32"/>
        <v>0</v>
      </c>
      <c r="AJ45" s="6">
        <f t="shared" si="17"/>
        <v>0.12576561861984462</v>
      </c>
      <c r="AK45" s="6">
        <f t="shared" si="18"/>
        <v>0.15475704369130258</v>
      </c>
      <c r="AL45" s="6">
        <f t="shared" si="19"/>
        <v>0.15475704369130258</v>
      </c>
      <c r="AO45" s="7" t="s">
        <v>2</v>
      </c>
      <c r="AP45" s="7" t="s">
        <v>20</v>
      </c>
    </row>
    <row r="46" spans="1:42" ht="18.75" x14ac:dyDescent="0.3">
      <c r="A46">
        <v>1946</v>
      </c>
      <c r="B46">
        <v>0</v>
      </c>
      <c r="C46">
        <v>1.97</v>
      </c>
      <c r="D46">
        <v>4.57</v>
      </c>
      <c r="E46">
        <v>6.71</v>
      </c>
      <c r="F46">
        <v>10.69</v>
      </c>
      <c r="G46" s="26">
        <v>6.39</v>
      </c>
      <c r="H46" s="26">
        <v>3.46999999999999</v>
      </c>
      <c r="I46" s="26">
        <v>0</v>
      </c>
      <c r="J46" s="26">
        <v>2.66</v>
      </c>
      <c r="K46" s="26">
        <v>3.33</v>
      </c>
      <c r="L46" s="26">
        <v>0</v>
      </c>
      <c r="M46" s="26">
        <v>0</v>
      </c>
      <c r="N46" s="26">
        <v>0</v>
      </c>
      <c r="O46" s="26">
        <v>0</v>
      </c>
      <c r="P46">
        <f t="shared" si="1"/>
        <v>9.8599999999999888</v>
      </c>
      <c r="Q46" s="26">
        <f t="shared" si="2"/>
        <v>5.99</v>
      </c>
      <c r="R46">
        <f t="shared" si="3"/>
        <v>5.99</v>
      </c>
      <c r="U46" s="1">
        <v>1946</v>
      </c>
      <c r="V46" s="2">
        <v>39.93</v>
      </c>
      <c r="W46" s="5">
        <f t="shared" si="20"/>
        <v>4.9336338592536937E-2</v>
      </c>
      <c r="X46" s="5">
        <f t="shared" si="21"/>
        <v>0.11445028800400701</v>
      </c>
      <c r="Y46" s="5">
        <f t="shared" si="22"/>
        <v>0.16804407713498623</v>
      </c>
      <c r="Z46" s="5">
        <f t="shared" si="23"/>
        <v>0.26771850738792885</v>
      </c>
      <c r="AA46" s="5">
        <f t="shared" si="24"/>
        <v>0.16003005259203607</v>
      </c>
      <c r="AB46" s="5">
        <f t="shared" si="25"/>
        <v>8.6902078637615579E-2</v>
      </c>
      <c r="AC46" s="5">
        <f t="shared" si="26"/>
        <v>0</v>
      </c>
      <c r="AD46" s="5">
        <f t="shared" si="27"/>
        <v>6.6616579013273239E-2</v>
      </c>
      <c r="AE46" s="5">
        <f t="shared" si="28"/>
        <v>8.339594290007514E-2</v>
      </c>
      <c r="AF46" s="5">
        <f t="shared" si="29"/>
        <v>0</v>
      </c>
      <c r="AG46" s="5">
        <f t="shared" si="30"/>
        <v>0</v>
      </c>
      <c r="AH46" s="5">
        <f t="shared" si="31"/>
        <v>0</v>
      </c>
      <c r="AI46" s="5">
        <f t="shared" si="32"/>
        <v>0</v>
      </c>
      <c r="AJ46" s="6">
        <f t="shared" si="17"/>
        <v>0.24693213122965163</v>
      </c>
      <c r="AK46" s="6">
        <f t="shared" si="18"/>
        <v>0.15001252191334838</v>
      </c>
      <c r="AL46" s="6">
        <f t="shared" si="19"/>
        <v>0.15001252191334838</v>
      </c>
      <c r="AO46" s="7" t="s">
        <v>3</v>
      </c>
      <c r="AP46" s="7" t="s">
        <v>21</v>
      </c>
    </row>
    <row r="47" spans="1:42" ht="18.75" x14ac:dyDescent="0.3">
      <c r="A47">
        <v>1947</v>
      </c>
      <c r="B47">
        <v>0</v>
      </c>
      <c r="C47">
        <v>1.92</v>
      </c>
      <c r="D47">
        <v>3.53</v>
      </c>
      <c r="E47">
        <v>8.69</v>
      </c>
      <c r="F47">
        <v>14.0899999999999</v>
      </c>
      <c r="G47" s="26">
        <v>13.3</v>
      </c>
      <c r="H47" s="26">
        <v>0</v>
      </c>
      <c r="I47" s="26">
        <v>0</v>
      </c>
      <c r="J47" s="26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>
        <f t="shared" si="1"/>
        <v>13.3</v>
      </c>
      <c r="Q47" s="26">
        <f t="shared" si="2"/>
        <v>0</v>
      </c>
      <c r="R47">
        <f t="shared" si="3"/>
        <v>0</v>
      </c>
      <c r="U47" s="3">
        <v>1947</v>
      </c>
      <c r="V47" s="4">
        <v>41.64</v>
      </c>
      <c r="W47" s="5">
        <f t="shared" si="20"/>
        <v>4.6109510086455328E-2</v>
      </c>
      <c r="X47" s="5">
        <f t="shared" si="21"/>
        <v>8.4774255523535055E-2</v>
      </c>
      <c r="Y47" s="5">
        <f t="shared" si="22"/>
        <v>0.20869356388088375</v>
      </c>
      <c r="Z47" s="5">
        <f t="shared" si="23"/>
        <v>0.33837656099903701</v>
      </c>
      <c r="AA47" s="5">
        <f t="shared" si="24"/>
        <v>0.31940441882804999</v>
      </c>
      <c r="AB47" s="5">
        <f t="shared" si="25"/>
        <v>0</v>
      </c>
      <c r="AC47" s="5">
        <f t="shared" si="26"/>
        <v>0</v>
      </c>
      <c r="AD47" s="5">
        <f t="shared" si="27"/>
        <v>0</v>
      </c>
      <c r="AE47" s="5">
        <f t="shared" si="28"/>
        <v>0</v>
      </c>
      <c r="AF47" s="5">
        <f t="shared" si="29"/>
        <v>0</v>
      </c>
      <c r="AG47" s="5">
        <f t="shared" si="30"/>
        <v>0</v>
      </c>
      <c r="AH47" s="5">
        <f t="shared" si="31"/>
        <v>0</v>
      </c>
      <c r="AI47" s="5">
        <f t="shared" si="32"/>
        <v>0</v>
      </c>
      <c r="AJ47" s="6">
        <f t="shared" si="17"/>
        <v>0.31940441882804999</v>
      </c>
      <c r="AK47" s="6">
        <f t="shared" si="18"/>
        <v>0</v>
      </c>
      <c r="AL47" s="6">
        <f t="shared" si="19"/>
        <v>0</v>
      </c>
      <c r="AO47" s="7" t="s">
        <v>4</v>
      </c>
      <c r="AP47" s="7" t="s">
        <v>22</v>
      </c>
    </row>
    <row r="48" spans="1:42" ht="18.75" x14ac:dyDescent="0.3">
      <c r="A48">
        <v>1948</v>
      </c>
      <c r="B48">
        <v>0</v>
      </c>
      <c r="C48">
        <v>2.76</v>
      </c>
      <c r="D48">
        <v>4.26</v>
      </c>
      <c r="E48">
        <v>8.8899999999999899</v>
      </c>
      <c r="F48">
        <v>13.77</v>
      </c>
      <c r="G48" s="26">
        <v>11.989999999999901</v>
      </c>
      <c r="H48" s="26">
        <v>8.94</v>
      </c>
      <c r="I48" s="26">
        <v>2.0499999999999998</v>
      </c>
      <c r="J48" s="26">
        <v>2.62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>
        <f t="shared" si="1"/>
        <v>20.9299999999999</v>
      </c>
      <c r="Q48" s="26">
        <f t="shared" si="2"/>
        <v>4.67</v>
      </c>
      <c r="R48">
        <f t="shared" si="3"/>
        <v>4.67</v>
      </c>
      <c r="U48" s="1">
        <v>1948</v>
      </c>
      <c r="V48" s="2">
        <v>55.45</v>
      </c>
      <c r="W48" s="5">
        <f t="shared" si="20"/>
        <v>4.9774571686203778E-2</v>
      </c>
      <c r="X48" s="5">
        <f t="shared" si="21"/>
        <v>7.6825969341749317E-2</v>
      </c>
      <c r="Y48" s="5">
        <f t="shared" si="22"/>
        <v>0.16032461677186635</v>
      </c>
      <c r="Z48" s="5">
        <f t="shared" si="23"/>
        <v>0.24833183047790799</v>
      </c>
      <c r="AA48" s="5">
        <f t="shared" si="24"/>
        <v>0.21623083859332551</v>
      </c>
      <c r="AB48" s="5">
        <f t="shared" si="25"/>
        <v>0.16122633002705139</v>
      </c>
      <c r="AC48" s="5">
        <f t="shared" si="26"/>
        <v>3.6970243462578892E-2</v>
      </c>
      <c r="AD48" s="5">
        <f t="shared" si="27"/>
        <v>4.7249774571686207E-2</v>
      </c>
      <c r="AE48" s="5">
        <f t="shared" si="28"/>
        <v>0</v>
      </c>
      <c r="AF48" s="5">
        <f t="shared" si="29"/>
        <v>0</v>
      </c>
      <c r="AG48" s="5">
        <f t="shared" si="30"/>
        <v>0</v>
      </c>
      <c r="AH48" s="5">
        <f t="shared" si="31"/>
        <v>0</v>
      </c>
      <c r="AI48" s="5">
        <f t="shared" si="32"/>
        <v>0</v>
      </c>
      <c r="AJ48" s="6">
        <f t="shared" si="17"/>
        <v>0.37745716862037693</v>
      </c>
      <c r="AK48" s="6">
        <f t="shared" si="18"/>
        <v>8.4220018034265098E-2</v>
      </c>
      <c r="AL48" s="6">
        <f t="shared" si="19"/>
        <v>8.4220018034265098E-2</v>
      </c>
      <c r="AO48" s="7" t="s">
        <v>23</v>
      </c>
      <c r="AP48" s="7" t="s">
        <v>37</v>
      </c>
    </row>
    <row r="49" spans="1:42" ht="18.75" x14ac:dyDescent="0.3">
      <c r="A49">
        <v>1949</v>
      </c>
      <c r="B49">
        <v>0</v>
      </c>
      <c r="C49">
        <v>1.88</v>
      </c>
      <c r="D49">
        <v>2.5</v>
      </c>
      <c r="E49">
        <v>10.41</v>
      </c>
      <c r="F49">
        <v>14.75</v>
      </c>
      <c r="G49" s="26">
        <v>7.72</v>
      </c>
      <c r="H49" s="26">
        <v>0</v>
      </c>
      <c r="I49" s="26">
        <v>0</v>
      </c>
      <c r="J49" s="26">
        <v>0</v>
      </c>
      <c r="K49" s="26">
        <v>3.23</v>
      </c>
      <c r="L49" s="26">
        <v>0</v>
      </c>
      <c r="M49" s="26">
        <v>0</v>
      </c>
      <c r="N49" s="26">
        <v>0</v>
      </c>
      <c r="O49" s="26">
        <v>0</v>
      </c>
      <c r="P49">
        <f t="shared" si="1"/>
        <v>7.72</v>
      </c>
      <c r="Q49" s="26">
        <f t="shared" si="2"/>
        <v>3.23</v>
      </c>
      <c r="R49">
        <f t="shared" si="3"/>
        <v>3.23</v>
      </c>
      <c r="U49" s="3">
        <v>1949</v>
      </c>
      <c r="V49" s="4">
        <v>40.68</v>
      </c>
      <c r="W49" s="5">
        <f t="shared" si="20"/>
        <v>4.6214355948869218E-2</v>
      </c>
      <c r="X49" s="5">
        <f t="shared" si="21"/>
        <v>6.1455260570304822E-2</v>
      </c>
      <c r="Y49" s="5">
        <f t="shared" si="22"/>
        <v>0.25589970501474929</v>
      </c>
      <c r="Z49" s="5">
        <f t="shared" si="23"/>
        <v>0.36258603736479844</v>
      </c>
      <c r="AA49" s="5">
        <f t="shared" si="24"/>
        <v>0.18977384464110128</v>
      </c>
      <c r="AB49" s="5">
        <f t="shared" si="25"/>
        <v>0</v>
      </c>
      <c r="AC49" s="5">
        <f t="shared" si="26"/>
        <v>0</v>
      </c>
      <c r="AD49" s="5">
        <f t="shared" si="27"/>
        <v>0</v>
      </c>
      <c r="AE49" s="5">
        <f t="shared" si="28"/>
        <v>7.940019665683383E-2</v>
      </c>
      <c r="AF49" s="5">
        <f t="shared" si="29"/>
        <v>0</v>
      </c>
      <c r="AG49" s="5">
        <f t="shared" si="30"/>
        <v>0</v>
      </c>
      <c r="AH49" s="5">
        <f t="shared" si="31"/>
        <v>0</v>
      </c>
      <c r="AI49" s="5">
        <f t="shared" si="32"/>
        <v>0</v>
      </c>
      <c r="AJ49" s="6">
        <f t="shared" si="17"/>
        <v>0.18977384464110128</v>
      </c>
      <c r="AK49" s="6">
        <f t="shared" si="18"/>
        <v>7.940019665683383E-2</v>
      </c>
      <c r="AL49" s="6">
        <f t="shared" si="19"/>
        <v>7.940019665683383E-2</v>
      </c>
      <c r="AO49" s="7" t="s">
        <v>25</v>
      </c>
      <c r="AP49" s="7" t="s">
        <v>38</v>
      </c>
    </row>
    <row r="50" spans="1:42" x14ac:dyDescent="0.25">
      <c r="A50">
        <v>1950</v>
      </c>
      <c r="B50">
        <v>0</v>
      </c>
      <c r="C50">
        <v>2.02</v>
      </c>
      <c r="D50">
        <v>5.9</v>
      </c>
      <c r="E50">
        <v>4.09</v>
      </c>
      <c r="F50">
        <v>10.9399999999999</v>
      </c>
      <c r="G50" s="26">
        <v>8.1199999999999992</v>
      </c>
      <c r="H50" s="26">
        <v>1.76</v>
      </c>
      <c r="I50" s="26">
        <v>2.36</v>
      </c>
      <c r="J50" s="26">
        <v>0</v>
      </c>
      <c r="K50" s="26">
        <v>0</v>
      </c>
      <c r="L50" s="26">
        <v>4.2</v>
      </c>
      <c r="M50" s="26">
        <v>0</v>
      </c>
      <c r="N50" s="26">
        <v>0</v>
      </c>
      <c r="O50" s="26">
        <v>0</v>
      </c>
      <c r="P50">
        <f t="shared" si="1"/>
        <v>9.879999999999999</v>
      </c>
      <c r="Q50" s="26">
        <f t="shared" si="2"/>
        <v>2.36</v>
      </c>
      <c r="R50">
        <f t="shared" si="3"/>
        <v>6.5600000000000005</v>
      </c>
      <c r="U50" s="1">
        <v>1950</v>
      </c>
      <c r="V50" s="2">
        <v>39.67</v>
      </c>
      <c r="W50" s="5">
        <f t="shared" si="20"/>
        <v>5.092009074867658E-2</v>
      </c>
      <c r="X50" s="5">
        <f t="shared" si="21"/>
        <v>0.14872699773128309</v>
      </c>
      <c r="Y50" s="5">
        <f t="shared" si="22"/>
        <v>0.10310057978321149</v>
      </c>
      <c r="Z50" s="5">
        <f t="shared" si="23"/>
        <v>0.27577514494580035</v>
      </c>
      <c r="AA50" s="5">
        <f t="shared" si="24"/>
        <v>0.20468868162339296</v>
      </c>
      <c r="AB50" s="5">
        <f t="shared" si="25"/>
        <v>4.4366019662213256E-2</v>
      </c>
      <c r="AC50" s="5">
        <f t="shared" si="26"/>
        <v>5.949079909251323E-2</v>
      </c>
      <c r="AD50" s="5">
        <f t="shared" si="27"/>
        <v>0</v>
      </c>
      <c r="AE50" s="5">
        <f t="shared" si="28"/>
        <v>0</v>
      </c>
      <c r="AF50" s="5">
        <f t="shared" si="29"/>
        <v>0.10587345601209983</v>
      </c>
      <c r="AG50" s="5">
        <f t="shared" si="30"/>
        <v>0</v>
      </c>
      <c r="AH50" s="5">
        <f t="shared" si="31"/>
        <v>0</v>
      </c>
      <c r="AI50" s="5">
        <f t="shared" si="32"/>
        <v>0</v>
      </c>
      <c r="AJ50" s="6">
        <f t="shared" si="17"/>
        <v>0.24905470128560622</v>
      </c>
      <c r="AK50" s="6">
        <f t="shared" si="18"/>
        <v>5.949079909251323E-2</v>
      </c>
      <c r="AL50" s="6">
        <f t="shared" si="19"/>
        <v>0.16536425510461306</v>
      </c>
    </row>
    <row r="51" spans="1:42" x14ac:dyDescent="0.25">
      <c r="A51">
        <v>1951</v>
      </c>
      <c r="B51">
        <v>0</v>
      </c>
      <c r="C51">
        <v>1.91</v>
      </c>
      <c r="D51">
        <v>4.4399999999999897</v>
      </c>
      <c r="E51">
        <v>5.61</v>
      </c>
      <c r="F51">
        <v>9.17</v>
      </c>
      <c r="G51" s="26">
        <v>15.89</v>
      </c>
      <c r="H51" s="26">
        <v>1.89</v>
      </c>
      <c r="I51" s="26">
        <v>2.42</v>
      </c>
      <c r="J51" s="26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>
        <f t="shared" si="1"/>
        <v>17.78</v>
      </c>
      <c r="Q51" s="26">
        <f t="shared" si="2"/>
        <v>2.42</v>
      </c>
      <c r="R51">
        <f t="shared" si="3"/>
        <v>2.42</v>
      </c>
      <c r="U51" s="3">
        <v>1951</v>
      </c>
      <c r="V51" s="4">
        <v>41.47</v>
      </c>
      <c r="W51" s="5">
        <f t="shared" si="20"/>
        <v>4.6057390884977088E-2</v>
      </c>
      <c r="X51" s="5">
        <f t="shared" si="21"/>
        <v>0.10706534844465855</v>
      </c>
      <c r="Y51" s="5">
        <f t="shared" si="22"/>
        <v>0.13527851458885942</v>
      </c>
      <c r="Z51" s="5">
        <f t="shared" si="23"/>
        <v>0.22112370388232458</v>
      </c>
      <c r="AA51" s="5">
        <f t="shared" si="24"/>
        <v>0.38316855558234869</v>
      </c>
      <c r="AB51" s="5">
        <f t="shared" si="25"/>
        <v>4.5575114540631782E-2</v>
      </c>
      <c r="AC51" s="5">
        <f t="shared" si="26"/>
        <v>5.8355437665782495E-2</v>
      </c>
      <c r="AD51" s="5">
        <f t="shared" si="27"/>
        <v>0</v>
      </c>
      <c r="AE51" s="5">
        <f t="shared" si="28"/>
        <v>0</v>
      </c>
      <c r="AF51" s="5">
        <f t="shared" si="29"/>
        <v>0</v>
      </c>
      <c r="AG51" s="5">
        <f t="shared" si="30"/>
        <v>0</v>
      </c>
      <c r="AH51" s="5">
        <f t="shared" si="31"/>
        <v>0</v>
      </c>
      <c r="AI51" s="5">
        <f t="shared" si="32"/>
        <v>0</v>
      </c>
      <c r="AJ51" s="6">
        <f t="shared" si="17"/>
        <v>0.42874367012298048</v>
      </c>
      <c r="AK51" s="6">
        <f t="shared" si="18"/>
        <v>5.8355437665782495E-2</v>
      </c>
      <c r="AL51" s="6">
        <f t="shared" si="19"/>
        <v>5.8355437665782495E-2</v>
      </c>
    </row>
    <row r="52" spans="1:42" x14ac:dyDescent="0.25">
      <c r="A52">
        <v>1952</v>
      </c>
      <c r="B52">
        <v>0</v>
      </c>
      <c r="C52">
        <v>1.26</v>
      </c>
      <c r="D52">
        <v>2.7999999999999901</v>
      </c>
      <c r="E52">
        <v>10.29</v>
      </c>
      <c r="F52">
        <v>12.64</v>
      </c>
      <c r="G52" s="26">
        <v>10.17</v>
      </c>
      <c r="H52" s="26">
        <v>5.32</v>
      </c>
      <c r="I52" s="26">
        <v>4.32</v>
      </c>
      <c r="J52" s="26">
        <v>2.81</v>
      </c>
      <c r="K52" s="26">
        <v>3.23</v>
      </c>
      <c r="L52" s="26">
        <v>0</v>
      </c>
      <c r="M52" s="26">
        <v>0</v>
      </c>
      <c r="N52" s="26">
        <v>0</v>
      </c>
      <c r="O52" s="26">
        <v>0</v>
      </c>
      <c r="P52">
        <f t="shared" si="1"/>
        <v>15.49</v>
      </c>
      <c r="Q52" s="26">
        <f t="shared" si="2"/>
        <v>10.360000000000001</v>
      </c>
      <c r="R52">
        <f t="shared" si="3"/>
        <v>10.360000000000001</v>
      </c>
      <c r="U52" s="1">
        <v>1952</v>
      </c>
      <c r="V52" s="2">
        <v>52.88</v>
      </c>
      <c r="W52" s="5">
        <f t="shared" si="20"/>
        <v>2.3827534039334342E-2</v>
      </c>
      <c r="X52" s="5">
        <f t="shared" si="21"/>
        <v>5.2950075642965014E-2</v>
      </c>
      <c r="Y52" s="5">
        <f t="shared" si="22"/>
        <v>0.19459152798789711</v>
      </c>
      <c r="Z52" s="5">
        <f t="shared" si="23"/>
        <v>0.23903177004538578</v>
      </c>
      <c r="AA52" s="5">
        <f t="shared" si="24"/>
        <v>0.19232223903177004</v>
      </c>
      <c r="AB52" s="5">
        <f t="shared" si="25"/>
        <v>0.10060514372163389</v>
      </c>
      <c r="AC52" s="5">
        <f t="shared" si="26"/>
        <v>8.1694402420574894E-2</v>
      </c>
      <c r="AD52" s="5">
        <f t="shared" si="27"/>
        <v>5.3139183055975793E-2</v>
      </c>
      <c r="AE52" s="5">
        <f t="shared" si="28"/>
        <v>6.1081694402420575E-2</v>
      </c>
      <c r="AF52" s="5">
        <f t="shared" si="29"/>
        <v>0</v>
      </c>
      <c r="AG52" s="5">
        <f t="shared" si="30"/>
        <v>0</v>
      </c>
      <c r="AH52" s="5">
        <f t="shared" si="31"/>
        <v>0</v>
      </c>
      <c r="AI52" s="5">
        <f t="shared" si="32"/>
        <v>0</v>
      </c>
      <c r="AJ52" s="6">
        <f t="shared" si="17"/>
        <v>0.29292738275340391</v>
      </c>
      <c r="AK52" s="6">
        <f t="shared" si="18"/>
        <v>0.19591527987897128</v>
      </c>
      <c r="AL52" s="6">
        <f t="shared" si="19"/>
        <v>0.19591527987897128</v>
      </c>
    </row>
    <row r="53" spans="1:42" x14ac:dyDescent="0.25">
      <c r="A53">
        <v>1953</v>
      </c>
      <c r="B53">
        <v>0</v>
      </c>
      <c r="C53">
        <v>1.06</v>
      </c>
      <c r="D53">
        <v>3.6</v>
      </c>
      <c r="E53">
        <v>8.93</v>
      </c>
      <c r="F53">
        <v>13.5299999999999</v>
      </c>
      <c r="G53" s="26">
        <v>8.27</v>
      </c>
      <c r="H53" s="26">
        <v>8.65</v>
      </c>
      <c r="I53" s="26">
        <v>2.2200000000000002</v>
      </c>
      <c r="J53" s="26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>
        <f t="shared" si="1"/>
        <v>16.920000000000002</v>
      </c>
      <c r="Q53" s="26">
        <f t="shared" si="2"/>
        <v>2.2200000000000002</v>
      </c>
      <c r="R53">
        <f t="shared" si="3"/>
        <v>2.2200000000000002</v>
      </c>
      <c r="U53" s="3">
        <v>1953</v>
      </c>
      <c r="V53" s="4">
        <v>46.39</v>
      </c>
      <c r="W53" s="5">
        <f t="shared" si="20"/>
        <v>2.2849752101746067E-2</v>
      </c>
      <c r="X53" s="5">
        <f t="shared" si="21"/>
        <v>7.7602931666307398E-2</v>
      </c>
      <c r="Y53" s="5">
        <f t="shared" si="22"/>
        <v>0.19249838327225693</v>
      </c>
      <c r="Z53" s="5">
        <f t="shared" si="23"/>
        <v>0.29165768484586979</v>
      </c>
      <c r="AA53" s="5">
        <f t="shared" si="24"/>
        <v>0.1782711791334339</v>
      </c>
      <c r="AB53" s="5">
        <f t="shared" si="25"/>
        <v>0.18646259969821083</v>
      </c>
      <c r="AC53" s="5">
        <f t="shared" si="26"/>
        <v>4.7855141194222899E-2</v>
      </c>
      <c r="AD53" s="5">
        <f t="shared" si="27"/>
        <v>0</v>
      </c>
      <c r="AE53" s="5">
        <f t="shared" si="28"/>
        <v>0</v>
      </c>
      <c r="AF53" s="5">
        <f t="shared" si="29"/>
        <v>0</v>
      </c>
      <c r="AG53" s="5">
        <f t="shared" si="30"/>
        <v>0</v>
      </c>
      <c r="AH53" s="5">
        <f t="shared" si="31"/>
        <v>0</v>
      </c>
      <c r="AI53" s="5">
        <f t="shared" si="32"/>
        <v>0</v>
      </c>
      <c r="AJ53" s="6">
        <f t="shared" si="17"/>
        <v>0.36473377883164471</v>
      </c>
      <c r="AK53" s="6">
        <f t="shared" si="18"/>
        <v>4.7855141194222899E-2</v>
      </c>
      <c r="AL53" s="6">
        <f t="shared" si="19"/>
        <v>4.7855141194222899E-2</v>
      </c>
    </row>
    <row r="54" spans="1:42" x14ac:dyDescent="0.25">
      <c r="A54">
        <v>1954</v>
      </c>
      <c r="B54">
        <v>0</v>
      </c>
      <c r="C54">
        <v>1.24</v>
      </c>
      <c r="D54">
        <v>3.4299999999999899</v>
      </c>
      <c r="E54">
        <v>6.25</v>
      </c>
      <c r="F54">
        <v>14.05</v>
      </c>
      <c r="G54" s="26">
        <v>4.8899999999999997</v>
      </c>
      <c r="H54" s="26">
        <v>1.74</v>
      </c>
      <c r="I54" s="26">
        <v>4.38</v>
      </c>
      <c r="J54" s="26">
        <v>0</v>
      </c>
      <c r="K54" s="26">
        <v>0</v>
      </c>
      <c r="L54" s="26">
        <v>4.25</v>
      </c>
      <c r="M54" s="26">
        <v>0</v>
      </c>
      <c r="N54" s="26">
        <v>0</v>
      </c>
      <c r="O54" s="26">
        <v>0</v>
      </c>
      <c r="P54">
        <f t="shared" si="1"/>
        <v>6.63</v>
      </c>
      <c r="Q54" s="26">
        <f t="shared" si="2"/>
        <v>4.38</v>
      </c>
      <c r="R54">
        <f t="shared" si="3"/>
        <v>8.629999999999999</v>
      </c>
      <c r="U54" s="1">
        <v>1954</v>
      </c>
      <c r="V54" s="2">
        <v>40.590000000000003</v>
      </c>
      <c r="W54" s="5">
        <f t="shared" si="20"/>
        <v>3.0549396403054936E-2</v>
      </c>
      <c r="X54" s="5">
        <f t="shared" si="21"/>
        <v>8.4503572308450098E-2</v>
      </c>
      <c r="Y54" s="5">
        <f t="shared" si="22"/>
        <v>0.15397881251539786</v>
      </c>
      <c r="Z54" s="5">
        <f t="shared" si="23"/>
        <v>0.34614437053461444</v>
      </c>
      <c r="AA54" s="5">
        <f t="shared" si="24"/>
        <v>0.12047302291204728</v>
      </c>
      <c r="AB54" s="5">
        <f t="shared" si="25"/>
        <v>4.2867701404286765E-2</v>
      </c>
      <c r="AC54" s="5">
        <f t="shared" si="26"/>
        <v>0.10790835181079082</v>
      </c>
      <c r="AD54" s="5">
        <f t="shared" si="27"/>
        <v>0</v>
      </c>
      <c r="AE54" s="5">
        <f t="shared" si="28"/>
        <v>0</v>
      </c>
      <c r="AF54" s="5">
        <f t="shared" si="29"/>
        <v>0.10470559251047055</v>
      </c>
      <c r="AG54" s="5">
        <f t="shared" si="30"/>
        <v>0</v>
      </c>
      <c r="AH54" s="5">
        <f t="shared" si="31"/>
        <v>0</v>
      </c>
      <c r="AI54" s="5">
        <f t="shared" si="32"/>
        <v>0</v>
      </c>
      <c r="AJ54" s="6">
        <f t="shared" si="17"/>
        <v>0.16334072431633406</v>
      </c>
      <c r="AK54" s="6">
        <f t="shared" si="18"/>
        <v>0.10790835181079082</v>
      </c>
      <c r="AL54" s="6">
        <f t="shared" si="19"/>
        <v>0.21261394432126138</v>
      </c>
    </row>
    <row r="55" spans="1:42" x14ac:dyDescent="0.25">
      <c r="A55">
        <v>1955</v>
      </c>
      <c r="B55">
        <v>0</v>
      </c>
      <c r="C55">
        <v>1.71</v>
      </c>
      <c r="D55">
        <v>3.12</v>
      </c>
      <c r="E55">
        <v>6.1299999999999901</v>
      </c>
      <c r="F55">
        <v>11.229999999999899</v>
      </c>
      <c r="G55" s="26">
        <v>2.3199999999999998</v>
      </c>
      <c r="H55" s="26">
        <v>3.53</v>
      </c>
      <c r="I55" s="26">
        <v>0</v>
      </c>
      <c r="J55" s="26">
        <v>2.7</v>
      </c>
      <c r="K55" s="26">
        <v>3.21</v>
      </c>
      <c r="L55" s="26">
        <v>0</v>
      </c>
      <c r="M55" s="26">
        <v>0</v>
      </c>
      <c r="N55" s="26">
        <v>0</v>
      </c>
      <c r="O55" s="26">
        <v>0</v>
      </c>
      <c r="P55">
        <f t="shared" si="1"/>
        <v>5.85</v>
      </c>
      <c r="Q55" s="26">
        <f t="shared" si="2"/>
        <v>5.91</v>
      </c>
      <c r="R55">
        <f t="shared" si="3"/>
        <v>5.91</v>
      </c>
      <c r="U55" s="3">
        <v>1955</v>
      </c>
      <c r="V55" s="4">
        <v>34.17</v>
      </c>
      <c r="W55" s="5">
        <f t="shared" si="20"/>
        <v>5.0043898156277432E-2</v>
      </c>
      <c r="X55" s="5">
        <f t="shared" si="21"/>
        <v>9.1308165057067597E-2</v>
      </c>
      <c r="Y55" s="5">
        <f t="shared" si="22"/>
        <v>0.1793971319871229</v>
      </c>
      <c r="Z55" s="5">
        <f t="shared" si="23"/>
        <v>0.32865086333040383</v>
      </c>
      <c r="AA55" s="5">
        <f t="shared" si="24"/>
        <v>6.7895815042434873E-2</v>
      </c>
      <c r="AB55" s="5">
        <f t="shared" si="25"/>
        <v>0.10330699443956685</v>
      </c>
      <c r="AC55" s="5">
        <f t="shared" si="26"/>
        <v>0</v>
      </c>
      <c r="AD55" s="5">
        <f t="shared" si="27"/>
        <v>7.9016681299385425E-2</v>
      </c>
      <c r="AE55" s="5">
        <f t="shared" si="28"/>
        <v>9.3942054433713784E-2</v>
      </c>
      <c r="AF55" s="5">
        <f t="shared" si="29"/>
        <v>0</v>
      </c>
      <c r="AG55" s="5">
        <f t="shared" si="30"/>
        <v>0</v>
      </c>
      <c r="AH55" s="5">
        <f t="shared" si="31"/>
        <v>0</v>
      </c>
      <c r="AI55" s="5">
        <f t="shared" si="32"/>
        <v>0</v>
      </c>
      <c r="AJ55" s="6">
        <f t="shared" si="17"/>
        <v>0.17120280948200173</v>
      </c>
      <c r="AK55" s="6">
        <f t="shared" si="18"/>
        <v>0.17295873573309922</v>
      </c>
      <c r="AL55" s="6">
        <f t="shared" si="19"/>
        <v>0.17295873573309922</v>
      </c>
    </row>
    <row r="56" spans="1:42" x14ac:dyDescent="0.25">
      <c r="A56">
        <v>1956</v>
      </c>
      <c r="B56">
        <v>0</v>
      </c>
      <c r="C56">
        <v>1.68</v>
      </c>
      <c r="D56">
        <v>5.03</v>
      </c>
      <c r="E56">
        <v>11.96</v>
      </c>
      <c r="F56">
        <v>12.79</v>
      </c>
      <c r="G56" s="26">
        <v>8.99</v>
      </c>
      <c r="H56" s="26">
        <v>1.98</v>
      </c>
      <c r="I56" s="26">
        <v>2.33</v>
      </c>
      <c r="J56" s="26">
        <v>0</v>
      </c>
      <c r="K56" s="26">
        <v>0</v>
      </c>
      <c r="L56" s="26">
        <v>4.0199999999999996</v>
      </c>
      <c r="M56" s="26">
        <v>0</v>
      </c>
      <c r="N56" s="26">
        <v>0</v>
      </c>
      <c r="O56" s="26">
        <v>0</v>
      </c>
      <c r="P56">
        <f t="shared" si="1"/>
        <v>10.97</v>
      </c>
      <c r="Q56" s="26">
        <f t="shared" si="2"/>
        <v>2.33</v>
      </c>
      <c r="R56">
        <f t="shared" si="3"/>
        <v>6.35</v>
      </c>
      <c r="U56" s="1">
        <v>1956</v>
      </c>
      <c r="V56" s="2">
        <v>48.86</v>
      </c>
      <c r="W56" s="5">
        <f t="shared" si="20"/>
        <v>3.4383954154727794E-2</v>
      </c>
      <c r="X56" s="5">
        <f t="shared" si="21"/>
        <v>0.10294719607040524</v>
      </c>
      <c r="Y56" s="5">
        <f t="shared" si="22"/>
        <v>0.2447810069586574</v>
      </c>
      <c r="Z56" s="5">
        <f t="shared" si="23"/>
        <v>0.26176831764224312</v>
      </c>
      <c r="AA56" s="5">
        <f t="shared" si="24"/>
        <v>0.18399508800654932</v>
      </c>
      <c r="AB56" s="5">
        <f t="shared" si="25"/>
        <v>4.0523945968072045E-2</v>
      </c>
      <c r="AC56" s="5">
        <f t="shared" si="26"/>
        <v>4.7687269750307001E-2</v>
      </c>
      <c r="AD56" s="5">
        <f t="shared" si="27"/>
        <v>0</v>
      </c>
      <c r="AE56" s="5">
        <f t="shared" si="28"/>
        <v>0</v>
      </c>
      <c r="AF56" s="5">
        <f t="shared" si="29"/>
        <v>8.2275890298812923E-2</v>
      </c>
      <c r="AG56" s="5">
        <f t="shared" si="30"/>
        <v>0</v>
      </c>
      <c r="AH56" s="5">
        <f t="shared" si="31"/>
        <v>0</v>
      </c>
      <c r="AI56" s="5">
        <f t="shared" si="32"/>
        <v>0</v>
      </c>
      <c r="AJ56" s="6">
        <f t="shared" si="17"/>
        <v>0.22451903397462136</v>
      </c>
      <c r="AK56" s="6">
        <f t="shared" si="18"/>
        <v>4.7687269750307001E-2</v>
      </c>
      <c r="AL56" s="6">
        <f t="shared" si="19"/>
        <v>0.12996316004911992</v>
      </c>
    </row>
    <row r="57" spans="1:42" x14ac:dyDescent="0.25">
      <c r="A57">
        <v>1957</v>
      </c>
      <c r="B57">
        <v>0</v>
      </c>
      <c r="C57">
        <v>2.02</v>
      </c>
      <c r="D57">
        <v>6.13</v>
      </c>
      <c r="E57">
        <v>8.3799999999999901</v>
      </c>
      <c r="F57">
        <v>9.8800000000000008</v>
      </c>
      <c r="G57" s="26">
        <v>8.16</v>
      </c>
      <c r="H57" s="26">
        <v>0</v>
      </c>
      <c r="I57" s="26">
        <v>0</v>
      </c>
      <c r="J57" s="26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>
        <f t="shared" si="1"/>
        <v>8.16</v>
      </c>
      <c r="Q57" s="26">
        <f t="shared" si="2"/>
        <v>0</v>
      </c>
      <c r="R57">
        <f t="shared" si="3"/>
        <v>0</v>
      </c>
      <c r="U57" s="3">
        <v>1957</v>
      </c>
      <c r="V57" s="4">
        <v>34.83</v>
      </c>
      <c r="W57" s="5">
        <f t="shared" si="20"/>
        <v>5.7995980476600636E-2</v>
      </c>
      <c r="X57" s="5">
        <f t="shared" si="21"/>
        <v>0.17599770312948609</v>
      </c>
      <c r="Y57" s="5">
        <f t="shared" si="22"/>
        <v>0.24059718633362018</v>
      </c>
      <c r="Z57" s="5">
        <f t="shared" si="23"/>
        <v>0.28366350846971006</v>
      </c>
      <c r="AA57" s="5">
        <f t="shared" si="24"/>
        <v>0.23428079242032732</v>
      </c>
      <c r="AB57" s="5">
        <f t="shared" si="25"/>
        <v>0</v>
      </c>
      <c r="AC57" s="5">
        <f t="shared" si="26"/>
        <v>0</v>
      </c>
      <c r="AD57" s="5">
        <f t="shared" si="27"/>
        <v>0</v>
      </c>
      <c r="AE57" s="5">
        <f t="shared" si="28"/>
        <v>0</v>
      </c>
      <c r="AF57" s="5">
        <f t="shared" si="29"/>
        <v>0</v>
      </c>
      <c r="AG57" s="5">
        <f t="shared" si="30"/>
        <v>0</v>
      </c>
      <c r="AH57" s="5">
        <f t="shared" si="31"/>
        <v>0</v>
      </c>
      <c r="AI57" s="5">
        <f t="shared" si="32"/>
        <v>0</v>
      </c>
      <c r="AJ57" s="6">
        <f t="shared" si="17"/>
        <v>0.23428079242032732</v>
      </c>
      <c r="AK57" s="6">
        <f t="shared" si="18"/>
        <v>0</v>
      </c>
      <c r="AL57" s="6">
        <f t="shared" si="19"/>
        <v>0</v>
      </c>
    </row>
    <row r="58" spans="1:42" x14ac:dyDescent="0.25">
      <c r="A58">
        <v>1958</v>
      </c>
      <c r="B58">
        <v>0</v>
      </c>
      <c r="C58">
        <v>1.72</v>
      </c>
      <c r="D58">
        <v>2.4</v>
      </c>
      <c r="E58">
        <v>6.54</v>
      </c>
      <c r="F58">
        <v>19.6799999999999</v>
      </c>
      <c r="G58" s="26">
        <v>17.14</v>
      </c>
      <c r="H58" s="26">
        <v>8.49</v>
      </c>
      <c r="I58" s="26">
        <v>4.2300000000000004</v>
      </c>
      <c r="J58" s="26">
        <v>0</v>
      </c>
      <c r="K58" s="26">
        <v>0</v>
      </c>
      <c r="L58" s="26">
        <v>4.16</v>
      </c>
      <c r="M58" s="26">
        <v>0</v>
      </c>
      <c r="N58" s="26">
        <v>0</v>
      </c>
      <c r="O58" s="26">
        <v>0</v>
      </c>
      <c r="P58">
        <f t="shared" si="1"/>
        <v>25.630000000000003</v>
      </c>
      <c r="Q58" s="26">
        <f t="shared" si="2"/>
        <v>4.2300000000000004</v>
      </c>
      <c r="R58">
        <f t="shared" si="3"/>
        <v>8.39</v>
      </c>
      <c r="U58" s="1">
        <v>1958</v>
      </c>
      <c r="V58" s="2">
        <v>64.44</v>
      </c>
      <c r="W58" s="5">
        <f t="shared" si="20"/>
        <v>2.6691495965238982E-2</v>
      </c>
      <c r="X58" s="5">
        <f t="shared" si="21"/>
        <v>3.7243947858473E-2</v>
      </c>
      <c r="Y58" s="5">
        <f t="shared" si="22"/>
        <v>0.10148975791433892</v>
      </c>
      <c r="Z58" s="5">
        <f t="shared" si="23"/>
        <v>0.30540037243947704</v>
      </c>
      <c r="AA58" s="5">
        <f t="shared" si="24"/>
        <v>0.26598386095592802</v>
      </c>
      <c r="AB58" s="5">
        <f t="shared" si="25"/>
        <v>0.13175046554934824</v>
      </c>
      <c r="AC58" s="5">
        <f t="shared" si="26"/>
        <v>6.5642458100558673E-2</v>
      </c>
      <c r="AD58" s="5">
        <f t="shared" si="27"/>
        <v>0</v>
      </c>
      <c r="AE58" s="5">
        <f t="shared" si="28"/>
        <v>0</v>
      </c>
      <c r="AF58" s="5">
        <f t="shared" si="29"/>
        <v>6.4556176288019865E-2</v>
      </c>
      <c r="AG58" s="5">
        <f t="shared" si="30"/>
        <v>0</v>
      </c>
      <c r="AH58" s="5">
        <f t="shared" si="31"/>
        <v>0</v>
      </c>
      <c r="AI58" s="5">
        <f t="shared" si="32"/>
        <v>0</v>
      </c>
      <c r="AJ58" s="6">
        <f t="shared" si="17"/>
        <v>0.39773432650527629</v>
      </c>
      <c r="AK58" s="6">
        <f t="shared" si="18"/>
        <v>6.5642458100558673E-2</v>
      </c>
      <c r="AL58" s="6">
        <f t="shared" si="19"/>
        <v>0.13019863438857854</v>
      </c>
    </row>
    <row r="59" spans="1:42" x14ac:dyDescent="0.25">
      <c r="A59">
        <v>1959</v>
      </c>
      <c r="B59">
        <v>0</v>
      </c>
      <c r="C59">
        <v>1.61</v>
      </c>
      <c r="D59">
        <v>5.2</v>
      </c>
      <c r="E59">
        <v>8.46999999999999</v>
      </c>
      <c r="F59">
        <v>13.01</v>
      </c>
      <c r="G59" s="26">
        <v>6.36</v>
      </c>
      <c r="H59" s="26">
        <v>5.1999999999999904</v>
      </c>
      <c r="I59" s="26">
        <v>0</v>
      </c>
      <c r="J59" s="26">
        <v>0</v>
      </c>
      <c r="K59" s="26">
        <v>0</v>
      </c>
      <c r="L59" s="26">
        <v>0</v>
      </c>
      <c r="M59" s="26">
        <v>0</v>
      </c>
      <c r="N59" s="26">
        <v>0</v>
      </c>
      <c r="O59" s="26">
        <v>0</v>
      </c>
      <c r="P59">
        <f t="shared" si="1"/>
        <v>11.559999999999992</v>
      </c>
      <c r="Q59" s="26">
        <f t="shared" si="2"/>
        <v>0</v>
      </c>
      <c r="R59">
        <f t="shared" si="3"/>
        <v>0</v>
      </c>
      <c r="U59" s="3">
        <v>1959</v>
      </c>
      <c r="V59" s="4">
        <v>39.97</v>
      </c>
      <c r="W59" s="5">
        <f t="shared" si="20"/>
        <v>4.0280210157618214E-2</v>
      </c>
      <c r="X59" s="5">
        <f t="shared" si="21"/>
        <v>0.13009757317988493</v>
      </c>
      <c r="Y59" s="5">
        <f t="shared" si="22"/>
        <v>0.21190893169877384</v>
      </c>
      <c r="Z59" s="5">
        <f t="shared" si="23"/>
        <v>0.32549412059044286</v>
      </c>
      <c r="AA59" s="5">
        <f t="shared" si="24"/>
        <v>0.15911933950462848</v>
      </c>
      <c r="AB59" s="5">
        <f t="shared" si="25"/>
        <v>0.13009757317988468</v>
      </c>
      <c r="AC59" s="5">
        <f t="shared" si="26"/>
        <v>0</v>
      </c>
      <c r="AD59" s="5">
        <f t="shared" si="27"/>
        <v>0</v>
      </c>
      <c r="AE59" s="5">
        <f t="shared" si="28"/>
        <v>0</v>
      </c>
      <c r="AF59" s="5">
        <f t="shared" si="29"/>
        <v>0</v>
      </c>
      <c r="AG59" s="5">
        <f t="shared" si="30"/>
        <v>0</v>
      </c>
      <c r="AH59" s="5">
        <f t="shared" si="31"/>
        <v>0</v>
      </c>
      <c r="AI59" s="5">
        <f t="shared" si="32"/>
        <v>0</v>
      </c>
      <c r="AJ59" s="6">
        <f t="shared" si="17"/>
        <v>0.28921691268451316</v>
      </c>
      <c r="AK59" s="6">
        <f t="shared" si="18"/>
        <v>0</v>
      </c>
      <c r="AL59" s="6">
        <f t="shared" si="19"/>
        <v>0</v>
      </c>
    </row>
    <row r="60" spans="1:42" x14ac:dyDescent="0.25">
      <c r="A60">
        <v>1960</v>
      </c>
      <c r="B60">
        <v>0</v>
      </c>
      <c r="C60">
        <v>1.74</v>
      </c>
      <c r="D60">
        <v>4.03</v>
      </c>
      <c r="E60">
        <v>7.12</v>
      </c>
      <c r="F60">
        <v>14.41</v>
      </c>
      <c r="G60" s="26">
        <v>7.28</v>
      </c>
      <c r="H60" s="26">
        <v>1.94</v>
      </c>
      <c r="I60" s="26">
        <v>0</v>
      </c>
      <c r="J60" s="26">
        <v>0</v>
      </c>
      <c r="K60" s="26">
        <v>0</v>
      </c>
      <c r="L60" s="26">
        <v>4.5199999999999996</v>
      </c>
      <c r="M60" s="26">
        <v>5.05</v>
      </c>
      <c r="N60" s="26">
        <v>0</v>
      </c>
      <c r="O60" s="26">
        <v>0</v>
      </c>
      <c r="P60">
        <f t="shared" si="1"/>
        <v>9.2200000000000006</v>
      </c>
      <c r="Q60" s="26">
        <f t="shared" si="2"/>
        <v>0</v>
      </c>
      <c r="R60">
        <f t="shared" si="3"/>
        <v>9.57</v>
      </c>
      <c r="U60" s="1">
        <v>1960</v>
      </c>
      <c r="V60" s="2">
        <v>46.19</v>
      </c>
      <c r="W60" s="5">
        <f t="shared" si="20"/>
        <v>3.7670491448365449E-2</v>
      </c>
      <c r="X60" s="5">
        <f t="shared" si="21"/>
        <v>8.724832214765102E-2</v>
      </c>
      <c r="Y60" s="5">
        <f t="shared" si="22"/>
        <v>0.15414591903009311</v>
      </c>
      <c r="Z60" s="5">
        <f t="shared" si="23"/>
        <v>0.31197228837410695</v>
      </c>
      <c r="AA60" s="5">
        <f t="shared" si="24"/>
        <v>0.1576098722667244</v>
      </c>
      <c r="AB60" s="5">
        <f t="shared" si="25"/>
        <v>4.2000432994154582E-2</v>
      </c>
      <c r="AC60" s="5">
        <f t="shared" si="26"/>
        <v>0</v>
      </c>
      <c r="AD60" s="5">
        <f t="shared" si="27"/>
        <v>0</v>
      </c>
      <c r="AE60" s="5">
        <f t="shared" si="28"/>
        <v>0</v>
      </c>
      <c r="AF60" s="5">
        <f t="shared" si="29"/>
        <v>9.7856678934834379E-2</v>
      </c>
      <c r="AG60" s="5">
        <f t="shared" si="30"/>
        <v>0.10933102403117557</v>
      </c>
      <c r="AH60" s="5">
        <f t="shared" si="31"/>
        <v>0</v>
      </c>
      <c r="AI60" s="5">
        <f t="shared" si="32"/>
        <v>0</v>
      </c>
      <c r="AJ60" s="6">
        <f t="shared" si="17"/>
        <v>0.19961030526087897</v>
      </c>
      <c r="AK60" s="6">
        <f t="shared" si="18"/>
        <v>0</v>
      </c>
      <c r="AL60" s="6">
        <f t="shared" si="19"/>
        <v>0.20718770296600997</v>
      </c>
    </row>
    <row r="61" spans="1:42" x14ac:dyDescent="0.25">
      <c r="A61">
        <v>1961</v>
      </c>
      <c r="B61">
        <v>0</v>
      </c>
      <c r="C61">
        <v>1.72</v>
      </c>
      <c r="D61">
        <v>3.8299999999999899</v>
      </c>
      <c r="E61">
        <v>9.56</v>
      </c>
      <c r="F61">
        <v>13.98</v>
      </c>
      <c r="G61" s="26">
        <v>7.2399999999999904</v>
      </c>
      <c r="H61" s="26">
        <v>3.8899999999999899</v>
      </c>
      <c r="I61" s="26">
        <v>4.76</v>
      </c>
      <c r="J61" s="26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>
        <f t="shared" si="1"/>
        <v>11.129999999999981</v>
      </c>
      <c r="Q61" s="26">
        <f t="shared" si="2"/>
        <v>4.76</v>
      </c>
      <c r="R61">
        <f t="shared" si="3"/>
        <v>4.76</v>
      </c>
      <c r="U61" s="3">
        <v>1961</v>
      </c>
      <c r="V61" s="4">
        <v>45.23</v>
      </c>
      <c r="W61" s="5">
        <f t="shared" si="20"/>
        <v>3.8027857616626137E-2</v>
      </c>
      <c r="X61" s="5">
        <f t="shared" si="21"/>
        <v>8.4678310855626576E-2</v>
      </c>
      <c r="Y61" s="5">
        <f t="shared" si="22"/>
        <v>0.21136413884589877</v>
      </c>
      <c r="Z61" s="5">
        <f t="shared" si="23"/>
        <v>0.30908688923281014</v>
      </c>
      <c r="AA61" s="5">
        <f t="shared" si="24"/>
        <v>0.16007074950254235</v>
      </c>
      <c r="AB61" s="5">
        <f t="shared" si="25"/>
        <v>8.6004864028299585E-2</v>
      </c>
      <c r="AC61" s="5">
        <f t="shared" si="26"/>
        <v>0.10523988503205838</v>
      </c>
      <c r="AD61" s="5">
        <f t="shared" si="27"/>
        <v>0</v>
      </c>
      <c r="AE61" s="5">
        <f t="shared" si="28"/>
        <v>0</v>
      </c>
      <c r="AF61" s="5">
        <f t="shared" si="29"/>
        <v>0</v>
      </c>
      <c r="AG61" s="5">
        <f t="shared" si="30"/>
        <v>0</v>
      </c>
      <c r="AH61" s="5">
        <f t="shared" si="31"/>
        <v>0</v>
      </c>
      <c r="AI61" s="5">
        <f t="shared" si="32"/>
        <v>0</v>
      </c>
      <c r="AJ61" s="6">
        <f t="shared" si="17"/>
        <v>0.24607561353084195</v>
      </c>
      <c r="AK61" s="6">
        <f t="shared" si="18"/>
        <v>0.10523988503205838</v>
      </c>
      <c r="AL61" s="6">
        <f t="shared" si="19"/>
        <v>0.10523988503205838</v>
      </c>
    </row>
    <row r="62" spans="1:42" x14ac:dyDescent="0.25">
      <c r="A62">
        <v>1962</v>
      </c>
      <c r="B62">
        <v>0</v>
      </c>
      <c r="C62">
        <v>1.57</v>
      </c>
      <c r="D62">
        <v>4.01</v>
      </c>
      <c r="E62">
        <v>5.89</v>
      </c>
      <c r="F62">
        <v>9.68</v>
      </c>
      <c r="G62" s="26">
        <v>11.78</v>
      </c>
      <c r="H62" s="26">
        <v>7.1</v>
      </c>
      <c r="I62" s="26">
        <v>2.0099999999999998</v>
      </c>
      <c r="J62" s="26">
        <v>2.67</v>
      </c>
      <c r="K62" s="26">
        <v>3.84</v>
      </c>
      <c r="L62" s="26">
        <v>0</v>
      </c>
      <c r="M62" s="26">
        <v>0</v>
      </c>
      <c r="N62" s="26">
        <v>0</v>
      </c>
      <c r="O62" s="26">
        <v>0</v>
      </c>
      <c r="P62">
        <f t="shared" si="1"/>
        <v>18.88</v>
      </c>
      <c r="Q62" s="26">
        <f t="shared" si="2"/>
        <v>8.52</v>
      </c>
      <c r="R62">
        <f t="shared" si="3"/>
        <v>8.52</v>
      </c>
      <c r="U62" s="1">
        <v>1962</v>
      </c>
      <c r="V62" s="2">
        <v>48.63</v>
      </c>
      <c r="W62" s="5">
        <f t="shared" si="20"/>
        <v>3.2284597984783052E-2</v>
      </c>
      <c r="X62" s="5">
        <f t="shared" si="21"/>
        <v>8.2459387209541421E-2</v>
      </c>
      <c r="Y62" s="5">
        <f t="shared" si="22"/>
        <v>0.12111865103845362</v>
      </c>
      <c r="Z62" s="5">
        <f t="shared" si="23"/>
        <v>0.19905408184248405</v>
      </c>
      <c r="AA62" s="5">
        <f t="shared" si="24"/>
        <v>0.24223730207690725</v>
      </c>
      <c r="AB62" s="5">
        <f t="shared" si="25"/>
        <v>0.14600041126876412</v>
      </c>
      <c r="AC62" s="5">
        <f t="shared" si="26"/>
        <v>4.133251079580505E-2</v>
      </c>
      <c r="AD62" s="5">
        <f t="shared" si="27"/>
        <v>5.4904380012338057E-2</v>
      </c>
      <c r="AE62" s="5">
        <f t="shared" si="28"/>
        <v>7.8963602714373832E-2</v>
      </c>
      <c r="AF62" s="5">
        <f t="shared" si="29"/>
        <v>0</v>
      </c>
      <c r="AG62" s="5">
        <f t="shared" si="30"/>
        <v>0</v>
      </c>
      <c r="AH62" s="5">
        <f t="shared" si="31"/>
        <v>0</v>
      </c>
      <c r="AI62" s="5">
        <f t="shared" si="32"/>
        <v>0</v>
      </c>
      <c r="AJ62" s="6">
        <f t="shared" si="17"/>
        <v>0.38823771334567136</v>
      </c>
      <c r="AK62" s="6">
        <f t="shared" si="18"/>
        <v>0.17520049352251693</v>
      </c>
      <c r="AL62" s="6">
        <f t="shared" si="19"/>
        <v>0.17520049352251693</v>
      </c>
    </row>
    <row r="63" spans="1:42" x14ac:dyDescent="0.25">
      <c r="A63">
        <v>1963</v>
      </c>
      <c r="B63">
        <v>0</v>
      </c>
      <c r="C63">
        <v>1.38</v>
      </c>
      <c r="D63">
        <v>3.64</v>
      </c>
      <c r="E63">
        <v>5.2</v>
      </c>
      <c r="F63">
        <v>11.94</v>
      </c>
      <c r="G63" s="26">
        <v>9.56</v>
      </c>
      <c r="H63" s="26">
        <v>1.84</v>
      </c>
      <c r="I63" s="26">
        <v>0</v>
      </c>
      <c r="J63" s="26">
        <v>2.8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>
        <f t="shared" si="1"/>
        <v>11.4</v>
      </c>
      <c r="Q63" s="26">
        <f t="shared" si="2"/>
        <v>2.8</v>
      </c>
      <c r="R63">
        <f t="shared" si="3"/>
        <v>2.8</v>
      </c>
      <c r="U63" s="3">
        <v>1963</v>
      </c>
      <c r="V63" s="4">
        <v>36.53</v>
      </c>
      <c r="W63" s="5">
        <f t="shared" si="20"/>
        <v>3.7777169449767313E-2</v>
      </c>
      <c r="X63" s="5">
        <f t="shared" si="21"/>
        <v>9.9644128113879002E-2</v>
      </c>
      <c r="Y63" s="5">
        <f t="shared" si="22"/>
        <v>0.14234875444839859</v>
      </c>
      <c r="Z63" s="5">
        <f t="shared" si="23"/>
        <v>0.32685464002189979</v>
      </c>
      <c r="AA63" s="5">
        <f t="shared" si="24"/>
        <v>0.2617027101012866</v>
      </c>
      <c r="AB63" s="5">
        <f t="shared" si="25"/>
        <v>5.0369559266356417E-2</v>
      </c>
      <c r="AC63" s="5">
        <f t="shared" si="26"/>
        <v>0</v>
      </c>
      <c r="AD63" s="5">
        <f t="shared" si="27"/>
        <v>7.6649329318368459E-2</v>
      </c>
      <c r="AE63" s="5">
        <f t="shared" si="28"/>
        <v>0</v>
      </c>
      <c r="AF63" s="5">
        <f t="shared" si="29"/>
        <v>0</v>
      </c>
      <c r="AG63" s="5">
        <f t="shared" si="30"/>
        <v>0</v>
      </c>
      <c r="AH63" s="5">
        <f t="shared" si="31"/>
        <v>0</v>
      </c>
      <c r="AI63" s="5">
        <f t="shared" si="32"/>
        <v>0</v>
      </c>
      <c r="AJ63" s="6">
        <f t="shared" si="17"/>
        <v>0.31207226936764298</v>
      </c>
      <c r="AK63" s="6">
        <f t="shared" si="18"/>
        <v>7.6649329318368459E-2</v>
      </c>
      <c r="AL63" s="6">
        <f t="shared" si="19"/>
        <v>7.6649329318368459E-2</v>
      </c>
    </row>
    <row r="64" spans="1:42" x14ac:dyDescent="0.25">
      <c r="A64">
        <v>1964</v>
      </c>
      <c r="B64">
        <v>0</v>
      </c>
      <c r="C64">
        <v>1.48</v>
      </c>
      <c r="D64">
        <v>2.5499999999999998</v>
      </c>
      <c r="E64">
        <v>3.98</v>
      </c>
      <c r="F64">
        <v>16.63</v>
      </c>
      <c r="G64" s="26">
        <v>3.51</v>
      </c>
      <c r="H64" s="26">
        <v>5.35</v>
      </c>
      <c r="I64" s="26">
        <v>2.29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>
        <f t="shared" si="1"/>
        <v>8.86</v>
      </c>
      <c r="Q64" s="26">
        <f t="shared" si="2"/>
        <v>2.29</v>
      </c>
      <c r="R64">
        <f t="shared" si="3"/>
        <v>2.29</v>
      </c>
      <c r="U64" s="1">
        <v>1964</v>
      </c>
      <c r="V64" s="2">
        <v>35.979999999999997</v>
      </c>
      <c r="W64" s="5">
        <f t="shared" si="20"/>
        <v>4.1133963312951646E-2</v>
      </c>
      <c r="X64" s="5">
        <f t="shared" si="21"/>
        <v>7.0872707059477486E-2</v>
      </c>
      <c r="Y64" s="5">
        <f t="shared" si="22"/>
        <v>0.11061700944969428</v>
      </c>
      <c r="Z64" s="5">
        <f t="shared" si="23"/>
        <v>0.46220122290161203</v>
      </c>
      <c r="AA64" s="5">
        <f t="shared" si="24"/>
        <v>9.755419677598666E-2</v>
      </c>
      <c r="AB64" s="5">
        <f t="shared" si="25"/>
        <v>0.14869371873262924</v>
      </c>
      <c r="AC64" s="5">
        <f t="shared" si="26"/>
        <v>6.3646470261256263E-2</v>
      </c>
      <c r="AD64" s="5">
        <f t="shared" si="27"/>
        <v>0</v>
      </c>
      <c r="AE64" s="5">
        <f t="shared" si="28"/>
        <v>0</v>
      </c>
      <c r="AF64" s="5">
        <f t="shared" si="29"/>
        <v>0</v>
      </c>
      <c r="AG64" s="5">
        <f t="shared" si="30"/>
        <v>0</v>
      </c>
      <c r="AH64" s="5">
        <f t="shared" si="31"/>
        <v>0</v>
      </c>
      <c r="AI64" s="5">
        <f t="shared" si="32"/>
        <v>0</v>
      </c>
      <c r="AJ64" s="6">
        <f t="shared" si="17"/>
        <v>0.24624791550861591</v>
      </c>
      <c r="AK64" s="6">
        <f t="shared" si="18"/>
        <v>6.3646470261256263E-2</v>
      </c>
      <c r="AL64" s="6">
        <f t="shared" si="19"/>
        <v>6.3646470261256263E-2</v>
      </c>
    </row>
    <row r="65" spans="1:42" x14ac:dyDescent="0.25">
      <c r="A65">
        <v>1965</v>
      </c>
      <c r="B65">
        <v>0</v>
      </c>
      <c r="C65">
        <v>1.68</v>
      </c>
      <c r="D65">
        <v>3.9599999999999902</v>
      </c>
      <c r="E65">
        <v>7.81</v>
      </c>
      <c r="F65">
        <v>8.8799999999999901</v>
      </c>
      <c r="G65" s="26">
        <v>2.0699999999999998</v>
      </c>
      <c r="H65" s="26">
        <v>1.52</v>
      </c>
      <c r="I65" s="26">
        <v>0</v>
      </c>
      <c r="J65" s="26">
        <v>0</v>
      </c>
      <c r="K65" s="26">
        <v>3.35</v>
      </c>
      <c r="L65" s="26">
        <v>0</v>
      </c>
      <c r="M65" s="26">
        <v>0</v>
      </c>
      <c r="N65" s="26">
        <v>0</v>
      </c>
      <c r="O65" s="26">
        <v>0</v>
      </c>
      <c r="P65">
        <f t="shared" si="1"/>
        <v>3.59</v>
      </c>
      <c r="Q65" s="26">
        <f t="shared" si="2"/>
        <v>3.35</v>
      </c>
      <c r="R65">
        <f t="shared" si="3"/>
        <v>3.35</v>
      </c>
      <c r="U65" s="3">
        <v>1965</v>
      </c>
      <c r="V65" s="4">
        <v>29.4</v>
      </c>
      <c r="W65" s="5">
        <f t="shared" si="20"/>
        <v>5.7142857142857141E-2</v>
      </c>
      <c r="X65" s="5">
        <f t="shared" si="21"/>
        <v>0.13469387755102008</v>
      </c>
      <c r="Y65" s="5">
        <f t="shared" si="22"/>
        <v>0.26564625850340134</v>
      </c>
      <c r="Z65" s="5">
        <f t="shared" si="23"/>
        <v>0.30204081632653029</v>
      </c>
      <c r="AA65" s="5">
        <f t="shared" si="24"/>
        <v>7.040816326530612E-2</v>
      </c>
      <c r="AB65" s="5">
        <f t="shared" si="25"/>
        <v>5.1700680272108848E-2</v>
      </c>
      <c r="AC65" s="5">
        <f t="shared" si="26"/>
        <v>0</v>
      </c>
      <c r="AD65" s="5">
        <f t="shared" si="27"/>
        <v>0</v>
      </c>
      <c r="AE65" s="5">
        <f t="shared" si="28"/>
        <v>0.11394557823129252</v>
      </c>
      <c r="AF65" s="5">
        <f t="shared" si="29"/>
        <v>0</v>
      </c>
      <c r="AG65" s="5">
        <f t="shared" si="30"/>
        <v>0</v>
      </c>
      <c r="AH65" s="5">
        <f t="shared" si="31"/>
        <v>0</v>
      </c>
      <c r="AI65" s="5">
        <f t="shared" si="32"/>
        <v>0</v>
      </c>
      <c r="AJ65" s="6">
        <f t="shared" si="17"/>
        <v>0.12210884353741497</v>
      </c>
      <c r="AK65" s="6">
        <f t="shared" si="18"/>
        <v>0.11394557823129252</v>
      </c>
      <c r="AL65" s="6">
        <f t="shared" si="19"/>
        <v>0.11394557823129252</v>
      </c>
    </row>
    <row r="66" spans="1:42" x14ac:dyDescent="0.25">
      <c r="A66">
        <v>1966</v>
      </c>
      <c r="B66">
        <v>0</v>
      </c>
      <c r="C66">
        <v>1.37</v>
      </c>
      <c r="D66">
        <v>3.21</v>
      </c>
      <c r="E66">
        <v>6.02</v>
      </c>
      <c r="F66">
        <v>14.78</v>
      </c>
      <c r="G66" s="26">
        <v>4.4000000000000004</v>
      </c>
      <c r="H66" s="26">
        <v>3.71</v>
      </c>
      <c r="I66" s="26">
        <v>2.5</v>
      </c>
      <c r="J66" s="26">
        <v>0</v>
      </c>
      <c r="K66" s="26">
        <v>6.3</v>
      </c>
      <c r="L66" s="26">
        <v>0</v>
      </c>
      <c r="M66" s="26">
        <v>0</v>
      </c>
      <c r="N66" s="26">
        <v>0</v>
      </c>
      <c r="O66" s="26">
        <v>0</v>
      </c>
      <c r="P66">
        <f t="shared" si="1"/>
        <v>8.11</v>
      </c>
      <c r="Q66" s="26">
        <f t="shared" si="2"/>
        <v>8.8000000000000007</v>
      </c>
      <c r="R66">
        <f t="shared" si="3"/>
        <v>8.8000000000000007</v>
      </c>
      <c r="U66" s="1">
        <v>1966</v>
      </c>
      <c r="V66" s="2">
        <v>42.45</v>
      </c>
      <c r="W66" s="5">
        <f t="shared" si="20"/>
        <v>3.2273262661955245E-2</v>
      </c>
      <c r="X66" s="5">
        <f t="shared" si="21"/>
        <v>7.5618374558303877E-2</v>
      </c>
      <c r="Y66" s="5">
        <f t="shared" si="22"/>
        <v>0.14181389870435804</v>
      </c>
      <c r="Z66" s="5">
        <f t="shared" si="23"/>
        <v>0.34817432273262661</v>
      </c>
      <c r="AA66" s="5">
        <f t="shared" si="24"/>
        <v>0.10365135453474676</v>
      </c>
      <c r="AB66" s="5">
        <f t="shared" si="25"/>
        <v>8.739693757361601E-2</v>
      </c>
      <c r="AC66" s="5">
        <f t="shared" si="26"/>
        <v>5.8892815076560655E-2</v>
      </c>
      <c r="AD66" s="5">
        <f t="shared" si="27"/>
        <v>0</v>
      </c>
      <c r="AE66" s="5">
        <f t="shared" si="28"/>
        <v>0.14840989399293283</v>
      </c>
      <c r="AF66" s="5">
        <f t="shared" si="29"/>
        <v>0</v>
      </c>
      <c r="AG66" s="5">
        <f t="shared" si="30"/>
        <v>0</v>
      </c>
      <c r="AH66" s="5">
        <f t="shared" si="31"/>
        <v>0</v>
      </c>
      <c r="AI66" s="5">
        <f t="shared" si="32"/>
        <v>0</v>
      </c>
      <c r="AJ66" s="6">
        <f t="shared" si="17"/>
        <v>0.19104829210836277</v>
      </c>
      <c r="AK66" s="6">
        <f t="shared" si="18"/>
        <v>0.2073027090694935</v>
      </c>
      <c r="AL66" s="6">
        <f t="shared" si="19"/>
        <v>0.2073027090694935</v>
      </c>
    </row>
    <row r="67" spans="1:42" x14ac:dyDescent="0.25">
      <c r="A67">
        <v>1967</v>
      </c>
      <c r="B67">
        <v>0</v>
      </c>
      <c r="C67">
        <v>1.46</v>
      </c>
      <c r="D67">
        <v>5.69</v>
      </c>
      <c r="E67">
        <v>7.85</v>
      </c>
      <c r="F67">
        <v>10.75</v>
      </c>
      <c r="G67" s="26">
        <v>8.52</v>
      </c>
      <c r="H67" s="26">
        <v>5.25</v>
      </c>
      <c r="I67" s="26">
        <v>0</v>
      </c>
      <c r="J67" s="26">
        <v>0</v>
      </c>
      <c r="K67" s="26">
        <v>0</v>
      </c>
      <c r="L67" s="26">
        <v>0</v>
      </c>
      <c r="M67" s="26">
        <v>5.0599999999999996</v>
      </c>
      <c r="N67" s="26">
        <v>0</v>
      </c>
      <c r="O67" s="26">
        <v>0</v>
      </c>
      <c r="P67">
        <f t="shared" ref="P67:P117" si="33">SUM(G67:H67)</f>
        <v>13.77</v>
      </c>
      <c r="Q67" s="26">
        <f t="shared" ref="Q67:Q117" si="34">SUM(I67:K67)</f>
        <v>0</v>
      </c>
      <c r="R67">
        <f t="shared" ref="R67:R117" si="35">SUM(I67:O67)</f>
        <v>5.0599999999999996</v>
      </c>
      <c r="U67" s="3">
        <v>1967</v>
      </c>
      <c r="V67" s="4">
        <v>44.73</v>
      </c>
      <c r="W67" s="5">
        <f t="shared" si="20"/>
        <v>3.2640286161412922E-2</v>
      </c>
      <c r="X67" s="5">
        <f t="shared" si="21"/>
        <v>0.12720769058797229</v>
      </c>
      <c r="Y67" s="5">
        <f t="shared" si="22"/>
        <v>0.17549742901855578</v>
      </c>
      <c r="Z67" s="5">
        <f t="shared" si="23"/>
        <v>0.24033087413369106</v>
      </c>
      <c r="AA67" s="5">
        <f t="shared" si="24"/>
        <v>0.19047619047619049</v>
      </c>
      <c r="AB67" s="5">
        <f t="shared" si="25"/>
        <v>0.11737089201877936</v>
      </c>
      <c r="AC67" s="5">
        <f t="shared" si="26"/>
        <v>0</v>
      </c>
      <c r="AD67" s="5">
        <f t="shared" si="27"/>
        <v>0</v>
      </c>
      <c r="AE67" s="5">
        <f t="shared" si="28"/>
        <v>0</v>
      </c>
      <c r="AF67" s="5">
        <f t="shared" si="29"/>
        <v>0</v>
      </c>
      <c r="AG67" s="5">
        <f t="shared" si="30"/>
        <v>0.11312318354571875</v>
      </c>
      <c r="AH67" s="5">
        <f t="shared" si="31"/>
        <v>0</v>
      </c>
      <c r="AI67" s="5">
        <f t="shared" si="32"/>
        <v>0</v>
      </c>
      <c r="AJ67" s="6">
        <f t="shared" ref="AJ67:AJ117" si="36">SUM(AA67:AB67)</f>
        <v>0.30784708249496984</v>
      </c>
      <c r="AK67" s="6">
        <f t="shared" ref="AK67:AK117" si="37">SUM(AC67:AE67)</f>
        <v>0</v>
      </c>
      <c r="AL67" s="6">
        <f t="shared" ref="AL67:AL117" si="38">SUM(AC67:AI67)</f>
        <v>0.11312318354571875</v>
      </c>
    </row>
    <row r="68" spans="1:42" x14ac:dyDescent="0.25">
      <c r="A68">
        <v>1968</v>
      </c>
      <c r="B68">
        <v>0</v>
      </c>
      <c r="C68">
        <v>1.36</v>
      </c>
      <c r="D68">
        <v>3.1799999999999899</v>
      </c>
      <c r="E68">
        <v>4.8999999999999897</v>
      </c>
      <c r="F68">
        <v>8.4499999999999993</v>
      </c>
      <c r="G68" s="26">
        <v>12.04</v>
      </c>
      <c r="H68" s="26">
        <v>1.59</v>
      </c>
      <c r="I68" s="26">
        <v>6.83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>
        <f t="shared" si="33"/>
        <v>13.629999999999999</v>
      </c>
      <c r="Q68" s="26">
        <f t="shared" si="34"/>
        <v>6.83</v>
      </c>
      <c r="R68">
        <f t="shared" si="35"/>
        <v>6.83</v>
      </c>
      <c r="U68" s="1">
        <v>1968</v>
      </c>
      <c r="V68" s="2">
        <v>38.409999999999997</v>
      </c>
      <c r="W68" s="5">
        <f t="shared" si="20"/>
        <v>3.5407445977610003E-2</v>
      </c>
      <c r="X68" s="5">
        <f t="shared" si="21"/>
        <v>8.2790939859411355E-2</v>
      </c>
      <c r="Y68" s="5">
        <f t="shared" si="22"/>
        <v>0.12757094506638869</v>
      </c>
      <c r="Z68" s="5">
        <f t="shared" si="23"/>
        <v>0.21999479302265035</v>
      </c>
      <c r="AA68" s="5">
        <f t="shared" si="24"/>
        <v>0.31346003644884146</v>
      </c>
      <c r="AB68" s="5">
        <f t="shared" si="25"/>
        <v>4.139546992970581E-2</v>
      </c>
      <c r="AC68" s="5">
        <f t="shared" si="26"/>
        <v>0.17781827649049728</v>
      </c>
      <c r="AD68" s="5">
        <f t="shared" si="27"/>
        <v>0</v>
      </c>
      <c r="AE68" s="5">
        <f t="shared" si="28"/>
        <v>0</v>
      </c>
      <c r="AF68" s="5">
        <f t="shared" si="29"/>
        <v>0</v>
      </c>
      <c r="AG68" s="5">
        <f t="shared" si="30"/>
        <v>0</v>
      </c>
      <c r="AH68" s="5">
        <f t="shared" si="31"/>
        <v>0</v>
      </c>
      <c r="AI68" s="5">
        <f t="shared" si="32"/>
        <v>0</v>
      </c>
      <c r="AJ68" s="6">
        <f t="shared" si="36"/>
        <v>0.35485550637854729</v>
      </c>
      <c r="AK68" s="6">
        <f t="shared" si="37"/>
        <v>0.17781827649049728</v>
      </c>
      <c r="AL68" s="6">
        <f t="shared" si="38"/>
        <v>0.17781827649049728</v>
      </c>
    </row>
    <row r="69" spans="1:42" x14ac:dyDescent="0.25">
      <c r="A69">
        <v>1969</v>
      </c>
      <c r="B69">
        <v>0</v>
      </c>
      <c r="C69">
        <v>1.24</v>
      </c>
      <c r="D69">
        <v>3.52</v>
      </c>
      <c r="E69">
        <v>5.65</v>
      </c>
      <c r="F69">
        <v>16.169999999999899</v>
      </c>
      <c r="G69" s="26">
        <v>9.4799999999999898</v>
      </c>
      <c r="H69" s="26">
        <v>3.59</v>
      </c>
      <c r="I69" s="26">
        <v>0</v>
      </c>
      <c r="J69" s="26">
        <v>5.41</v>
      </c>
      <c r="K69" s="26">
        <v>6.92</v>
      </c>
      <c r="L69" s="26">
        <v>0</v>
      </c>
      <c r="M69" s="26">
        <v>0</v>
      </c>
      <c r="N69" s="26">
        <v>0</v>
      </c>
      <c r="O69" s="26">
        <v>0</v>
      </c>
      <c r="P69">
        <f t="shared" si="33"/>
        <v>13.06999999999999</v>
      </c>
      <c r="Q69" s="26">
        <f t="shared" si="34"/>
        <v>12.33</v>
      </c>
      <c r="R69">
        <f t="shared" si="35"/>
        <v>12.33</v>
      </c>
      <c r="U69" s="3">
        <v>1969</v>
      </c>
      <c r="V69" s="4">
        <v>52.04</v>
      </c>
      <c r="W69" s="5">
        <f t="shared" si="20"/>
        <v>2.3827824750192159E-2</v>
      </c>
      <c r="X69" s="5">
        <f t="shared" si="21"/>
        <v>6.7640276710222907E-2</v>
      </c>
      <c r="Y69" s="5">
        <f t="shared" si="22"/>
        <v>0.10857033051498848</v>
      </c>
      <c r="Z69" s="5">
        <f t="shared" si="23"/>
        <v>0.31072252113758453</v>
      </c>
      <c r="AA69" s="5">
        <f t="shared" si="24"/>
        <v>0.18216756341275922</v>
      </c>
      <c r="AB69" s="5">
        <f t="shared" si="25"/>
        <v>6.8985395849346653E-2</v>
      </c>
      <c r="AC69" s="5">
        <f t="shared" si="26"/>
        <v>0</v>
      </c>
      <c r="AD69" s="5">
        <f t="shared" si="27"/>
        <v>0.10395849346656419</v>
      </c>
      <c r="AE69" s="5">
        <f t="shared" si="28"/>
        <v>0.13297463489623368</v>
      </c>
      <c r="AF69" s="5">
        <f t="shared" si="29"/>
        <v>0</v>
      </c>
      <c r="AG69" s="5">
        <f t="shared" si="30"/>
        <v>0</v>
      </c>
      <c r="AH69" s="5">
        <f t="shared" si="31"/>
        <v>0</v>
      </c>
      <c r="AI69" s="5">
        <f t="shared" si="32"/>
        <v>0</v>
      </c>
      <c r="AJ69" s="6">
        <f t="shared" si="36"/>
        <v>0.2511529592621059</v>
      </c>
      <c r="AK69" s="6">
        <f t="shared" si="37"/>
        <v>0.23693312836279787</v>
      </c>
      <c r="AL69" s="6">
        <f t="shared" si="38"/>
        <v>0.23693312836279787</v>
      </c>
    </row>
    <row r="70" spans="1:42" x14ac:dyDescent="0.25">
      <c r="A70">
        <v>1970</v>
      </c>
      <c r="B70">
        <v>0</v>
      </c>
      <c r="C70">
        <v>1.36</v>
      </c>
      <c r="D70">
        <v>3.53</v>
      </c>
      <c r="E70">
        <v>8.41</v>
      </c>
      <c r="F70">
        <v>7.73</v>
      </c>
      <c r="G70" s="26">
        <v>8.33</v>
      </c>
      <c r="H70" s="26">
        <v>3.5</v>
      </c>
      <c r="I70" s="26">
        <v>4.1500000000000004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>
        <f t="shared" si="33"/>
        <v>11.83</v>
      </c>
      <c r="Q70" s="26">
        <f t="shared" si="34"/>
        <v>4.1500000000000004</v>
      </c>
      <c r="R70">
        <f t="shared" si="35"/>
        <v>4.1500000000000004</v>
      </c>
      <c r="U70" s="1">
        <v>1970</v>
      </c>
      <c r="V70" s="2">
        <v>37.25</v>
      </c>
      <c r="W70" s="5">
        <f t="shared" si="20"/>
        <v>3.6510067114093964E-2</v>
      </c>
      <c r="X70" s="5">
        <f t="shared" si="21"/>
        <v>9.4765100671140939E-2</v>
      </c>
      <c r="Y70" s="5">
        <f t="shared" si="22"/>
        <v>0.22577181208053693</v>
      </c>
      <c r="Z70" s="5">
        <f t="shared" si="23"/>
        <v>0.20751677852348993</v>
      </c>
      <c r="AA70" s="5">
        <f t="shared" si="24"/>
        <v>0.22362416107382552</v>
      </c>
      <c r="AB70" s="5">
        <f t="shared" si="25"/>
        <v>9.3959731543624164E-2</v>
      </c>
      <c r="AC70" s="5">
        <f t="shared" si="26"/>
        <v>0.11140939597315437</v>
      </c>
      <c r="AD70" s="5">
        <f t="shared" si="27"/>
        <v>0</v>
      </c>
      <c r="AE70" s="5">
        <f t="shared" si="28"/>
        <v>0</v>
      </c>
      <c r="AF70" s="5">
        <f t="shared" si="29"/>
        <v>0</v>
      </c>
      <c r="AG70" s="5">
        <f t="shared" si="30"/>
        <v>0</v>
      </c>
      <c r="AH70" s="5">
        <f t="shared" si="31"/>
        <v>0</v>
      </c>
      <c r="AI70" s="5">
        <f t="shared" si="32"/>
        <v>0</v>
      </c>
      <c r="AJ70" s="6">
        <f t="shared" si="36"/>
        <v>0.31758389261744968</v>
      </c>
      <c r="AK70" s="6">
        <f t="shared" si="37"/>
        <v>0.11140939597315437</v>
      </c>
      <c r="AL70" s="6">
        <f t="shared" si="38"/>
        <v>0.11140939597315437</v>
      </c>
    </row>
    <row r="71" spans="1:42" x14ac:dyDescent="0.25">
      <c r="A71">
        <v>1971</v>
      </c>
      <c r="B71">
        <v>0</v>
      </c>
      <c r="C71">
        <v>1.57</v>
      </c>
      <c r="D71">
        <v>3.38</v>
      </c>
      <c r="E71">
        <v>5.31</v>
      </c>
      <c r="F71">
        <v>13.399999999999901</v>
      </c>
      <c r="G71" s="26">
        <v>2.23</v>
      </c>
      <c r="H71" s="26">
        <v>7.13</v>
      </c>
      <c r="I71" s="26">
        <v>13.02</v>
      </c>
      <c r="J71" s="26">
        <v>0</v>
      </c>
      <c r="K71" s="26">
        <v>0</v>
      </c>
      <c r="L71" s="26">
        <v>4.29</v>
      </c>
      <c r="M71" s="26">
        <v>0</v>
      </c>
      <c r="N71" s="26">
        <v>0</v>
      </c>
      <c r="O71" s="26">
        <v>0</v>
      </c>
      <c r="P71">
        <f t="shared" si="33"/>
        <v>9.36</v>
      </c>
      <c r="Q71" s="26">
        <f t="shared" si="34"/>
        <v>13.02</v>
      </c>
      <c r="R71">
        <f t="shared" si="35"/>
        <v>17.309999999999999</v>
      </c>
      <c r="U71" s="3">
        <v>1971</v>
      </c>
      <c r="V71" s="4">
        <v>50.39</v>
      </c>
      <c r="W71" s="5">
        <f t="shared" si="20"/>
        <v>3.115697559039492E-2</v>
      </c>
      <c r="X71" s="5">
        <f t="shared" si="21"/>
        <v>6.7076800952569945E-2</v>
      </c>
      <c r="Y71" s="5">
        <f t="shared" si="22"/>
        <v>0.10537805120063504</v>
      </c>
      <c r="Z71" s="5">
        <f t="shared" si="23"/>
        <v>0.26592577892438779</v>
      </c>
      <c r="AA71" s="5">
        <f t="shared" si="24"/>
        <v>4.4254812462790234E-2</v>
      </c>
      <c r="AB71" s="5">
        <f t="shared" si="25"/>
        <v>0.14149632863663425</v>
      </c>
      <c r="AC71" s="5">
        <f t="shared" si="26"/>
        <v>0.25838460011907122</v>
      </c>
      <c r="AD71" s="5">
        <f t="shared" si="27"/>
        <v>0</v>
      </c>
      <c r="AE71" s="5">
        <f t="shared" si="28"/>
        <v>0</v>
      </c>
      <c r="AF71" s="5">
        <f t="shared" si="29"/>
        <v>8.5135939670569552E-2</v>
      </c>
      <c r="AG71" s="5">
        <f t="shared" si="30"/>
        <v>0</v>
      </c>
      <c r="AH71" s="5">
        <f t="shared" si="31"/>
        <v>0</v>
      </c>
      <c r="AI71" s="5">
        <f t="shared" si="32"/>
        <v>0</v>
      </c>
      <c r="AJ71" s="6">
        <f t="shared" si="36"/>
        <v>0.18575114109942448</v>
      </c>
      <c r="AK71" s="6">
        <f t="shared" si="37"/>
        <v>0.25838460011907122</v>
      </c>
      <c r="AL71" s="6">
        <f t="shared" si="38"/>
        <v>0.34352053978964076</v>
      </c>
    </row>
    <row r="72" spans="1:42" x14ac:dyDescent="0.25">
      <c r="A72">
        <v>1972</v>
      </c>
      <c r="B72">
        <v>0</v>
      </c>
      <c r="C72">
        <v>1.96</v>
      </c>
      <c r="D72">
        <v>5.26</v>
      </c>
      <c r="E72">
        <v>8.6999999999999993</v>
      </c>
      <c r="F72">
        <v>16.34</v>
      </c>
      <c r="G72" s="26">
        <v>7.56</v>
      </c>
      <c r="H72" s="26">
        <v>6.5</v>
      </c>
      <c r="I72" s="26">
        <v>2.16</v>
      </c>
      <c r="J72" s="26">
        <v>2.58</v>
      </c>
      <c r="K72" s="26">
        <v>7.48</v>
      </c>
      <c r="L72" s="26">
        <v>0</v>
      </c>
      <c r="M72" s="26">
        <v>0</v>
      </c>
      <c r="N72" s="26">
        <v>0</v>
      </c>
      <c r="O72" s="26">
        <v>0</v>
      </c>
      <c r="P72">
        <f t="shared" si="33"/>
        <v>14.059999999999999</v>
      </c>
      <c r="Q72" s="26">
        <f t="shared" si="34"/>
        <v>12.22</v>
      </c>
      <c r="R72">
        <f t="shared" si="35"/>
        <v>12.22</v>
      </c>
      <c r="U72" s="1">
        <v>1972</v>
      </c>
      <c r="V72" s="2">
        <v>58.6</v>
      </c>
      <c r="W72" s="5">
        <f t="shared" si="20"/>
        <v>3.3447098976109216E-2</v>
      </c>
      <c r="X72" s="5">
        <f t="shared" si="21"/>
        <v>8.976109215017064E-2</v>
      </c>
      <c r="Y72" s="5">
        <f t="shared" si="22"/>
        <v>0.14846416382252559</v>
      </c>
      <c r="Z72" s="5">
        <f t="shared" si="23"/>
        <v>0.278839590443686</v>
      </c>
      <c r="AA72" s="5">
        <f t="shared" si="24"/>
        <v>0.12901023890784982</v>
      </c>
      <c r="AB72" s="5">
        <f t="shared" si="25"/>
        <v>0.11092150170648464</v>
      </c>
      <c r="AC72" s="5">
        <f t="shared" si="26"/>
        <v>3.6860068259385668E-2</v>
      </c>
      <c r="AD72" s="5">
        <f t="shared" si="27"/>
        <v>4.4027303754266209E-2</v>
      </c>
      <c r="AE72" s="5">
        <f t="shared" si="28"/>
        <v>0.12764505119453926</v>
      </c>
      <c r="AF72" s="5">
        <f t="shared" si="29"/>
        <v>0</v>
      </c>
      <c r="AG72" s="5">
        <f t="shared" si="30"/>
        <v>0</v>
      </c>
      <c r="AH72" s="5">
        <f t="shared" si="31"/>
        <v>0</v>
      </c>
      <c r="AI72" s="5">
        <f t="shared" si="32"/>
        <v>0</v>
      </c>
      <c r="AJ72" s="6">
        <f t="shared" si="36"/>
        <v>0.23993174061433448</v>
      </c>
      <c r="AK72" s="6">
        <f t="shared" si="37"/>
        <v>0.20853242320819113</v>
      </c>
      <c r="AL72" s="6">
        <f t="shared" si="38"/>
        <v>0.20853242320819113</v>
      </c>
    </row>
    <row r="73" spans="1:42" x14ac:dyDescent="0.25">
      <c r="A73">
        <v>1973</v>
      </c>
      <c r="B73">
        <v>0</v>
      </c>
      <c r="C73">
        <v>1.93</v>
      </c>
      <c r="D73">
        <v>3.5</v>
      </c>
      <c r="E73">
        <v>9.0399999999999991</v>
      </c>
      <c r="F73">
        <v>11.799999999999899</v>
      </c>
      <c r="G73" s="26">
        <v>6.68</v>
      </c>
      <c r="H73" s="26">
        <v>5.41</v>
      </c>
      <c r="I73" s="26">
        <v>0</v>
      </c>
      <c r="J73" s="26">
        <v>2.94</v>
      </c>
      <c r="K73" s="26">
        <v>3.78</v>
      </c>
      <c r="L73" s="26">
        <v>0</v>
      </c>
      <c r="M73" s="26">
        <v>0</v>
      </c>
      <c r="N73" s="26">
        <v>0</v>
      </c>
      <c r="O73" s="26">
        <v>0</v>
      </c>
      <c r="P73">
        <f t="shared" si="33"/>
        <v>12.09</v>
      </c>
      <c r="Q73" s="26">
        <f t="shared" si="34"/>
        <v>6.72</v>
      </c>
      <c r="R73">
        <f t="shared" si="35"/>
        <v>6.72</v>
      </c>
      <c r="U73" s="3">
        <v>1973</v>
      </c>
      <c r="V73" s="4">
        <v>45.21</v>
      </c>
      <c r="W73" s="5">
        <f t="shared" si="20"/>
        <v>4.2689670426896704E-2</v>
      </c>
      <c r="X73" s="5">
        <f t="shared" si="21"/>
        <v>7.7416500774165009E-2</v>
      </c>
      <c r="Y73" s="5">
        <f t="shared" si="22"/>
        <v>0.19995576199955759</v>
      </c>
      <c r="Z73" s="5">
        <f t="shared" si="23"/>
        <v>0.26100420261003981</v>
      </c>
      <c r="AA73" s="5">
        <f t="shared" si="24"/>
        <v>0.14775492147754921</v>
      </c>
      <c r="AB73" s="5">
        <f t="shared" si="25"/>
        <v>0.11966379119663792</v>
      </c>
      <c r="AC73" s="5">
        <f t="shared" si="26"/>
        <v>0</v>
      </c>
      <c r="AD73" s="5">
        <f t="shared" si="27"/>
        <v>6.5029860650298602E-2</v>
      </c>
      <c r="AE73" s="5">
        <f t="shared" si="28"/>
        <v>8.3609820836098206E-2</v>
      </c>
      <c r="AF73" s="5">
        <f t="shared" si="29"/>
        <v>0</v>
      </c>
      <c r="AG73" s="5">
        <f t="shared" si="30"/>
        <v>0</v>
      </c>
      <c r="AH73" s="5">
        <f t="shared" si="31"/>
        <v>0</v>
      </c>
      <c r="AI73" s="5">
        <f t="shared" si="32"/>
        <v>0</v>
      </c>
      <c r="AJ73" s="6">
        <f t="shared" si="36"/>
        <v>0.26741871267418715</v>
      </c>
      <c r="AK73" s="6">
        <f t="shared" si="37"/>
        <v>0.14863968148639681</v>
      </c>
      <c r="AL73" s="6">
        <f t="shared" si="38"/>
        <v>0.14863968148639681</v>
      </c>
    </row>
    <row r="74" spans="1:42" x14ac:dyDescent="0.25">
      <c r="A74">
        <v>1974</v>
      </c>
      <c r="B74">
        <v>0</v>
      </c>
      <c r="C74">
        <v>1.74</v>
      </c>
      <c r="D74">
        <v>3.56</v>
      </c>
      <c r="E74">
        <v>7.85</v>
      </c>
      <c r="F74">
        <v>14.22</v>
      </c>
      <c r="G74" s="26">
        <v>7.34</v>
      </c>
      <c r="H74" s="26">
        <v>3.42</v>
      </c>
      <c r="I74" s="26">
        <v>2.2200000000000002</v>
      </c>
      <c r="J74" s="26">
        <v>2.74</v>
      </c>
      <c r="K74" s="26">
        <v>0</v>
      </c>
      <c r="L74" s="26">
        <v>0</v>
      </c>
      <c r="M74" s="26">
        <v>0</v>
      </c>
      <c r="N74" s="26">
        <v>6.63</v>
      </c>
      <c r="O74" s="26">
        <v>0</v>
      </c>
      <c r="P74">
        <f t="shared" si="33"/>
        <v>10.76</v>
      </c>
      <c r="Q74" s="26">
        <f t="shared" si="34"/>
        <v>4.9600000000000009</v>
      </c>
      <c r="R74">
        <f t="shared" si="35"/>
        <v>11.59</v>
      </c>
      <c r="U74" s="1">
        <v>1974</v>
      </c>
      <c r="V74" s="2">
        <v>49.85</v>
      </c>
      <c r="W74" s="5">
        <f t="shared" si="20"/>
        <v>3.4904714142427282E-2</v>
      </c>
      <c r="X74" s="5">
        <f t="shared" si="21"/>
        <v>7.1414242728184557E-2</v>
      </c>
      <c r="Y74" s="5">
        <f t="shared" si="22"/>
        <v>0.15747241725175526</v>
      </c>
      <c r="Z74" s="5">
        <f t="shared" si="23"/>
        <v>0.28525576730190572</v>
      </c>
      <c r="AA74" s="5">
        <f t="shared" si="24"/>
        <v>0.14724172517552658</v>
      </c>
      <c r="AB74" s="5">
        <f t="shared" si="25"/>
        <v>6.8605817452357068E-2</v>
      </c>
      <c r="AC74" s="5">
        <f t="shared" si="26"/>
        <v>4.4533600802407224E-2</v>
      </c>
      <c r="AD74" s="5">
        <f t="shared" si="27"/>
        <v>5.4964894684052162E-2</v>
      </c>
      <c r="AE74" s="5">
        <f t="shared" si="28"/>
        <v>0</v>
      </c>
      <c r="AF74" s="5">
        <f t="shared" si="29"/>
        <v>0</v>
      </c>
      <c r="AG74" s="5">
        <f t="shared" si="30"/>
        <v>0</v>
      </c>
      <c r="AH74" s="5">
        <f t="shared" si="31"/>
        <v>0.13299899699097292</v>
      </c>
      <c r="AI74" s="5">
        <f t="shared" si="32"/>
        <v>0</v>
      </c>
      <c r="AJ74" s="6">
        <f t="shared" si="36"/>
        <v>0.21584754262788364</v>
      </c>
      <c r="AK74" s="6">
        <f t="shared" si="37"/>
        <v>9.9498495486459393E-2</v>
      </c>
      <c r="AL74" s="6">
        <f t="shared" si="38"/>
        <v>0.23249749247743232</v>
      </c>
    </row>
    <row r="75" spans="1:42" x14ac:dyDescent="0.25">
      <c r="A75">
        <v>1975</v>
      </c>
      <c r="B75">
        <v>0</v>
      </c>
      <c r="C75">
        <v>2.1800000000000002</v>
      </c>
      <c r="D75">
        <v>4.2699999999999996</v>
      </c>
      <c r="E75">
        <v>3.95</v>
      </c>
      <c r="F75">
        <v>17.829999999999998</v>
      </c>
      <c r="G75" s="26">
        <v>11.739999999999901</v>
      </c>
      <c r="H75" s="26">
        <v>10.87</v>
      </c>
      <c r="I75" s="26">
        <v>0</v>
      </c>
      <c r="J75" s="26">
        <v>5.43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>
        <f t="shared" si="33"/>
        <v>22.6099999999999</v>
      </c>
      <c r="Q75" s="26">
        <f t="shared" si="34"/>
        <v>5.43</v>
      </c>
      <c r="R75">
        <f t="shared" si="35"/>
        <v>5.43</v>
      </c>
      <c r="U75" s="3">
        <v>1975</v>
      </c>
      <c r="V75" s="4">
        <v>56.42</v>
      </c>
      <c r="W75" s="5">
        <f t="shared" si="20"/>
        <v>3.8638780574264446E-2</v>
      </c>
      <c r="X75" s="5">
        <f t="shared" si="21"/>
        <v>7.568238213399503E-2</v>
      </c>
      <c r="Y75" s="5">
        <f t="shared" si="22"/>
        <v>7.0010634526763565E-2</v>
      </c>
      <c r="Z75" s="5">
        <f t="shared" si="23"/>
        <v>0.3160226869904289</v>
      </c>
      <c r="AA75" s="5">
        <f t="shared" si="24"/>
        <v>0.20808224034030309</v>
      </c>
      <c r="AB75" s="5">
        <f t="shared" si="25"/>
        <v>0.19266217653314427</v>
      </c>
      <c r="AC75" s="5">
        <f t="shared" si="26"/>
        <v>0</v>
      </c>
      <c r="AD75" s="5">
        <f t="shared" si="27"/>
        <v>9.624246721020914E-2</v>
      </c>
      <c r="AE75" s="5">
        <f t="shared" si="28"/>
        <v>0</v>
      </c>
      <c r="AF75" s="5">
        <f t="shared" si="29"/>
        <v>0</v>
      </c>
      <c r="AG75" s="5">
        <f t="shared" si="30"/>
        <v>0</v>
      </c>
      <c r="AH75" s="5">
        <f t="shared" si="31"/>
        <v>0</v>
      </c>
      <c r="AI75" s="5">
        <f t="shared" si="32"/>
        <v>0</v>
      </c>
      <c r="AJ75" s="6">
        <f t="shared" si="36"/>
        <v>0.40074441687344736</v>
      </c>
      <c r="AK75" s="6">
        <f t="shared" si="37"/>
        <v>9.624246721020914E-2</v>
      </c>
      <c r="AL75" s="6">
        <f t="shared" si="38"/>
        <v>9.624246721020914E-2</v>
      </c>
    </row>
    <row r="76" spans="1:42" x14ac:dyDescent="0.25">
      <c r="A76">
        <v>1976</v>
      </c>
      <c r="B76">
        <v>0</v>
      </c>
      <c r="C76">
        <v>1.44</v>
      </c>
      <c r="D76">
        <v>2.8</v>
      </c>
      <c r="E76">
        <v>5.75999999999999</v>
      </c>
      <c r="F76">
        <v>12.47</v>
      </c>
      <c r="G76" s="26">
        <v>7.64</v>
      </c>
      <c r="H76" s="26">
        <v>6.85</v>
      </c>
      <c r="I76" s="26">
        <v>0</v>
      </c>
      <c r="J76" s="26">
        <v>0</v>
      </c>
      <c r="K76" s="26">
        <v>3.42</v>
      </c>
      <c r="L76" s="26">
        <v>0</v>
      </c>
      <c r="M76" s="26">
        <v>0</v>
      </c>
      <c r="N76" s="26">
        <v>0</v>
      </c>
      <c r="O76" s="26">
        <v>0</v>
      </c>
      <c r="P76">
        <f t="shared" si="33"/>
        <v>14.489999999999998</v>
      </c>
      <c r="Q76" s="26">
        <f t="shared" si="34"/>
        <v>3.42</v>
      </c>
      <c r="R76">
        <f t="shared" si="35"/>
        <v>3.42</v>
      </c>
      <c r="U76" s="1">
        <v>1976</v>
      </c>
      <c r="V76" s="2">
        <v>40.56</v>
      </c>
      <c r="W76" s="5">
        <f t="shared" si="20"/>
        <v>3.5502958579881651E-2</v>
      </c>
      <c r="X76" s="5">
        <f t="shared" si="21"/>
        <v>6.9033530571992102E-2</v>
      </c>
      <c r="Y76" s="5">
        <f t="shared" si="22"/>
        <v>0.14201183431952638</v>
      </c>
      <c r="Z76" s="5">
        <f t="shared" si="23"/>
        <v>0.30744575936883628</v>
      </c>
      <c r="AA76" s="5">
        <f t="shared" si="24"/>
        <v>0.18836291913214989</v>
      </c>
      <c r="AB76" s="5">
        <f t="shared" si="25"/>
        <v>0.16888560157790924</v>
      </c>
      <c r="AC76" s="5">
        <f t="shared" si="26"/>
        <v>0</v>
      </c>
      <c r="AD76" s="5">
        <f t="shared" si="27"/>
        <v>0</v>
      </c>
      <c r="AE76" s="5">
        <f t="shared" si="28"/>
        <v>8.4319526627218935E-2</v>
      </c>
      <c r="AF76" s="5">
        <f t="shared" si="29"/>
        <v>0</v>
      </c>
      <c r="AG76" s="5">
        <f t="shared" si="30"/>
        <v>0</v>
      </c>
      <c r="AH76" s="5">
        <f t="shared" si="31"/>
        <v>0</v>
      </c>
      <c r="AI76" s="5">
        <f t="shared" si="32"/>
        <v>0</v>
      </c>
      <c r="AJ76" s="6">
        <f t="shared" si="36"/>
        <v>0.35724852071005914</v>
      </c>
      <c r="AK76" s="6">
        <f t="shared" si="37"/>
        <v>8.4319526627218935E-2</v>
      </c>
      <c r="AL76" s="6">
        <f t="shared" si="38"/>
        <v>8.4319526627218935E-2</v>
      </c>
    </row>
    <row r="77" spans="1:42" ht="18.75" x14ac:dyDescent="0.3">
      <c r="A77">
        <v>1977</v>
      </c>
      <c r="B77">
        <v>0</v>
      </c>
      <c r="C77">
        <v>1.63</v>
      </c>
      <c r="D77">
        <v>4.82</v>
      </c>
      <c r="E77">
        <v>7.21</v>
      </c>
      <c r="F77">
        <v>13.08</v>
      </c>
      <c r="G77" s="26">
        <v>8.83</v>
      </c>
      <c r="H77" s="26">
        <v>6.6499999999999897</v>
      </c>
      <c r="I77" s="26">
        <v>2.25</v>
      </c>
      <c r="J77" s="26">
        <v>0</v>
      </c>
      <c r="K77" s="26">
        <v>0</v>
      </c>
      <c r="L77" s="26">
        <v>0</v>
      </c>
      <c r="M77" s="26">
        <v>0</v>
      </c>
      <c r="N77" s="26">
        <v>0</v>
      </c>
      <c r="O77" s="26">
        <v>0</v>
      </c>
      <c r="P77">
        <f t="shared" si="33"/>
        <v>15.47999999999999</v>
      </c>
      <c r="Q77" s="26">
        <f t="shared" si="34"/>
        <v>2.25</v>
      </c>
      <c r="R77">
        <f t="shared" si="35"/>
        <v>2.25</v>
      </c>
      <c r="U77" s="3">
        <v>1977</v>
      </c>
      <c r="V77" s="4">
        <v>44.61</v>
      </c>
      <c r="W77" s="5">
        <f t="shared" ref="W77:W117" si="39">C77/$V77</f>
        <v>3.653889262497198E-2</v>
      </c>
      <c r="X77" s="5">
        <f t="shared" ref="X77:X117" si="40">D77/$V77</f>
        <v>0.10804752297691102</v>
      </c>
      <c r="Y77" s="5">
        <f t="shared" ref="Y77:Y117" si="41">E77/$V77</f>
        <v>0.16162295449450795</v>
      </c>
      <c r="Z77" s="5">
        <f t="shared" ref="Z77:Z117" si="42">F77/$V77</f>
        <v>0.29320780094149296</v>
      </c>
      <c r="AA77" s="5">
        <f t="shared" ref="AA77:AA117" si="43">G77/$V77</f>
        <v>0.19793768213405066</v>
      </c>
      <c r="AB77" s="5">
        <f t="shared" ref="AB77:AB117" si="44">H77/$V77</f>
        <v>0.14906971531046828</v>
      </c>
      <c r="AC77" s="5">
        <f t="shared" ref="AC77:AC117" si="45">I77/$V77</f>
        <v>5.043712172158709E-2</v>
      </c>
      <c r="AD77" s="5">
        <f t="shared" ref="AD77:AD117" si="46">J77/$V77</f>
        <v>0</v>
      </c>
      <c r="AE77" s="5">
        <f t="shared" ref="AE77:AE117" si="47">K77/$V77</f>
        <v>0</v>
      </c>
      <c r="AF77" s="5">
        <f t="shared" ref="AF77:AF117" si="48">L77/$V77</f>
        <v>0</v>
      </c>
      <c r="AG77" s="5">
        <f t="shared" ref="AG77:AG117" si="49">M77/$V77</f>
        <v>0</v>
      </c>
      <c r="AH77" s="5">
        <f t="shared" ref="AH77:AH117" si="50">N77/$V77</f>
        <v>0</v>
      </c>
      <c r="AI77" s="5">
        <f t="shared" ref="AI77:AI117" si="51">O77/$V77</f>
        <v>0</v>
      </c>
      <c r="AJ77" s="6">
        <f t="shared" si="36"/>
        <v>0.34700739744451892</v>
      </c>
      <c r="AK77" s="6">
        <f t="shared" si="37"/>
        <v>5.043712172158709E-2</v>
      </c>
      <c r="AL77" s="6">
        <f t="shared" si="38"/>
        <v>5.043712172158709E-2</v>
      </c>
      <c r="AO77" s="7" t="s">
        <v>15</v>
      </c>
      <c r="AP77" s="7"/>
    </row>
    <row r="78" spans="1:42" ht="18.75" x14ac:dyDescent="0.3">
      <c r="A78">
        <v>1978</v>
      </c>
      <c r="B78">
        <v>0</v>
      </c>
      <c r="C78">
        <v>1.33</v>
      </c>
      <c r="D78">
        <v>3.65</v>
      </c>
      <c r="E78">
        <v>6.9099999999999904</v>
      </c>
      <c r="F78">
        <v>11.04</v>
      </c>
      <c r="G78" s="26">
        <v>12.57</v>
      </c>
      <c r="H78" s="26">
        <v>1.94</v>
      </c>
      <c r="I78" s="26">
        <v>0</v>
      </c>
      <c r="J78" s="26">
        <v>5.39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>
        <f t="shared" si="33"/>
        <v>14.51</v>
      </c>
      <c r="Q78" s="26">
        <f t="shared" si="34"/>
        <v>5.39</v>
      </c>
      <c r="R78">
        <f t="shared" si="35"/>
        <v>5.39</v>
      </c>
      <c r="U78" s="1">
        <v>1978</v>
      </c>
      <c r="V78" s="2">
        <v>43.02</v>
      </c>
      <c r="W78" s="5">
        <f t="shared" si="39"/>
        <v>3.0915853091585309E-2</v>
      </c>
      <c r="X78" s="5">
        <f t="shared" si="40"/>
        <v>8.4844258484425839E-2</v>
      </c>
      <c r="Y78" s="5">
        <f t="shared" si="41"/>
        <v>0.16062296606229637</v>
      </c>
      <c r="Z78" s="5">
        <f t="shared" si="42"/>
        <v>0.25662482566248251</v>
      </c>
      <c r="AA78" s="5">
        <f t="shared" si="43"/>
        <v>0.29218967921896793</v>
      </c>
      <c r="AB78" s="5">
        <f t="shared" si="44"/>
        <v>4.5095304509530448E-2</v>
      </c>
      <c r="AC78" s="5">
        <f t="shared" si="45"/>
        <v>0</v>
      </c>
      <c r="AD78" s="5">
        <f t="shared" si="46"/>
        <v>0.12529056252905624</v>
      </c>
      <c r="AE78" s="5">
        <f t="shared" si="47"/>
        <v>0</v>
      </c>
      <c r="AF78" s="5">
        <f t="shared" si="48"/>
        <v>0</v>
      </c>
      <c r="AG78" s="5">
        <f t="shared" si="49"/>
        <v>0</v>
      </c>
      <c r="AH78" s="5">
        <f t="shared" si="50"/>
        <v>0</v>
      </c>
      <c r="AI78" s="5">
        <f t="shared" si="51"/>
        <v>0</v>
      </c>
      <c r="AJ78" s="6">
        <f t="shared" si="36"/>
        <v>0.33728498372849836</v>
      </c>
      <c r="AK78" s="6">
        <f t="shared" si="37"/>
        <v>0.12529056252905624</v>
      </c>
      <c r="AL78" s="6">
        <f t="shared" si="38"/>
        <v>0.12529056252905624</v>
      </c>
      <c r="AO78" s="7" t="s">
        <v>16</v>
      </c>
      <c r="AP78" s="7" t="s">
        <v>17</v>
      </c>
    </row>
    <row r="79" spans="1:42" ht="18.75" x14ac:dyDescent="0.3">
      <c r="A79">
        <v>1979</v>
      </c>
      <c r="B79">
        <v>0</v>
      </c>
      <c r="C79">
        <v>2.1800000000000002</v>
      </c>
      <c r="D79">
        <v>6.58</v>
      </c>
      <c r="E79">
        <v>5.12</v>
      </c>
      <c r="F79">
        <v>16.39</v>
      </c>
      <c r="G79" s="26">
        <v>9.4499999999999993</v>
      </c>
      <c r="H79" s="26">
        <v>10.45</v>
      </c>
      <c r="I79" s="26">
        <v>6.49</v>
      </c>
      <c r="J79" s="26">
        <v>2.84</v>
      </c>
      <c r="K79" s="26">
        <v>0</v>
      </c>
      <c r="L79" s="26">
        <v>0</v>
      </c>
      <c r="M79" s="26">
        <v>0</v>
      </c>
      <c r="N79" s="26">
        <v>0</v>
      </c>
      <c r="O79" s="26">
        <v>0</v>
      </c>
      <c r="P79">
        <f t="shared" si="33"/>
        <v>19.899999999999999</v>
      </c>
      <c r="Q79" s="26">
        <f t="shared" si="34"/>
        <v>9.33</v>
      </c>
      <c r="R79">
        <f t="shared" si="35"/>
        <v>9.33</v>
      </c>
      <c r="U79" s="3">
        <v>1979</v>
      </c>
      <c r="V79" s="4">
        <v>59.6</v>
      </c>
      <c r="W79" s="5">
        <f t="shared" si="39"/>
        <v>3.6577181208053693E-2</v>
      </c>
      <c r="X79" s="5">
        <f t="shared" si="40"/>
        <v>0.11040268456375839</v>
      </c>
      <c r="Y79" s="5">
        <f t="shared" si="41"/>
        <v>8.5906040268456371E-2</v>
      </c>
      <c r="Z79" s="5">
        <f t="shared" si="42"/>
        <v>0.27500000000000002</v>
      </c>
      <c r="AA79" s="5">
        <f t="shared" si="43"/>
        <v>0.15855704697986575</v>
      </c>
      <c r="AB79" s="5">
        <f t="shared" si="44"/>
        <v>0.17533557046979864</v>
      </c>
      <c r="AC79" s="5">
        <f t="shared" si="45"/>
        <v>0.10889261744966443</v>
      </c>
      <c r="AD79" s="5">
        <f t="shared" si="46"/>
        <v>4.7651006711409392E-2</v>
      </c>
      <c r="AE79" s="5">
        <f t="shared" si="47"/>
        <v>0</v>
      </c>
      <c r="AF79" s="5">
        <f t="shared" si="48"/>
        <v>0</v>
      </c>
      <c r="AG79" s="5">
        <f t="shared" si="49"/>
        <v>0</v>
      </c>
      <c r="AH79" s="5">
        <f t="shared" si="50"/>
        <v>0</v>
      </c>
      <c r="AI79" s="5">
        <f t="shared" si="51"/>
        <v>0</v>
      </c>
      <c r="AJ79" s="6">
        <f t="shared" si="36"/>
        <v>0.33389261744966436</v>
      </c>
      <c r="AK79" s="6">
        <f t="shared" si="37"/>
        <v>0.15654362416107381</v>
      </c>
      <c r="AL79" s="6">
        <f t="shared" si="38"/>
        <v>0.15654362416107381</v>
      </c>
      <c r="AO79" s="7" t="s">
        <v>0</v>
      </c>
      <c r="AP79" s="7" t="s">
        <v>18</v>
      </c>
    </row>
    <row r="80" spans="1:42" ht="18.75" x14ac:dyDescent="0.3">
      <c r="A80">
        <v>1980</v>
      </c>
      <c r="B80">
        <v>0</v>
      </c>
      <c r="C80">
        <v>1.28</v>
      </c>
      <c r="D80">
        <v>3.2</v>
      </c>
      <c r="E80">
        <v>11.569999999999901</v>
      </c>
      <c r="F80">
        <v>11.059999999999899</v>
      </c>
      <c r="G80" s="26">
        <v>3.58</v>
      </c>
      <c r="H80" s="26">
        <v>3.29</v>
      </c>
      <c r="I80" s="26">
        <v>2.35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>
        <f t="shared" si="33"/>
        <v>6.87</v>
      </c>
      <c r="Q80" s="26">
        <f t="shared" si="34"/>
        <v>2.35</v>
      </c>
      <c r="R80">
        <f t="shared" si="35"/>
        <v>2.35</v>
      </c>
      <c r="U80" s="1">
        <v>1980</v>
      </c>
      <c r="V80" s="2">
        <v>36.36</v>
      </c>
      <c r="W80" s="5">
        <f t="shared" si="39"/>
        <v>3.5203520352035202E-2</v>
      </c>
      <c r="X80" s="5">
        <f t="shared" si="40"/>
        <v>8.8008800880088014E-2</v>
      </c>
      <c r="Y80" s="5">
        <f t="shared" si="41"/>
        <v>0.31820682068206546</v>
      </c>
      <c r="Z80" s="5">
        <f t="shared" si="42"/>
        <v>0.3041804180418014</v>
      </c>
      <c r="AA80" s="5">
        <f t="shared" si="43"/>
        <v>9.8459845984598462E-2</v>
      </c>
      <c r="AB80" s="5">
        <f t="shared" si="44"/>
        <v>9.0484048404840492E-2</v>
      </c>
      <c r="AC80" s="5">
        <f t="shared" si="45"/>
        <v>6.4631463146314641E-2</v>
      </c>
      <c r="AD80" s="5">
        <f t="shared" si="46"/>
        <v>0</v>
      </c>
      <c r="AE80" s="5">
        <f t="shared" si="47"/>
        <v>0</v>
      </c>
      <c r="AF80" s="5">
        <f t="shared" si="48"/>
        <v>0</v>
      </c>
      <c r="AG80" s="5">
        <f t="shared" si="49"/>
        <v>0</v>
      </c>
      <c r="AH80" s="5">
        <f t="shared" si="50"/>
        <v>0</v>
      </c>
      <c r="AI80" s="5">
        <f t="shared" si="51"/>
        <v>0</v>
      </c>
      <c r="AJ80" s="6">
        <f t="shared" si="36"/>
        <v>0.18894389438943895</v>
      </c>
      <c r="AK80" s="6">
        <f t="shared" si="37"/>
        <v>6.4631463146314641E-2</v>
      </c>
      <c r="AL80" s="6">
        <f t="shared" si="38"/>
        <v>6.4631463146314641E-2</v>
      </c>
      <c r="AO80" s="7" t="s">
        <v>1</v>
      </c>
      <c r="AP80" s="7" t="s">
        <v>19</v>
      </c>
    </row>
    <row r="81" spans="1:42" ht="18.75" x14ac:dyDescent="0.3">
      <c r="A81">
        <v>1981</v>
      </c>
      <c r="B81">
        <v>0</v>
      </c>
      <c r="C81">
        <v>1.49</v>
      </c>
      <c r="D81">
        <v>3.15</v>
      </c>
      <c r="E81">
        <v>8.5399999999999991</v>
      </c>
      <c r="F81">
        <v>13.389999999999899</v>
      </c>
      <c r="G81" s="26">
        <v>5.08</v>
      </c>
      <c r="H81" s="26">
        <v>1.54</v>
      </c>
      <c r="I81" s="26">
        <v>4.3</v>
      </c>
      <c r="J81" s="26">
        <v>2.83</v>
      </c>
      <c r="K81" s="26">
        <v>0</v>
      </c>
      <c r="L81" s="26">
        <v>0</v>
      </c>
      <c r="M81" s="26">
        <v>0</v>
      </c>
      <c r="N81" s="26">
        <v>0</v>
      </c>
      <c r="O81" s="26">
        <v>0</v>
      </c>
      <c r="P81">
        <f t="shared" si="33"/>
        <v>6.62</v>
      </c>
      <c r="Q81" s="26">
        <f t="shared" si="34"/>
        <v>7.13</v>
      </c>
      <c r="R81">
        <f t="shared" si="35"/>
        <v>7.13</v>
      </c>
      <c r="U81" s="3">
        <v>1981</v>
      </c>
      <c r="V81" s="4">
        <v>40.340000000000003</v>
      </c>
      <c r="W81" s="5">
        <f t="shared" si="39"/>
        <v>3.6936043629152204E-2</v>
      </c>
      <c r="X81" s="5">
        <f t="shared" si="40"/>
        <v>7.8086266732771428E-2</v>
      </c>
      <c r="Y81" s="5">
        <f t="shared" si="41"/>
        <v>0.21170054536440253</v>
      </c>
      <c r="Z81" s="5">
        <f t="shared" si="42"/>
        <v>0.33192860684184178</v>
      </c>
      <c r="AA81" s="5">
        <f t="shared" si="43"/>
        <v>0.12592959841348536</v>
      </c>
      <c r="AB81" s="5">
        <f t="shared" si="44"/>
        <v>3.8175508180466035E-2</v>
      </c>
      <c r="AC81" s="5">
        <f t="shared" si="45"/>
        <v>0.10659395141298958</v>
      </c>
      <c r="AD81" s="5">
        <f t="shared" si="46"/>
        <v>7.015369360436291E-2</v>
      </c>
      <c r="AE81" s="5">
        <f t="shared" si="47"/>
        <v>0</v>
      </c>
      <c r="AF81" s="5">
        <f t="shared" si="48"/>
        <v>0</v>
      </c>
      <c r="AG81" s="5">
        <f t="shared" si="49"/>
        <v>0</v>
      </c>
      <c r="AH81" s="5">
        <f t="shared" si="50"/>
        <v>0</v>
      </c>
      <c r="AI81" s="5">
        <f t="shared" si="51"/>
        <v>0</v>
      </c>
      <c r="AJ81" s="6">
        <f t="shared" si="36"/>
        <v>0.16410510659395139</v>
      </c>
      <c r="AK81" s="6">
        <f t="shared" si="37"/>
        <v>0.17674764501735249</v>
      </c>
      <c r="AL81" s="6">
        <f t="shared" si="38"/>
        <v>0.17674764501735249</v>
      </c>
      <c r="AO81" s="7" t="s">
        <v>2</v>
      </c>
      <c r="AP81" s="7" t="s">
        <v>20</v>
      </c>
    </row>
    <row r="82" spans="1:42" ht="18.75" x14ac:dyDescent="0.3">
      <c r="A82">
        <v>1982</v>
      </c>
      <c r="B82">
        <v>0</v>
      </c>
      <c r="C82">
        <v>1.53</v>
      </c>
      <c r="D82">
        <v>4.3099999999999996</v>
      </c>
      <c r="E82">
        <v>7.2799999999999896</v>
      </c>
      <c r="F82">
        <v>12.02</v>
      </c>
      <c r="G82" s="26">
        <v>4.83</v>
      </c>
      <c r="H82" s="26">
        <v>8.3699999999999992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>
        <f t="shared" si="33"/>
        <v>13.2</v>
      </c>
      <c r="Q82" s="26">
        <f t="shared" si="34"/>
        <v>0</v>
      </c>
      <c r="R82">
        <f t="shared" si="35"/>
        <v>0</v>
      </c>
      <c r="U82" s="1">
        <v>1982</v>
      </c>
      <c r="V82" s="2">
        <v>38.4</v>
      </c>
      <c r="W82" s="5">
        <f t="shared" si="39"/>
        <v>3.9843750000000004E-2</v>
      </c>
      <c r="X82" s="5">
        <f t="shared" si="40"/>
        <v>0.11223958333333332</v>
      </c>
      <c r="Y82" s="5">
        <f t="shared" si="41"/>
        <v>0.18958333333333308</v>
      </c>
      <c r="Z82" s="5">
        <f t="shared" si="42"/>
        <v>0.31302083333333336</v>
      </c>
      <c r="AA82" s="5">
        <f t="shared" si="43"/>
        <v>0.12578125000000001</v>
      </c>
      <c r="AB82" s="5">
        <f t="shared" si="44"/>
        <v>0.21796874999999999</v>
      </c>
      <c r="AC82" s="5">
        <f t="shared" si="45"/>
        <v>0</v>
      </c>
      <c r="AD82" s="5">
        <f t="shared" si="46"/>
        <v>0</v>
      </c>
      <c r="AE82" s="5">
        <f t="shared" si="47"/>
        <v>0</v>
      </c>
      <c r="AF82" s="5">
        <f t="shared" si="48"/>
        <v>0</v>
      </c>
      <c r="AG82" s="5">
        <f t="shared" si="49"/>
        <v>0</v>
      </c>
      <c r="AH82" s="5">
        <f t="shared" si="50"/>
        <v>0</v>
      </c>
      <c r="AI82" s="5">
        <f t="shared" si="51"/>
        <v>0</v>
      </c>
      <c r="AJ82" s="6">
        <f t="shared" si="36"/>
        <v>0.34375</v>
      </c>
      <c r="AK82" s="6">
        <f t="shared" si="37"/>
        <v>0</v>
      </c>
      <c r="AL82" s="6">
        <f t="shared" si="38"/>
        <v>0</v>
      </c>
      <c r="AO82" s="7" t="s">
        <v>3</v>
      </c>
      <c r="AP82" s="7" t="s">
        <v>21</v>
      </c>
    </row>
    <row r="83" spans="1:42" ht="18.75" x14ac:dyDescent="0.3">
      <c r="A83">
        <v>1983</v>
      </c>
      <c r="B83">
        <v>0</v>
      </c>
      <c r="C83">
        <v>0.98</v>
      </c>
      <c r="D83">
        <v>3.39</v>
      </c>
      <c r="E83">
        <v>8.48</v>
      </c>
      <c r="F83">
        <v>19.32</v>
      </c>
      <c r="G83" s="26">
        <v>18.29</v>
      </c>
      <c r="H83" s="26">
        <v>5.08</v>
      </c>
      <c r="I83" s="26">
        <v>0</v>
      </c>
      <c r="J83" s="26">
        <v>2.63</v>
      </c>
      <c r="K83" s="26">
        <v>0</v>
      </c>
      <c r="L83" s="26">
        <v>0</v>
      </c>
      <c r="M83" s="26">
        <v>0</v>
      </c>
      <c r="N83" s="26">
        <v>0</v>
      </c>
      <c r="O83" s="26">
        <v>0</v>
      </c>
      <c r="P83">
        <f t="shared" si="33"/>
        <v>23.369999999999997</v>
      </c>
      <c r="Q83" s="26">
        <f t="shared" si="34"/>
        <v>2.63</v>
      </c>
      <c r="R83">
        <f t="shared" si="35"/>
        <v>2.63</v>
      </c>
      <c r="U83" s="3">
        <v>1983</v>
      </c>
      <c r="V83" s="4">
        <v>58.25</v>
      </c>
      <c r="W83" s="5">
        <f t="shared" si="39"/>
        <v>1.6824034334763947E-2</v>
      </c>
      <c r="X83" s="5">
        <f t="shared" si="40"/>
        <v>5.8197424892703867E-2</v>
      </c>
      <c r="Y83" s="5">
        <f t="shared" si="41"/>
        <v>0.1455793991416309</v>
      </c>
      <c r="Z83" s="5">
        <f t="shared" si="42"/>
        <v>0.33167381974248927</v>
      </c>
      <c r="AA83" s="5">
        <f t="shared" si="43"/>
        <v>0.31399141630901284</v>
      </c>
      <c r="AB83" s="5">
        <f t="shared" si="44"/>
        <v>8.7210300429184553E-2</v>
      </c>
      <c r="AC83" s="5">
        <f t="shared" si="45"/>
        <v>0</v>
      </c>
      <c r="AD83" s="5">
        <f t="shared" si="46"/>
        <v>4.5150214592274675E-2</v>
      </c>
      <c r="AE83" s="5">
        <f t="shared" si="47"/>
        <v>0</v>
      </c>
      <c r="AF83" s="5">
        <f t="shared" si="48"/>
        <v>0</v>
      </c>
      <c r="AG83" s="5">
        <f t="shared" si="49"/>
        <v>0</v>
      </c>
      <c r="AH83" s="5">
        <f t="shared" si="50"/>
        <v>0</v>
      </c>
      <c r="AI83" s="5">
        <f t="shared" si="51"/>
        <v>0</v>
      </c>
      <c r="AJ83" s="6">
        <f t="shared" si="36"/>
        <v>0.40120171673819738</v>
      </c>
      <c r="AK83" s="6">
        <f t="shared" si="37"/>
        <v>4.5150214592274675E-2</v>
      </c>
      <c r="AL83" s="6">
        <f t="shared" si="38"/>
        <v>4.5150214592274675E-2</v>
      </c>
      <c r="AO83" s="7" t="s">
        <v>4</v>
      </c>
      <c r="AP83" s="7" t="s">
        <v>22</v>
      </c>
    </row>
    <row r="84" spans="1:42" ht="18.75" x14ac:dyDescent="0.3">
      <c r="A84">
        <v>1984</v>
      </c>
      <c r="B84">
        <v>0</v>
      </c>
      <c r="C84">
        <v>1.2</v>
      </c>
      <c r="D84">
        <v>3.61</v>
      </c>
      <c r="E84">
        <v>7</v>
      </c>
      <c r="F84">
        <v>14.73</v>
      </c>
      <c r="G84" s="26">
        <v>10.86</v>
      </c>
      <c r="H84" s="26">
        <v>3.29</v>
      </c>
      <c r="I84" s="26">
        <v>4.6399999999999997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>
        <f t="shared" si="33"/>
        <v>14.149999999999999</v>
      </c>
      <c r="Q84" s="26">
        <f t="shared" si="34"/>
        <v>4.6399999999999997</v>
      </c>
      <c r="R84">
        <f t="shared" si="35"/>
        <v>4.6399999999999997</v>
      </c>
      <c r="U84" s="1">
        <v>1984</v>
      </c>
      <c r="V84" s="2">
        <v>45.45</v>
      </c>
      <c r="W84" s="5">
        <f t="shared" si="39"/>
        <v>2.6402640264026399E-2</v>
      </c>
      <c r="X84" s="5">
        <f t="shared" si="40"/>
        <v>7.9427942794279421E-2</v>
      </c>
      <c r="Y84" s="5">
        <f t="shared" si="41"/>
        <v>0.154015401540154</v>
      </c>
      <c r="Z84" s="5">
        <f t="shared" si="42"/>
        <v>0.32409240924092408</v>
      </c>
      <c r="AA84" s="5">
        <f t="shared" si="43"/>
        <v>0.23894389438943892</v>
      </c>
      <c r="AB84" s="5">
        <f t="shared" si="44"/>
        <v>7.2387238723872385E-2</v>
      </c>
      <c r="AC84" s="5">
        <f t="shared" si="45"/>
        <v>0.10209020902090207</v>
      </c>
      <c r="AD84" s="5">
        <f t="shared" si="46"/>
        <v>0</v>
      </c>
      <c r="AE84" s="5">
        <f t="shared" si="47"/>
        <v>0</v>
      </c>
      <c r="AF84" s="5">
        <f t="shared" si="48"/>
        <v>0</v>
      </c>
      <c r="AG84" s="5">
        <f t="shared" si="49"/>
        <v>0</v>
      </c>
      <c r="AH84" s="5">
        <f t="shared" si="50"/>
        <v>0</v>
      </c>
      <c r="AI84" s="5">
        <f t="shared" si="51"/>
        <v>0</v>
      </c>
      <c r="AJ84" s="6">
        <f t="shared" si="36"/>
        <v>0.31133113311331129</v>
      </c>
      <c r="AK84" s="6">
        <f t="shared" si="37"/>
        <v>0.10209020902090207</v>
      </c>
      <c r="AL84" s="6">
        <f t="shared" si="38"/>
        <v>0.10209020902090207</v>
      </c>
      <c r="AO84" s="7" t="s">
        <v>23</v>
      </c>
      <c r="AP84" s="7" t="s">
        <v>37</v>
      </c>
    </row>
    <row r="85" spans="1:42" ht="18.75" x14ac:dyDescent="0.3">
      <c r="A85">
        <v>1985</v>
      </c>
      <c r="B85">
        <v>0</v>
      </c>
      <c r="C85">
        <v>2.02</v>
      </c>
      <c r="D85">
        <v>3.0799999999999899</v>
      </c>
      <c r="E85">
        <v>8.0500000000000007</v>
      </c>
      <c r="F85">
        <v>10.6299999999999</v>
      </c>
      <c r="G85" s="26">
        <v>3.3099999999999898</v>
      </c>
      <c r="H85" s="26">
        <v>1.59</v>
      </c>
      <c r="I85" s="26">
        <v>2.46</v>
      </c>
      <c r="J85" s="26">
        <v>0</v>
      </c>
      <c r="K85" s="26">
        <v>0</v>
      </c>
      <c r="L85" s="26">
        <v>4.68</v>
      </c>
      <c r="M85" s="26">
        <v>0</v>
      </c>
      <c r="N85" s="26">
        <v>0</v>
      </c>
      <c r="O85" s="26">
        <v>0</v>
      </c>
      <c r="P85">
        <f t="shared" si="33"/>
        <v>4.8999999999999897</v>
      </c>
      <c r="Q85" s="26">
        <f t="shared" si="34"/>
        <v>2.46</v>
      </c>
      <c r="R85">
        <f t="shared" si="35"/>
        <v>7.14</v>
      </c>
      <c r="U85" s="3">
        <v>1985</v>
      </c>
      <c r="V85" s="4">
        <v>35.880000000000003</v>
      </c>
      <c r="W85" s="5">
        <f t="shared" si="39"/>
        <v>5.6298773690078033E-2</v>
      </c>
      <c r="X85" s="5">
        <f t="shared" si="40"/>
        <v>8.5841694537346427E-2</v>
      </c>
      <c r="Y85" s="5">
        <f t="shared" si="41"/>
        <v>0.22435897435897437</v>
      </c>
      <c r="Z85" s="5">
        <f t="shared" si="42"/>
        <v>0.29626532887402168</v>
      </c>
      <c r="AA85" s="5">
        <f t="shared" si="43"/>
        <v>9.2251950947602829E-2</v>
      </c>
      <c r="AB85" s="5">
        <f t="shared" si="44"/>
        <v>4.4314381270903008E-2</v>
      </c>
      <c r="AC85" s="5">
        <f t="shared" si="45"/>
        <v>6.8561872909698993E-2</v>
      </c>
      <c r="AD85" s="5">
        <f t="shared" si="46"/>
        <v>0</v>
      </c>
      <c r="AE85" s="5">
        <f t="shared" si="47"/>
        <v>0</v>
      </c>
      <c r="AF85" s="5">
        <f t="shared" si="48"/>
        <v>0.13043478260869565</v>
      </c>
      <c r="AG85" s="5">
        <f t="shared" si="49"/>
        <v>0</v>
      </c>
      <c r="AH85" s="5">
        <f t="shared" si="50"/>
        <v>0</v>
      </c>
      <c r="AI85" s="5">
        <f t="shared" si="51"/>
        <v>0</v>
      </c>
      <c r="AJ85" s="6">
        <f t="shared" si="36"/>
        <v>0.13656633221850584</v>
      </c>
      <c r="AK85" s="6">
        <f t="shared" si="37"/>
        <v>6.8561872909698993E-2</v>
      </c>
      <c r="AL85" s="6">
        <f t="shared" si="38"/>
        <v>0.19899665551839463</v>
      </c>
      <c r="AO85" s="7" t="s">
        <v>25</v>
      </c>
      <c r="AP85" s="7" t="s">
        <v>38</v>
      </c>
    </row>
    <row r="86" spans="1:42" x14ac:dyDescent="0.25">
      <c r="A86">
        <v>1986</v>
      </c>
      <c r="B86">
        <v>0</v>
      </c>
      <c r="C86">
        <v>1.79</v>
      </c>
      <c r="D86">
        <v>3.37</v>
      </c>
      <c r="E86">
        <v>8.4999999999999893</v>
      </c>
      <c r="F86">
        <v>15.33</v>
      </c>
      <c r="G86" s="26">
        <v>5.51</v>
      </c>
      <c r="H86" s="26">
        <v>3.5</v>
      </c>
      <c r="I86" s="26">
        <v>2.48</v>
      </c>
      <c r="J86" s="26">
        <v>0</v>
      </c>
      <c r="K86" s="26">
        <v>0</v>
      </c>
      <c r="L86" s="26">
        <v>4.0999999999999996</v>
      </c>
      <c r="M86" s="26">
        <v>0</v>
      </c>
      <c r="N86" s="26">
        <v>0</v>
      </c>
      <c r="O86" s="26">
        <v>0</v>
      </c>
      <c r="P86">
        <f t="shared" si="33"/>
        <v>9.01</v>
      </c>
      <c r="Q86" s="26">
        <f t="shared" si="34"/>
        <v>2.48</v>
      </c>
      <c r="R86">
        <f t="shared" si="35"/>
        <v>6.58</v>
      </c>
      <c r="U86" s="1">
        <v>1986</v>
      </c>
      <c r="V86" s="2">
        <v>44.76</v>
      </c>
      <c r="W86" s="5">
        <f t="shared" si="39"/>
        <v>3.9991063449508493E-2</v>
      </c>
      <c r="X86" s="5">
        <f t="shared" si="40"/>
        <v>7.5290437890974088E-2</v>
      </c>
      <c r="Y86" s="5">
        <f t="shared" si="41"/>
        <v>0.18990169794459316</v>
      </c>
      <c r="Z86" s="5">
        <f t="shared" si="42"/>
        <v>0.34249329758713137</v>
      </c>
      <c r="AA86" s="5">
        <f t="shared" si="43"/>
        <v>0.12310098302055407</v>
      </c>
      <c r="AB86" s="5">
        <f t="shared" si="44"/>
        <v>7.8194816800714925E-2</v>
      </c>
      <c r="AC86" s="5">
        <f t="shared" si="45"/>
        <v>5.5406613047363718E-2</v>
      </c>
      <c r="AD86" s="5">
        <f t="shared" si="46"/>
        <v>0</v>
      </c>
      <c r="AE86" s="5">
        <f t="shared" si="47"/>
        <v>0</v>
      </c>
      <c r="AF86" s="5">
        <f t="shared" si="48"/>
        <v>9.1599642537980336E-2</v>
      </c>
      <c r="AG86" s="5">
        <f t="shared" si="49"/>
        <v>0</v>
      </c>
      <c r="AH86" s="5">
        <f t="shared" si="50"/>
        <v>0</v>
      </c>
      <c r="AI86" s="5">
        <f t="shared" si="51"/>
        <v>0</v>
      </c>
      <c r="AJ86" s="6">
        <f t="shared" si="36"/>
        <v>0.20129579982126899</v>
      </c>
      <c r="AK86" s="6">
        <f t="shared" si="37"/>
        <v>5.5406613047363718E-2</v>
      </c>
      <c r="AL86" s="6">
        <f t="shared" si="38"/>
        <v>0.14700625558534405</v>
      </c>
    </row>
    <row r="87" spans="1:42" x14ac:dyDescent="0.25">
      <c r="A87">
        <v>1987</v>
      </c>
      <c r="B87">
        <v>0</v>
      </c>
      <c r="C87">
        <v>1.3</v>
      </c>
      <c r="D87">
        <v>2.97</v>
      </c>
      <c r="E87">
        <v>6.7299999999999898</v>
      </c>
      <c r="F87">
        <v>15.139999999999899</v>
      </c>
      <c r="G87" s="26">
        <v>7.4</v>
      </c>
      <c r="H87" s="26">
        <v>7.25</v>
      </c>
      <c r="I87" s="26">
        <v>4.7699999999999996</v>
      </c>
      <c r="J87" s="26">
        <v>2.5099999999999998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>
        <f t="shared" si="33"/>
        <v>14.65</v>
      </c>
      <c r="Q87" s="26">
        <f t="shared" si="34"/>
        <v>7.2799999999999994</v>
      </c>
      <c r="R87">
        <f t="shared" si="35"/>
        <v>7.2799999999999994</v>
      </c>
      <c r="U87" s="3">
        <v>1987</v>
      </c>
      <c r="V87" s="4">
        <v>48.12</v>
      </c>
      <c r="W87" s="5">
        <f t="shared" si="39"/>
        <v>2.7015793848711556E-2</v>
      </c>
      <c r="X87" s="5">
        <f t="shared" si="40"/>
        <v>6.1720698254364097E-2</v>
      </c>
      <c r="Y87" s="5">
        <f t="shared" si="41"/>
        <v>0.13985868661679116</v>
      </c>
      <c r="Z87" s="5">
        <f t="shared" si="42"/>
        <v>0.31463009143806941</v>
      </c>
      <c r="AA87" s="5">
        <f t="shared" si="43"/>
        <v>0.15378221113881962</v>
      </c>
      <c r="AB87" s="5">
        <f t="shared" si="44"/>
        <v>0.15066500415627598</v>
      </c>
      <c r="AC87" s="5">
        <f t="shared" si="45"/>
        <v>9.9127182044887782E-2</v>
      </c>
      <c r="AD87" s="5">
        <f t="shared" si="46"/>
        <v>5.2161263507896925E-2</v>
      </c>
      <c r="AE87" s="5">
        <f t="shared" si="47"/>
        <v>0</v>
      </c>
      <c r="AF87" s="5">
        <f t="shared" si="48"/>
        <v>0</v>
      </c>
      <c r="AG87" s="5">
        <f t="shared" si="49"/>
        <v>0</v>
      </c>
      <c r="AH87" s="5">
        <f t="shared" si="50"/>
        <v>0</v>
      </c>
      <c r="AI87" s="5">
        <f t="shared" si="51"/>
        <v>0</v>
      </c>
      <c r="AJ87" s="6">
        <f t="shared" si="36"/>
        <v>0.30444721529509561</v>
      </c>
      <c r="AK87" s="6">
        <f t="shared" si="37"/>
        <v>0.1512884455527847</v>
      </c>
      <c r="AL87" s="6">
        <f t="shared" si="38"/>
        <v>0.1512884455527847</v>
      </c>
    </row>
    <row r="88" spans="1:42" x14ac:dyDescent="0.25">
      <c r="A88">
        <v>1988</v>
      </c>
      <c r="B88">
        <v>0</v>
      </c>
      <c r="C88">
        <v>1.27</v>
      </c>
      <c r="D88">
        <v>2.4</v>
      </c>
      <c r="E88">
        <v>7.49</v>
      </c>
      <c r="F88">
        <v>19.399999999999999</v>
      </c>
      <c r="G88" s="26">
        <v>3.45</v>
      </c>
      <c r="H88" s="26">
        <v>1.95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>
        <f t="shared" si="33"/>
        <v>5.4</v>
      </c>
      <c r="Q88" s="26">
        <f t="shared" si="34"/>
        <v>0</v>
      </c>
      <c r="R88">
        <f t="shared" si="35"/>
        <v>0</v>
      </c>
      <c r="U88" s="1">
        <v>1988</v>
      </c>
      <c r="V88" s="2">
        <v>36.090000000000003</v>
      </c>
      <c r="W88" s="5">
        <f t="shared" si="39"/>
        <v>3.5189803269603769E-2</v>
      </c>
      <c r="X88" s="5">
        <f t="shared" si="40"/>
        <v>6.6500415627597662E-2</v>
      </c>
      <c r="Y88" s="5">
        <f t="shared" si="41"/>
        <v>0.20753671377112773</v>
      </c>
      <c r="Z88" s="5">
        <f t="shared" si="42"/>
        <v>0.5375450263230811</v>
      </c>
      <c r="AA88" s="5">
        <f t="shared" si="43"/>
        <v>9.5594347464671645E-2</v>
      </c>
      <c r="AB88" s="5">
        <f t="shared" si="44"/>
        <v>5.4031587697423104E-2</v>
      </c>
      <c r="AC88" s="5">
        <f t="shared" si="45"/>
        <v>0</v>
      </c>
      <c r="AD88" s="5">
        <f t="shared" si="46"/>
        <v>0</v>
      </c>
      <c r="AE88" s="5">
        <f t="shared" si="47"/>
        <v>0</v>
      </c>
      <c r="AF88" s="5">
        <f t="shared" si="48"/>
        <v>0</v>
      </c>
      <c r="AG88" s="5">
        <f t="shared" si="49"/>
        <v>0</v>
      </c>
      <c r="AH88" s="5">
        <f t="shared" si="50"/>
        <v>0</v>
      </c>
      <c r="AI88" s="5">
        <f t="shared" si="51"/>
        <v>0</v>
      </c>
      <c r="AJ88" s="6">
        <f t="shared" si="36"/>
        <v>0.14962593516209474</v>
      </c>
      <c r="AK88" s="6">
        <f t="shared" si="37"/>
        <v>0</v>
      </c>
      <c r="AL88" s="6">
        <f t="shared" si="38"/>
        <v>0</v>
      </c>
    </row>
    <row r="89" spans="1:42" x14ac:dyDescent="0.25">
      <c r="A89">
        <v>1989</v>
      </c>
      <c r="B89">
        <v>0</v>
      </c>
      <c r="C89">
        <v>0.63</v>
      </c>
      <c r="D89">
        <v>2.73999999999999</v>
      </c>
      <c r="E89">
        <v>4.2699999999999996</v>
      </c>
      <c r="F89">
        <v>12.1</v>
      </c>
      <c r="G89" s="26">
        <v>6.32</v>
      </c>
      <c r="H89" s="26">
        <v>6.7299999999999898</v>
      </c>
      <c r="I89" s="26">
        <v>2.48</v>
      </c>
      <c r="J89" s="26">
        <v>5.16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>
        <f t="shared" si="33"/>
        <v>13.04999999999999</v>
      </c>
      <c r="Q89" s="26">
        <f t="shared" si="34"/>
        <v>7.6400000000000006</v>
      </c>
      <c r="R89">
        <f t="shared" si="35"/>
        <v>7.6400000000000006</v>
      </c>
      <c r="U89" s="3">
        <v>1989</v>
      </c>
      <c r="V89" s="4">
        <v>40.47</v>
      </c>
      <c r="W89" s="5">
        <f t="shared" si="39"/>
        <v>1.5567086730911787E-2</v>
      </c>
      <c r="X89" s="5">
        <f t="shared" si="40"/>
        <v>6.770447244872721E-2</v>
      </c>
      <c r="Y89" s="5">
        <f t="shared" si="41"/>
        <v>0.10551025450951321</v>
      </c>
      <c r="Z89" s="5">
        <f t="shared" si="42"/>
        <v>0.29898690387941684</v>
      </c>
      <c r="AA89" s="5">
        <f t="shared" si="43"/>
        <v>0.15616506053867063</v>
      </c>
      <c r="AB89" s="5">
        <f t="shared" si="44"/>
        <v>0.16629602174450187</v>
      </c>
      <c r="AC89" s="5">
        <f t="shared" si="45"/>
        <v>6.1279960464541636E-2</v>
      </c>
      <c r="AD89" s="5">
        <f t="shared" si="46"/>
        <v>0.12750185322461083</v>
      </c>
      <c r="AE89" s="5">
        <f t="shared" si="47"/>
        <v>0</v>
      </c>
      <c r="AF89" s="5">
        <f t="shared" si="48"/>
        <v>0</v>
      </c>
      <c r="AG89" s="5">
        <f t="shared" si="49"/>
        <v>0</v>
      </c>
      <c r="AH89" s="5">
        <f t="shared" si="50"/>
        <v>0</v>
      </c>
      <c r="AI89" s="5">
        <f t="shared" si="51"/>
        <v>0</v>
      </c>
      <c r="AJ89" s="6">
        <f t="shared" si="36"/>
        <v>0.3224610822831725</v>
      </c>
      <c r="AK89" s="6">
        <f t="shared" si="37"/>
        <v>0.18878181368915248</v>
      </c>
      <c r="AL89" s="6">
        <f t="shared" si="38"/>
        <v>0.18878181368915248</v>
      </c>
    </row>
    <row r="90" spans="1:42" x14ac:dyDescent="0.25">
      <c r="A90">
        <v>1990</v>
      </c>
      <c r="B90">
        <v>0</v>
      </c>
      <c r="C90">
        <v>1.75</v>
      </c>
      <c r="D90">
        <v>3.54</v>
      </c>
      <c r="E90">
        <v>7.27</v>
      </c>
      <c r="F90">
        <v>12.74</v>
      </c>
      <c r="G90" s="26">
        <v>13.389999999999899</v>
      </c>
      <c r="H90" s="26">
        <v>3.2</v>
      </c>
      <c r="I90" s="26">
        <v>4.3099999999999996</v>
      </c>
      <c r="J90" s="26">
        <v>0</v>
      </c>
      <c r="K90" s="26">
        <v>0</v>
      </c>
      <c r="L90" s="26">
        <v>4.71</v>
      </c>
      <c r="M90" s="26">
        <v>0</v>
      </c>
      <c r="N90" s="26">
        <v>0</v>
      </c>
      <c r="O90" s="26">
        <v>0</v>
      </c>
      <c r="P90">
        <f t="shared" si="33"/>
        <v>16.5899999999999</v>
      </c>
      <c r="Q90" s="26">
        <f t="shared" si="34"/>
        <v>4.3099999999999996</v>
      </c>
      <c r="R90">
        <f t="shared" si="35"/>
        <v>9.02</v>
      </c>
      <c r="U90" s="1">
        <v>1990</v>
      </c>
      <c r="V90" s="2">
        <v>51</v>
      </c>
      <c r="W90" s="5">
        <f t="shared" si="39"/>
        <v>3.4313725490196081E-2</v>
      </c>
      <c r="X90" s="5">
        <f t="shared" si="40"/>
        <v>6.9411764705882353E-2</v>
      </c>
      <c r="Y90" s="5">
        <f t="shared" si="41"/>
        <v>0.14254901960784314</v>
      </c>
      <c r="Z90" s="5">
        <f t="shared" si="42"/>
        <v>0.24980392156862746</v>
      </c>
      <c r="AA90" s="5">
        <f t="shared" si="43"/>
        <v>0.26254901960784116</v>
      </c>
      <c r="AB90" s="5">
        <f t="shared" si="44"/>
        <v>6.2745098039215685E-2</v>
      </c>
      <c r="AC90" s="5">
        <f t="shared" si="45"/>
        <v>8.4509803921568621E-2</v>
      </c>
      <c r="AD90" s="5">
        <f t="shared" si="46"/>
        <v>0</v>
      </c>
      <c r="AE90" s="5">
        <f t="shared" si="47"/>
        <v>0</v>
      </c>
      <c r="AF90" s="5">
        <f t="shared" si="48"/>
        <v>9.2352941176470582E-2</v>
      </c>
      <c r="AG90" s="5">
        <f t="shared" si="49"/>
        <v>0</v>
      </c>
      <c r="AH90" s="5">
        <f t="shared" si="50"/>
        <v>0</v>
      </c>
      <c r="AI90" s="5">
        <f t="shared" si="51"/>
        <v>0</v>
      </c>
      <c r="AJ90" s="6">
        <f t="shared" si="36"/>
        <v>0.32529411764705685</v>
      </c>
      <c r="AK90" s="6">
        <f t="shared" si="37"/>
        <v>8.4509803921568621E-2</v>
      </c>
      <c r="AL90" s="6">
        <f t="shared" si="38"/>
        <v>0.1768627450980392</v>
      </c>
    </row>
    <row r="91" spans="1:42" x14ac:dyDescent="0.25">
      <c r="A91">
        <v>1991</v>
      </c>
      <c r="B91">
        <v>0</v>
      </c>
      <c r="C91">
        <v>1.24</v>
      </c>
      <c r="D91">
        <v>2.46</v>
      </c>
      <c r="E91">
        <v>6.32</v>
      </c>
      <c r="F91">
        <v>10.41</v>
      </c>
      <c r="G91" s="26">
        <v>11.91</v>
      </c>
      <c r="H91" s="26">
        <v>6.66</v>
      </c>
      <c r="I91" s="26">
        <v>2.0299999999999998</v>
      </c>
      <c r="J91" s="26">
        <v>2.5499999999999998</v>
      </c>
      <c r="K91" s="26">
        <v>0</v>
      </c>
      <c r="L91" s="26">
        <v>4.9400000000000004</v>
      </c>
      <c r="M91" s="26">
        <v>0</v>
      </c>
      <c r="N91" s="26">
        <v>0</v>
      </c>
      <c r="O91" s="26">
        <v>0</v>
      </c>
      <c r="P91">
        <f t="shared" si="33"/>
        <v>18.57</v>
      </c>
      <c r="Q91" s="26">
        <f t="shared" si="34"/>
        <v>4.58</v>
      </c>
      <c r="R91">
        <f t="shared" si="35"/>
        <v>9.52</v>
      </c>
      <c r="U91" s="3">
        <v>1991</v>
      </c>
      <c r="V91" s="4">
        <v>48.58</v>
      </c>
      <c r="W91" s="5">
        <f t="shared" si="39"/>
        <v>2.5524907369287773E-2</v>
      </c>
      <c r="X91" s="5">
        <f t="shared" si="40"/>
        <v>5.0638122684232192E-2</v>
      </c>
      <c r="Y91" s="5">
        <f t="shared" si="41"/>
        <v>0.13009468917249897</v>
      </c>
      <c r="Z91" s="5">
        <f t="shared" si="42"/>
        <v>0.2142857142857143</v>
      </c>
      <c r="AA91" s="5">
        <f t="shared" si="43"/>
        <v>0.24516261836146563</v>
      </c>
      <c r="AB91" s="5">
        <f t="shared" si="44"/>
        <v>0.13709345409633594</v>
      </c>
      <c r="AC91" s="5">
        <f t="shared" si="45"/>
        <v>4.1786743515850142E-2</v>
      </c>
      <c r="AD91" s="5">
        <f t="shared" si="46"/>
        <v>5.2490736928777273E-2</v>
      </c>
      <c r="AE91" s="5">
        <f t="shared" si="47"/>
        <v>0</v>
      </c>
      <c r="AF91" s="5">
        <f t="shared" si="48"/>
        <v>0.10168793742280775</v>
      </c>
      <c r="AG91" s="5">
        <f t="shared" si="49"/>
        <v>0</v>
      </c>
      <c r="AH91" s="5">
        <f t="shared" si="50"/>
        <v>0</v>
      </c>
      <c r="AI91" s="5">
        <f t="shared" si="51"/>
        <v>0</v>
      </c>
      <c r="AJ91" s="6">
        <f t="shared" si="36"/>
        <v>0.38225607245780158</v>
      </c>
      <c r="AK91" s="6">
        <f t="shared" si="37"/>
        <v>9.4277480444627415E-2</v>
      </c>
      <c r="AL91" s="6">
        <f t="shared" si="38"/>
        <v>0.19596541786743515</v>
      </c>
    </row>
    <row r="92" spans="1:42" x14ac:dyDescent="0.25">
      <c r="A92">
        <v>1992</v>
      </c>
      <c r="B92">
        <v>0</v>
      </c>
      <c r="C92">
        <v>1.79</v>
      </c>
      <c r="D92">
        <v>4.92</v>
      </c>
      <c r="E92">
        <v>8.76</v>
      </c>
      <c r="F92">
        <v>9.4499999999999993</v>
      </c>
      <c r="G92" s="26">
        <v>7.16</v>
      </c>
      <c r="H92" s="26">
        <v>3.7</v>
      </c>
      <c r="I92" s="26">
        <v>4.5199999999999996</v>
      </c>
      <c r="J92" s="26">
        <v>0</v>
      </c>
      <c r="K92" s="26">
        <v>3.88</v>
      </c>
      <c r="L92" s="26">
        <v>0</v>
      </c>
      <c r="M92" s="26">
        <v>0</v>
      </c>
      <c r="N92" s="26">
        <v>0</v>
      </c>
      <c r="O92" s="26">
        <v>0</v>
      </c>
      <c r="P92">
        <f t="shared" si="33"/>
        <v>10.86</v>
      </c>
      <c r="Q92" s="26">
        <f t="shared" si="34"/>
        <v>8.3999999999999986</v>
      </c>
      <c r="R92">
        <f t="shared" si="35"/>
        <v>8.3999999999999986</v>
      </c>
      <c r="U92" s="1">
        <v>1992</v>
      </c>
      <c r="V92" s="2">
        <v>44.22</v>
      </c>
      <c r="W92" s="5">
        <f t="shared" si="39"/>
        <v>4.0479421076436005E-2</v>
      </c>
      <c r="X92" s="5">
        <f t="shared" si="40"/>
        <v>0.11126187245590231</v>
      </c>
      <c r="Y92" s="5">
        <f t="shared" si="41"/>
        <v>0.19810040705563092</v>
      </c>
      <c r="Z92" s="5">
        <f t="shared" si="42"/>
        <v>0.21370420624151967</v>
      </c>
      <c r="AA92" s="5">
        <f t="shared" si="43"/>
        <v>0.16191768430574402</v>
      </c>
      <c r="AB92" s="5">
        <f t="shared" si="44"/>
        <v>8.3672546359113531E-2</v>
      </c>
      <c r="AC92" s="5">
        <f t="shared" si="45"/>
        <v>0.10221619176843057</v>
      </c>
      <c r="AD92" s="5">
        <f t="shared" si="46"/>
        <v>0</v>
      </c>
      <c r="AE92" s="5">
        <f t="shared" si="47"/>
        <v>8.7743102668475806E-2</v>
      </c>
      <c r="AF92" s="5">
        <f t="shared" si="48"/>
        <v>0</v>
      </c>
      <c r="AG92" s="5">
        <f t="shared" si="49"/>
        <v>0</v>
      </c>
      <c r="AH92" s="5">
        <f t="shared" si="50"/>
        <v>0</v>
      </c>
      <c r="AI92" s="5">
        <f t="shared" si="51"/>
        <v>0</v>
      </c>
      <c r="AJ92" s="6">
        <f t="shared" si="36"/>
        <v>0.24559023066485755</v>
      </c>
      <c r="AK92" s="6">
        <f t="shared" si="37"/>
        <v>0.18995929443690637</v>
      </c>
      <c r="AL92" s="6">
        <f t="shared" si="38"/>
        <v>0.18995929443690637</v>
      </c>
    </row>
    <row r="93" spans="1:42" x14ac:dyDescent="0.25">
      <c r="A93">
        <v>1993</v>
      </c>
      <c r="B93">
        <v>0</v>
      </c>
      <c r="C93">
        <v>1.1499999999999999</v>
      </c>
      <c r="D93">
        <v>4.4800000000000004</v>
      </c>
      <c r="E93">
        <v>7.92</v>
      </c>
      <c r="F93">
        <v>12.03</v>
      </c>
      <c r="G93" s="26">
        <v>10.85</v>
      </c>
      <c r="H93" s="26">
        <v>3.38</v>
      </c>
      <c r="I93" s="26">
        <v>4.72</v>
      </c>
      <c r="J93" s="26">
        <v>2.81</v>
      </c>
      <c r="K93" s="26">
        <v>0</v>
      </c>
      <c r="L93" s="26">
        <v>0</v>
      </c>
      <c r="M93" s="26">
        <v>0</v>
      </c>
      <c r="N93" s="26">
        <v>0</v>
      </c>
      <c r="O93" s="26">
        <v>0</v>
      </c>
      <c r="P93">
        <f t="shared" si="33"/>
        <v>14.23</v>
      </c>
      <c r="Q93" s="26">
        <f t="shared" si="34"/>
        <v>7.5299999999999994</v>
      </c>
      <c r="R93">
        <f t="shared" si="35"/>
        <v>7.5299999999999994</v>
      </c>
      <c r="U93" s="3">
        <v>1993</v>
      </c>
      <c r="V93" s="4">
        <v>47.36</v>
      </c>
      <c r="W93" s="5">
        <f t="shared" si="39"/>
        <v>2.4282094594594593E-2</v>
      </c>
      <c r="X93" s="5">
        <f t="shared" si="40"/>
        <v>9.45945945945946E-2</v>
      </c>
      <c r="Y93" s="5">
        <f t="shared" si="41"/>
        <v>0.16722972972972974</v>
      </c>
      <c r="Z93" s="5">
        <f t="shared" si="42"/>
        <v>0.25401182432432429</v>
      </c>
      <c r="AA93" s="5">
        <f t="shared" si="43"/>
        <v>0.22909628378378377</v>
      </c>
      <c r="AB93" s="5">
        <f t="shared" si="44"/>
        <v>7.1368243243243243E-2</v>
      </c>
      <c r="AC93" s="5">
        <f t="shared" si="45"/>
        <v>9.9662162162162157E-2</v>
      </c>
      <c r="AD93" s="5">
        <f t="shared" si="46"/>
        <v>5.9332770270270271E-2</v>
      </c>
      <c r="AE93" s="5">
        <f t="shared" si="47"/>
        <v>0</v>
      </c>
      <c r="AF93" s="5">
        <f t="shared" si="48"/>
        <v>0</v>
      </c>
      <c r="AG93" s="5">
        <f t="shared" si="49"/>
        <v>0</v>
      </c>
      <c r="AH93" s="5">
        <f t="shared" si="50"/>
        <v>0</v>
      </c>
      <c r="AI93" s="5">
        <f t="shared" si="51"/>
        <v>0</v>
      </c>
      <c r="AJ93" s="6">
        <f t="shared" si="36"/>
        <v>0.30046452702702703</v>
      </c>
      <c r="AK93" s="6">
        <f t="shared" si="37"/>
        <v>0.15899493243243243</v>
      </c>
      <c r="AL93" s="6">
        <f t="shared" si="38"/>
        <v>0.15899493243243243</v>
      </c>
    </row>
    <row r="94" spans="1:42" x14ac:dyDescent="0.25">
      <c r="A94">
        <v>1994</v>
      </c>
      <c r="B94">
        <v>0</v>
      </c>
      <c r="C94">
        <v>1.61</v>
      </c>
      <c r="D94">
        <v>3.29</v>
      </c>
      <c r="E94">
        <v>8.2200000000000006</v>
      </c>
      <c r="F94">
        <v>12.04</v>
      </c>
      <c r="G94" s="26">
        <v>13.07</v>
      </c>
      <c r="H94" s="26">
        <v>4.99</v>
      </c>
      <c r="I94" s="26">
        <v>4.1899999999999897</v>
      </c>
      <c r="J94" s="26">
        <v>2.5099999999999998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>
        <f t="shared" si="33"/>
        <v>18.060000000000002</v>
      </c>
      <c r="Q94" s="26">
        <f t="shared" si="34"/>
        <v>6.6999999999999895</v>
      </c>
      <c r="R94">
        <f t="shared" si="35"/>
        <v>6.6999999999999895</v>
      </c>
      <c r="U94" s="1">
        <v>1994</v>
      </c>
      <c r="V94" s="2">
        <v>49.96</v>
      </c>
      <c r="W94" s="5">
        <f t="shared" si="39"/>
        <v>3.22257806244996E-2</v>
      </c>
      <c r="X94" s="5">
        <f t="shared" si="40"/>
        <v>6.5852682145716573E-2</v>
      </c>
      <c r="Y94" s="5">
        <f t="shared" si="41"/>
        <v>0.16453162530024021</v>
      </c>
      <c r="Z94" s="5">
        <f t="shared" si="42"/>
        <v>0.2409927942353883</v>
      </c>
      <c r="AA94" s="5">
        <f t="shared" si="43"/>
        <v>0.26160928742994394</v>
      </c>
      <c r="AB94" s="5">
        <f t="shared" si="44"/>
        <v>9.9879903923138516E-2</v>
      </c>
      <c r="AC94" s="5">
        <f t="shared" si="45"/>
        <v>8.3867093674939747E-2</v>
      </c>
      <c r="AD94" s="5">
        <f t="shared" si="46"/>
        <v>5.0240192153722975E-2</v>
      </c>
      <c r="AE94" s="5">
        <f t="shared" si="47"/>
        <v>0</v>
      </c>
      <c r="AF94" s="5">
        <f t="shared" si="48"/>
        <v>0</v>
      </c>
      <c r="AG94" s="5">
        <f t="shared" si="49"/>
        <v>0</v>
      </c>
      <c r="AH94" s="5">
        <f t="shared" si="50"/>
        <v>0</v>
      </c>
      <c r="AI94" s="5">
        <f t="shared" si="51"/>
        <v>0</v>
      </c>
      <c r="AJ94" s="6">
        <f t="shared" si="36"/>
        <v>0.36148919135308244</v>
      </c>
      <c r="AK94" s="6">
        <f t="shared" si="37"/>
        <v>0.13410728582866271</v>
      </c>
      <c r="AL94" s="6">
        <f t="shared" si="38"/>
        <v>0.13410728582866271</v>
      </c>
    </row>
    <row r="95" spans="1:42" x14ac:dyDescent="0.25">
      <c r="A95">
        <v>1995</v>
      </c>
      <c r="B95">
        <v>0</v>
      </c>
      <c r="C95">
        <v>1.04</v>
      </c>
      <c r="D95">
        <v>3.86</v>
      </c>
      <c r="E95">
        <v>5.95</v>
      </c>
      <c r="F95">
        <v>11.39</v>
      </c>
      <c r="G95" s="26">
        <v>9.9600000000000009</v>
      </c>
      <c r="H95" s="26">
        <v>3.67</v>
      </c>
      <c r="I95" s="26">
        <v>0</v>
      </c>
      <c r="J95" s="26">
        <v>2.85</v>
      </c>
      <c r="K95" s="26">
        <v>0</v>
      </c>
      <c r="L95" s="26">
        <v>0</v>
      </c>
      <c r="M95" s="26">
        <v>0</v>
      </c>
      <c r="N95" s="26">
        <v>0</v>
      </c>
      <c r="O95" s="26">
        <v>0</v>
      </c>
      <c r="P95">
        <f t="shared" si="33"/>
        <v>13.63</v>
      </c>
      <c r="Q95" s="26">
        <f t="shared" si="34"/>
        <v>2.85</v>
      </c>
      <c r="R95">
        <f t="shared" si="35"/>
        <v>2.85</v>
      </c>
      <c r="U95" s="3">
        <v>1995</v>
      </c>
      <c r="V95" s="4">
        <v>38.82</v>
      </c>
      <c r="W95" s="5">
        <f t="shared" si="39"/>
        <v>2.6790314270994334E-2</v>
      </c>
      <c r="X95" s="5">
        <f t="shared" si="40"/>
        <v>9.9433281813498198E-2</v>
      </c>
      <c r="Y95" s="5">
        <f t="shared" si="41"/>
        <v>0.1532715095311695</v>
      </c>
      <c r="Z95" s="5">
        <f t="shared" si="42"/>
        <v>0.29340546110252447</v>
      </c>
      <c r="AA95" s="5">
        <f t="shared" si="43"/>
        <v>0.25656877897990726</v>
      </c>
      <c r="AB95" s="5">
        <f t="shared" si="44"/>
        <v>9.4538897475528072E-2</v>
      </c>
      <c r="AC95" s="5">
        <f t="shared" si="45"/>
        <v>0</v>
      </c>
      <c r="AD95" s="5">
        <f t="shared" si="46"/>
        <v>7.3415765069551775E-2</v>
      </c>
      <c r="AE95" s="5">
        <f t="shared" si="47"/>
        <v>0</v>
      </c>
      <c r="AF95" s="5">
        <f t="shared" si="48"/>
        <v>0</v>
      </c>
      <c r="AG95" s="5">
        <f t="shared" si="49"/>
        <v>0</v>
      </c>
      <c r="AH95" s="5">
        <f t="shared" si="50"/>
        <v>0</v>
      </c>
      <c r="AI95" s="5">
        <f t="shared" si="51"/>
        <v>0</v>
      </c>
      <c r="AJ95" s="6">
        <f t="shared" si="36"/>
        <v>0.35110767645543534</v>
      </c>
      <c r="AK95" s="6">
        <f t="shared" si="37"/>
        <v>7.3415765069551775E-2</v>
      </c>
      <c r="AL95" s="6">
        <f t="shared" si="38"/>
        <v>7.3415765069551775E-2</v>
      </c>
    </row>
    <row r="96" spans="1:42" x14ac:dyDescent="0.25">
      <c r="A96">
        <v>1996</v>
      </c>
      <c r="B96">
        <v>0</v>
      </c>
      <c r="C96">
        <v>1.66</v>
      </c>
      <c r="D96">
        <v>3.15</v>
      </c>
      <c r="E96">
        <v>11.03</v>
      </c>
      <c r="F96">
        <v>19.170000000000002</v>
      </c>
      <c r="G96" s="26">
        <v>7.74</v>
      </c>
      <c r="H96" s="26">
        <v>3.19</v>
      </c>
      <c r="I96" s="26">
        <v>4.38</v>
      </c>
      <c r="J96" s="26">
        <v>5.52</v>
      </c>
      <c r="K96" s="26">
        <v>3.72</v>
      </c>
      <c r="L96" s="26">
        <v>0</v>
      </c>
      <c r="M96" s="26">
        <v>0</v>
      </c>
      <c r="N96" s="26">
        <v>0</v>
      </c>
      <c r="O96" s="26">
        <v>0</v>
      </c>
      <c r="P96">
        <f t="shared" si="33"/>
        <v>10.93</v>
      </c>
      <c r="Q96" s="26">
        <f t="shared" si="34"/>
        <v>13.62</v>
      </c>
      <c r="R96">
        <f t="shared" si="35"/>
        <v>13.62</v>
      </c>
      <c r="U96" s="1">
        <v>1996</v>
      </c>
      <c r="V96" s="2">
        <v>59.58</v>
      </c>
      <c r="W96" s="5">
        <f t="shared" si="39"/>
        <v>2.7861698556562606E-2</v>
      </c>
      <c r="X96" s="5">
        <f t="shared" si="40"/>
        <v>5.2870090634441085E-2</v>
      </c>
      <c r="Y96" s="5">
        <f t="shared" si="41"/>
        <v>0.18512923799932862</v>
      </c>
      <c r="Z96" s="5">
        <f t="shared" si="42"/>
        <v>0.32175226586102723</v>
      </c>
      <c r="AA96" s="5">
        <f t="shared" si="43"/>
        <v>0.12990936555891239</v>
      </c>
      <c r="AB96" s="5">
        <f t="shared" si="44"/>
        <v>5.3541456864719707E-2</v>
      </c>
      <c r="AC96" s="5">
        <f t="shared" si="45"/>
        <v>7.3514602215508554E-2</v>
      </c>
      <c r="AD96" s="5">
        <f t="shared" si="46"/>
        <v>9.264853977844914E-2</v>
      </c>
      <c r="AE96" s="5">
        <f t="shared" si="47"/>
        <v>6.2437059415911385E-2</v>
      </c>
      <c r="AF96" s="5">
        <f t="shared" si="48"/>
        <v>0</v>
      </c>
      <c r="AG96" s="5">
        <f t="shared" si="49"/>
        <v>0</v>
      </c>
      <c r="AH96" s="5">
        <f t="shared" si="50"/>
        <v>0</v>
      </c>
      <c r="AI96" s="5">
        <f t="shared" si="51"/>
        <v>0</v>
      </c>
      <c r="AJ96" s="6">
        <f t="shared" si="36"/>
        <v>0.18345082242363209</v>
      </c>
      <c r="AK96" s="6">
        <f t="shared" si="37"/>
        <v>0.22860020140986909</v>
      </c>
      <c r="AL96" s="6">
        <f t="shared" si="38"/>
        <v>0.22860020140986909</v>
      </c>
    </row>
    <row r="97" spans="1:42" x14ac:dyDescent="0.25">
      <c r="A97">
        <v>1997</v>
      </c>
      <c r="B97">
        <v>0</v>
      </c>
      <c r="C97">
        <v>0.8</v>
      </c>
      <c r="D97">
        <v>5.05</v>
      </c>
      <c r="E97">
        <v>8.3799999999999901</v>
      </c>
      <c r="F97">
        <v>15.83</v>
      </c>
      <c r="G97" s="26">
        <v>7.23</v>
      </c>
      <c r="H97" s="26">
        <v>1.76</v>
      </c>
      <c r="I97" s="26">
        <v>0</v>
      </c>
      <c r="J97" s="26">
        <v>5.62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>
        <f t="shared" si="33"/>
        <v>8.99</v>
      </c>
      <c r="Q97" s="26">
        <f t="shared" si="34"/>
        <v>5.62</v>
      </c>
      <c r="R97">
        <f t="shared" si="35"/>
        <v>5.62</v>
      </c>
      <c r="U97" s="3">
        <v>1997</v>
      </c>
      <c r="V97" s="4">
        <v>44.67</v>
      </c>
      <c r="W97" s="5">
        <f t="shared" si="39"/>
        <v>1.7909111260353706E-2</v>
      </c>
      <c r="X97" s="5">
        <f t="shared" si="40"/>
        <v>0.11305126483098275</v>
      </c>
      <c r="Y97" s="5">
        <f t="shared" si="41"/>
        <v>0.18759794045220482</v>
      </c>
      <c r="Z97" s="5">
        <f t="shared" si="42"/>
        <v>0.35437653906424893</v>
      </c>
      <c r="AA97" s="5">
        <f t="shared" si="43"/>
        <v>0.16185359301544661</v>
      </c>
      <c r="AB97" s="5">
        <f t="shared" si="44"/>
        <v>3.9400044772778149E-2</v>
      </c>
      <c r="AC97" s="5">
        <f t="shared" si="45"/>
        <v>0</v>
      </c>
      <c r="AD97" s="5">
        <f t="shared" si="46"/>
        <v>0.12581150660398477</v>
      </c>
      <c r="AE97" s="5">
        <f t="shared" si="47"/>
        <v>0</v>
      </c>
      <c r="AF97" s="5">
        <f t="shared" si="48"/>
        <v>0</v>
      </c>
      <c r="AG97" s="5">
        <f t="shared" si="49"/>
        <v>0</v>
      </c>
      <c r="AH97" s="5">
        <f t="shared" si="50"/>
        <v>0</v>
      </c>
      <c r="AI97" s="5">
        <f t="shared" si="51"/>
        <v>0</v>
      </c>
      <c r="AJ97" s="6">
        <f t="shared" si="36"/>
        <v>0.20125363778822475</v>
      </c>
      <c r="AK97" s="6">
        <f t="shared" si="37"/>
        <v>0.12581150660398477</v>
      </c>
      <c r="AL97" s="6">
        <f t="shared" si="38"/>
        <v>0.12581150660398477</v>
      </c>
    </row>
    <row r="98" spans="1:42" x14ac:dyDescent="0.25">
      <c r="A98">
        <v>1998</v>
      </c>
      <c r="B98">
        <v>0</v>
      </c>
      <c r="C98">
        <v>0.98</v>
      </c>
      <c r="D98">
        <v>4.01</v>
      </c>
      <c r="E98">
        <v>7.6099999999999897</v>
      </c>
      <c r="F98">
        <v>14.989999999999901</v>
      </c>
      <c r="G98" s="26">
        <v>8.74</v>
      </c>
      <c r="H98" s="26">
        <v>1.54</v>
      </c>
      <c r="I98" s="26">
        <v>4.33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>
        <f t="shared" si="33"/>
        <v>10.280000000000001</v>
      </c>
      <c r="Q98" s="26">
        <f t="shared" si="34"/>
        <v>4.33</v>
      </c>
      <c r="R98">
        <f t="shared" si="35"/>
        <v>4.33</v>
      </c>
      <c r="U98" s="1">
        <v>1998</v>
      </c>
      <c r="V98" s="2">
        <v>42.24</v>
      </c>
      <c r="W98" s="5">
        <f t="shared" si="39"/>
        <v>2.3200757575757576E-2</v>
      </c>
      <c r="X98" s="5">
        <f t="shared" si="40"/>
        <v>9.4933712121212113E-2</v>
      </c>
      <c r="Y98" s="5">
        <f t="shared" si="41"/>
        <v>0.18016098484848458</v>
      </c>
      <c r="Z98" s="5">
        <f t="shared" si="42"/>
        <v>0.35487689393939159</v>
      </c>
      <c r="AA98" s="5">
        <f t="shared" si="43"/>
        <v>0.20691287878787878</v>
      </c>
      <c r="AB98" s="5">
        <f t="shared" si="44"/>
        <v>3.6458333333333336E-2</v>
      </c>
      <c r="AC98" s="5">
        <f t="shared" si="45"/>
        <v>0.1025094696969697</v>
      </c>
      <c r="AD98" s="5">
        <f t="shared" si="46"/>
        <v>0</v>
      </c>
      <c r="AE98" s="5">
        <f t="shared" si="47"/>
        <v>0</v>
      </c>
      <c r="AF98" s="5">
        <f t="shared" si="48"/>
        <v>0</v>
      </c>
      <c r="AG98" s="5">
        <f t="shared" si="49"/>
        <v>0</v>
      </c>
      <c r="AH98" s="5">
        <f t="shared" si="50"/>
        <v>0</v>
      </c>
      <c r="AI98" s="5">
        <f t="shared" si="51"/>
        <v>0</v>
      </c>
      <c r="AJ98" s="6">
        <f t="shared" si="36"/>
        <v>0.24337121212121213</v>
      </c>
      <c r="AK98" s="6">
        <f t="shared" si="37"/>
        <v>0.1025094696969697</v>
      </c>
      <c r="AL98" s="6">
        <f t="shared" si="38"/>
        <v>0.1025094696969697</v>
      </c>
    </row>
    <row r="99" spans="1:42" x14ac:dyDescent="0.25">
      <c r="A99">
        <v>1999</v>
      </c>
      <c r="B99">
        <v>0</v>
      </c>
      <c r="C99">
        <v>0.7</v>
      </c>
      <c r="D99">
        <v>4.32</v>
      </c>
      <c r="E99">
        <v>8.0399999999999991</v>
      </c>
      <c r="F99">
        <v>11.28</v>
      </c>
      <c r="G99" s="26">
        <v>9.96999999999999</v>
      </c>
      <c r="H99" s="26">
        <v>7.08</v>
      </c>
      <c r="I99" s="26">
        <v>0</v>
      </c>
      <c r="J99" s="26">
        <v>2.96</v>
      </c>
      <c r="K99" s="26">
        <v>0</v>
      </c>
      <c r="L99" s="26">
        <v>4.88</v>
      </c>
      <c r="M99" s="26">
        <v>0</v>
      </c>
      <c r="N99" s="26">
        <v>0</v>
      </c>
      <c r="O99" s="26">
        <v>0</v>
      </c>
      <c r="P99">
        <f t="shared" si="33"/>
        <v>17.04999999999999</v>
      </c>
      <c r="Q99" s="26">
        <f t="shared" si="34"/>
        <v>2.96</v>
      </c>
      <c r="R99">
        <f t="shared" si="35"/>
        <v>7.84</v>
      </c>
      <c r="U99" s="3">
        <v>1999</v>
      </c>
      <c r="V99" s="4">
        <v>49.23</v>
      </c>
      <c r="W99" s="5">
        <f t="shared" si="39"/>
        <v>1.4218972171440178E-2</v>
      </c>
      <c r="X99" s="5">
        <f t="shared" si="40"/>
        <v>8.7751371115173685E-2</v>
      </c>
      <c r="Y99" s="5">
        <f t="shared" si="41"/>
        <v>0.16331505179768432</v>
      </c>
      <c r="Z99" s="5">
        <f t="shared" si="42"/>
        <v>0.22912858013406459</v>
      </c>
      <c r="AA99" s="5">
        <f t="shared" si="43"/>
        <v>0.2025187893560835</v>
      </c>
      <c r="AB99" s="5">
        <f t="shared" si="44"/>
        <v>0.14381474710542352</v>
      </c>
      <c r="AC99" s="5">
        <f t="shared" si="45"/>
        <v>0</v>
      </c>
      <c r="AD99" s="5">
        <f t="shared" si="46"/>
        <v>6.0125939467804188E-2</v>
      </c>
      <c r="AE99" s="5">
        <f t="shared" si="47"/>
        <v>0</v>
      </c>
      <c r="AF99" s="5">
        <f t="shared" si="48"/>
        <v>9.9126548852325816E-2</v>
      </c>
      <c r="AG99" s="5">
        <f t="shared" si="49"/>
        <v>0</v>
      </c>
      <c r="AH99" s="5">
        <f t="shared" si="50"/>
        <v>0</v>
      </c>
      <c r="AI99" s="5">
        <f t="shared" si="51"/>
        <v>0</v>
      </c>
      <c r="AJ99" s="6">
        <f t="shared" si="36"/>
        <v>0.346333536461507</v>
      </c>
      <c r="AK99" s="6">
        <f t="shared" si="37"/>
        <v>6.0125939467804188E-2</v>
      </c>
      <c r="AL99" s="6">
        <f t="shared" si="38"/>
        <v>0.15925248832013</v>
      </c>
    </row>
    <row r="100" spans="1:42" x14ac:dyDescent="0.25">
      <c r="A100">
        <v>2000</v>
      </c>
      <c r="B100">
        <v>0</v>
      </c>
      <c r="C100">
        <v>0.91999999999999904</v>
      </c>
      <c r="D100">
        <v>3.4199999999999902</v>
      </c>
      <c r="E100">
        <v>8.1099999999999905</v>
      </c>
      <c r="F100">
        <v>11.66</v>
      </c>
      <c r="G100" s="26">
        <v>6.92</v>
      </c>
      <c r="H100" s="26">
        <v>5.16</v>
      </c>
      <c r="I100" s="26">
        <v>6.7</v>
      </c>
      <c r="J100" s="26">
        <v>5.23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>
        <f t="shared" si="33"/>
        <v>12.08</v>
      </c>
      <c r="Q100" s="26">
        <f t="shared" si="34"/>
        <v>11.93</v>
      </c>
      <c r="R100">
        <f t="shared" si="35"/>
        <v>11.93</v>
      </c>
      <c r="U100" s="1">
        <v>2000</v>
      </c>
      <c r="V100" s="2">
        <v>48.15</v>
      </c>
      <c r="W100" s="5">
        <f t="shared" si="39"/>
        <v>1.9106957424714414E-2</v>
      </c>
      <c r="X100" s="5">
        <f t="shared" si="40"/>
        <v>7.1028037383177367E-2</v>
      </c>
      <c r="Y100" s="5">
        <f t="shared" si="41"/>
        <v>0.16843198338525422</v>
      </c>
      <c r="Z100" s="5">
        <f t="shared" si="42"/>
        <v>0.24215991692627209</v>
      </c>
      <c r="AA100" s="5">
        <f t="shared" si="43"/>
        <v>0.14371754932502595</v>
      </c>
      <c r="AB100" s="5">
        <f t="shared" si="44"/>
        <v>0.10716510903426792</v>
      </c>
      <c r="AC100" s="5">
        <f t="shared" si="45"/>
        <v>0.1391484942886812</v>
      </c>
      <c r="AD100" s="5">
        <f t="shared" si="46"/>
        <v>0.10861889927310489</v>
      </c>
      <c r="AE100" s="5">
        <f t="shared" si="47"/>
        <v>0</v>
      </c>
      <c r="AF100" s="5">
        <f t="shared" si="48"/>
        <v>0</v>
      </c>
      <c r="AG100" s="5">
        <f t="shared" si="49"/>
        <v>0</v>
      </c>
      <c r="AH100" s="5">
        <f t="shared" si="50"/>
        <v>0</v>
      </c>
      <c r="AI100" s="5">
        <f t="shared" si="51"/>
        <v>0</v>
      </c>
      <c r="AJ100" s="6">
        <f t="shared" si="36"/>
        <v>0.25088265835929385</v>
      </c>
      <c r="AK100" s="6">
        <f t="shared" si="37"/>
        <v>0.24776739356178609</v>
      </c>
      <c r="AL100" s="6">
        <f t="shared" si="38"/>
        <v>0.24776739356178609</v>
      </c>
    </row>
    <row r="101" spans="1:42" x14ac:dyDescent="0.25">
      <c r="A101">
        <v>2001</v>
      </c>
      <c r="B101">
        <v>0</v>
      </c>
      <c r="C101">
        <v>0.81</v>
      </c>
      <c r="D101">
        <v>5.25999999999999</v>
      </c>
      <c r="E101">
        <v>5.65</v>
      </c>
      <c r="F101">
        <v>13.78</v>
      </c>
      <c r="G101" s="26">
        <v>3.6</v>
      </c>
      <c r="H101" s="26">
        <v>3.9</v>
      </c>
      <c r="I101" s="26">
        <v>0</v>
      </c>
      <c r="J101" s="26">
        <v>2.72</v>
      </c>
      <c r="K101" s="26">
        <v>0</v>
      </c>
      <c r="L101" s="26">
        <v>0</v>
      </c>
      <c r="M101" s="26">
        <v>0</v>
      </c>
      <c r="N101" s="26">
        <v>0</v>
      </c>
      <c r="O101" s="26">
        <v>0</v>
      </c>
      <c r="P101">
        <f t="shared" si="33"/>
        <v>7.5</v>
      </c>
      <c r="Q101" s="26">
        <f t="shared" si="34"/>
        <v>2.72</v>
      </c>
      <c r="R101">
        <f t="shared" si="35"/>
        <v>2.72</v>
      </c>
      <c r="U101" s="3">
        <v>2001</v>
      </c>
      <c r="V101" s="4">
        <v>35.72</v>
      </c>
      <c r="W101" s="5">
        <f t="shared" si="39"/>
        <v>2.2676371780515119E-2</v>
      </c>
      <c r="X101" s="5">
        <f t="shared" si="40"/>
        <v>0.14725643896976456</v>
      </c>
      <c r="Y101" s="5">
        <f t="shared" si="41"/>
        <v>0.15817469204927212</v>
      </c>
      <c r="Z101" s="5">
        <f t="shared" si="42"/>
        <v>0.38577827547592386</v>
      </c>
      <c r="AA101" s="5">
        <f t="shared" si="43"/>
        <v>0.1007838745800672</v>
      </c>
      <c r="AB101" s="5">
        <f t="shared" si="44"/>
        <v>0.10918253079507279</v>
      </c>
      <c r="AC101" s="5">
        <f t="shared" si="45"/>
        <v>0</v>
      </c>
      <c r="AD101" s="5">
        <f t="shared" si="46"/>
        <v>7.6147816349384112E-2</v>
      </c>
      <c r="AE101" s="5">
        <f t="shared" si="47"/>
        <v>0</v>
      </c>
      <c r="AF101" s="5">
        <f t="shared" si="48"/>
        <v>0</v>
      </c>
      <c r="AG101" s="5">
        <f t="shared" si="49"/>
        <v>0</v>
      </c>
      <c r="AH101" s="5">
        <f t="shared" si="50"/>
        <v>0</v>
      </c>
      <c r="AI101" s="5">
        <f t="shared" si="51"/>
        <v>0</v>
      </c>
      <c r="AJ101" s="6">
        <f t="shared" si="36"/>
        <v>0.20996640537514</v>
      </c>
      <c r="AK101" s="6">
        <f t="shared" si="37"/>
        <v>7.6147816349384112E-2</v>
      </c>
      <c r="AL101" s="6">
        <f t="shared" si="38"/>
        <v>7.6147816349384112E-2</v>
      </c>
    </row>
    <row r="102" spans="1:42" x14ac:dyDescent="0.25">
      <c r="A102">
        <v>2002</v>
      </c>
      <c r="B102">
        <v>0</v>
      </c>
      <c r="C102">
        <v>1.57</v>
      </c>
      <c r="D102">
        <v>3.43</v>
      </c>
      <c r="E102">
        <v>6.23</v>
      </c>
      <c r="F102">
        <v>16.07</v>
      </c>
      <c r="G102" s="26">
        <v>10.74</v>
      </c>
      <c r="H102" s="26">
        <v>3.3</v>
      </c>
      <c r="I102" s="26">
        <v>4.47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>
        <f t="shared" si="33"/>
        <v>14.04</v>
      </c>
      <c r="Q102" s="26">
        <f t="shared" si="34"/>
        <v>4.47</v>
      </c>
      <c r="R102">
        <f t="shared" si="35"/>
        <v>4.47</v>
      </c>
      <c r="U102" s="1">
        <v>2002</v>
      </c>
      <c r="V102" s="2">
        <v>45.83</v>
      </c>
      <c r="W102" s="5">
        <f t="shared" si="39"/>
        <v>3.4257036875409125E-2</v>
      </c>
      <c r="X102" s="5">
        <f t="shared" si="40"/>
        <v>7.4841806676849226E-2</v>
      </c>
      <c r="Y102" s="5">
        <f t="shared" si="41"/>
        <v>0.13593715906611392</v>
      </c>
      <c r="Z102" s="5">
        <f t="shared" si="42"/>
        <v>0.35064368317695832</v>
      </c>
      <c r="AA102" s="5">
        <f t="shared" si="43"/>
        <v>0.23434431595025093</v>
      </c>
      <c r="AB102" s="5">
        <f t="shared" si="44"/>
        <v>7.2005236744490511E-2</v>
      </c>
      <c r="AC102" s="5">
        <f t="shared" si="45"/>
        <v>9.7534366135718961E-2</v>
      </c>
      <c r="AD102" s="5">
        <f t="shared" si="46"/>
        <v>0</v>
      </c>
      <c r="AE102" s="5">
        <f t="shared" si="47"/>
        <v>0</v>
      </c>
      <c r="AF102" s="5">
        <f t="shared" si="48"/>
        <v>0</v>
      </c>
      <c r="AG102" s="5">
        <f t="shared" si="49"/>
        <v>0</v>
      </c>
      <c r="AH102" s="5">
        <f t="shared" si="50"/>
        <v>0</v>
      </c>
      <c r="AI102" s="5">
        <f t="shared" si="51"/>
        <v>0</v>
      </c>
      <c r="AJ102" s="6">
        <f t="shared" si="36"/>
        <v>0.30634955269474146</v>
      </c>
      <c r="AK102" s="6">
        <f t="shared" si="37"/>
        <v>9.7534366135718961E-2</v>
      </c>
      <c r="AL102" s="6">
        <f t="shared" si="38"/>
        <v>9.7534366135718961E-2</v>
      </c>
    </row>
    <row r="103" spans="1:42" x14ac:dyDescent="0.25">
      <c r="A103">
        <v>2003</v>
      </c>
      <c r="B103">
        <v>0</v>
      </c>
      <c r="C103">
        <v>1.26</v>
      </c>
      <c r="D103">
        <v>5.43</v>
      </c>
      <c r="E103">
        <v>10.2599999999999</v>
      </c>
      <c r="F103">
        <v>19.14</v>
      </c>
      <c r="G103" s="26">
        <v>10.15</v>
      </c>
      <c r="H103" s="26">
        <v>6.42</v>
      </c>
      <c r="I103" s="26">
        <v>2.23</v>
      </c>
      <c r="J103" s="26">
        <v>0</v>
      </c>
      <c r="K103" s="26">
        <v>3.76</v>
      </c>
      <c r="L103" s="26">
        <v>0</v>
      </c>
      <c r="M103" s="26">
        <v>0</v>
      </c>
      <c r="N103" s="26">
        <v>0</v>
      </c>
      <c r="O103" s="26">
        <v>0</v>
      </c>
      <c r="P103">
        <f t="shared" si="33"/>
        <v>16.57</v>
      </c>
      <c r="Q103" s="26">
        <f t="shared" si="34"/>
        <v>5.99</v>
      </c>
      <c r="R103">
        <f t="shared" si="35"/>
        <v>5.99</v>
      </c>
      <c r="U103" s="3">
        <v>2003</v>
      </c>
      <c r="V103" s="4">
        <v>58.65</v>
      </c>
      <c r="W103" s="5">
        <f t="shared" si="39"/>
        <v>2.1483375959079284E-2</v>
      </c>
      <c r="X103" s="5">
        <f t="shared" si="40"/>
        <v>9.2583120204603575E-2</v>
      </c>
      <c r="Y103" s="5">
        <f t="shared" si="41"/>
        <v>0.17493606138107248</v>
      </c>
      <c r="Z103" s="5">
        <f t="shared" si="42"/>
        <v>0.3263427109974425</v>
      </c>
      <c r="AA103" s="5">
        <f t="shared" si="43"/>
        <v>0.1730605285592498</v>
      </c>
      <c r="AB103" s="5">
        <f t="shared" si="44"/>
        <v>0.10946291560102302</v>
      </c>
      <c r="AC103" s="5">
        <f t="shared" si="45"/>
        <v>3.802216538789429E-2</v>
      </c>
      <c r="AD103" s="5">
        <f t="shared" si="46"/>
        <v>0</v>
      </c>
      <c r="AE103" s="5">
        <f t="shared" si="47"/>
        <v>6.4109121909633415E-2</v>
      </c>
      <c r="AF103" s="5">
        <f t="shared" si="48"/>
        <v>0</v>
      </c>
      <c r="AG103" s="5">
        <f t="shared" si="49"/>
        <v>0</v>
      </c>
      <c r="AH103" s="5">
        <f t="shared" si="50"/>
        <v>0</v>
      </c>
      <c r="AI103" s="5">
        <f t="shared" si="51"/>
        <v>0</v>
      </c>
      <c r="AJ103" s="6">
        <f t="shared" si="36"/>
        <v>0.28252344416027281</v>
      </c>
      <c r="AK103" s="6">
        <f t="shared" si="37"/>
        <v>0.10213128729752771</v>
      </c>
      <c r="AL103" s="6">
        <f t="shared" si="38"/>
        <v>0.10213128729752771</v>
      </c>
    </row>
    <row r="104" spans="1:42" x14ac:dyDescent="0.25">
      <c r="A104">
        <v>2004</v>
      </c>
      <c r="B104">
        <v>0</v>
      </c>
      <c r="C104">
        <v>1.24</v>
      </c>
      <c r="D104">
        <v>4.0199999999999996</v>
      </c>
      <c r="E104">
        <v>7.54</v>
      </c>
      <c r="F104">
        <v>19.739999999999998</v>
      </c>
      <c r="G104" s="26">
        <v>3.75</v>
      </c>
      <c r="H104" s="26">
        <v>3.53</v>
      </c>
      <c r="I104" s="26">
        <v>12.9199999999999</v>
      </c>
      <c r="J104" s="26">
        <v>0</v>
      </c>
      <c r="K104" s="26">
        <v>0</v>
      </c>
      <c r="L104" s="26">
        <v>4.12</v>
      </c>
      <c r="M104" s="26">
        <v>0</v>
      </c>
      <c r="N104" s="26">
        <v>0</v>
      </c>
      <c r="O104" s="26">
        <v>0</v>
      </c>
      <c r="P104">
        <f t="shared" si="33"/>
        <v>7.2799999999999994</v>
      </c>
      <c r="Q104" s="26">
        <f t="shared" si="34"/>
        <v>12.9199999999999</v>
      </c>
      <c r="R104">
        <f t="shared" si="35"/>
        <v>17.0399999999999</v>
      </c>
      <c r="U104" s="1">
        <v>2004</v>
      </c>
      <c r="V104" s="2">
        <v>56.86</v>
      </c>
      <c r="W104" s="5">
        <f t="shared" si="39"/>
        <v>2.1807949349278932E-2</v>
      </c>
      <c r="X104" s="5">
        <f t="shared" si="40"/>
        <v>7.069996482588814E-2</v>
      </c>
      <c r="Y104" s="5">
        <f t="shared" si="41"/>
        <v>0.13260640168835738</v>
      </c>
      <c r="Z104" s="5">
        <f t="shared" si="42"/>
        <v>0.3471684839957791</v>
      </c>
      <c r="AA104" s="5">
        <f t="shared" si="43"/>
        <v>6.5951459725641925E-2</v>
      </c>
      <c r="AB104" s="5">
        <f t="shared" si="44"/>
        <v>6.2082307421737599E-2</v>
      </c>
      <c r="AC104" s="5">
        <f t="shared" si="45"/>
        <v>0.22722476257474325</v>
      </c>
      <c r="AD104" s="5">
        <f t="shared" si="46"/>
        <v>0</v>
      </c>
      <c r="AE104" s="5">
        <f t="shared" si="47"/>
        <v>0</v>
      </c>
      <c r="AF104" s="5">
        <f t="shared" si="48"/>
        <v>7.245867041857193E-2</v>
      </c>
      <c r="AG104" s="5">
        <f t="shared" si="49"/>
        <v>0</v>
      </c>
      <c r="AH104" s="5">
        <f t="shared" si="50"/>
        <v>0</v>
      </c>
      <c r="AI104" s="5">
        <f t="shared" si="51"/>
        <v>0</v>
      </c>
      <c r="AJ104" s="6">
        <f t="shared" si="36"/>
        <v>0.12803376714737952</v>
      </c>
      <c r="AK104" s="6">
        <f t="shared" si="37"/>
        <v>0.22722476257474325</v>
      </c>
      <c r="AL104" s="6">
        <f t="shared" si="38"/>
        <v>0.29968343299331518</v>
      </c>
    </row>
    <row r="105" spans="1:42" x14ac:dyDescent="0.25">
      <c r="A105">
        <v>2005</v>
      </c>
      <c r="B105">
        <v>0</v>
      </c>
      <c r="C105">
        <v>1.06</v>
      </c>
      <c r="D105">
        <v>4.46</v>
      </c>
      <c r="E105">
        <v>8.2099999999999902</v>
      </c>
      <c r="F105">
        <v>10.81</v>
      </c>
      <c r="G105" s="26">
        <v>14.819999999999901</v>
      </c>
      <c r="H105" s="26">
        <v>4.9400000000000004</v>
      </c>
      <c r="I105" s="26">
        <v>4.82</v>
      </c>
      <c r="J105" s="26">
        <v>0</v>
      </c>
      <c r="K105" s="26">
        <v>3.04</v>
      </c>
      <c r="L105" s="26">
        <v>0</v>
      </c>
      <c r="M105" s="26">
        <v>0</v>
      </c>
      <c r="N105" s="26">
        <v>0</v>
      </c>
      <c r="O105" s="26">
        <v>0</v>
      </c>
      <c r="P105">
        <f t="shared" si="33"/>
        <v>19.759999999999902</v>
      </c>
      <c r="Q105" s="26">
        <f t="shared" si="34"/>
        <v>7.86</v>
      </c>
      <c r="R105">
        <f t="shared" si="35"/>
        <v>7.86</v>
      </c>
      <c r="U105" s="3">
        <v>2005</v>
      </c>
      <c r="V105" s="4">
        <v>52.16</v>
      </c>
      <c r="W105" s="5">
        <f t="shared" si="39"/>
        <v>2.0322085889570553E-2</v>
      </c>
      <c r="X105" s="5">
        <f t="shared" si="40"/>
        <v>8.5506134969325159E-2</v>
      </c>
      <c r="Y105" s="5">
        <f t="shared" si="41"/>
        <v>0.15740030674846608</v>
      </c>
      <c r="Z105" s="5">
        <f t="shared" si="42"/>
        <v>0.20724693251533743</v>
      </c>
      <c r="AA105" s="5">
        <f t="shared" si="43"/>
        <v>0.28412576687116375</v>
      </c>
      <c r="AB105" s="5">
        <f t="shared" si="44"/>
        <v>9.4708588957055223E-2</v>
      </c>
      <c r="AC105" s="5">
        <f t="shared" si="45"/>
        <v>9.2407975460122707E-2</v>
      </c>
      <c r="AD105" s="5">
        <f t="shared" si="46"/>
        <v>0</v>
      </c>
      <c r="AE105" s="5">
        <f t="shared" si="47"/>
        <v>5.8282208588957059E-2</v>
      </c>
      <c r="AF105" s="5">
        <f t="shared" si="48"/>
        <v>0</v>
      </c>
      <c r="AG105" s="5">
        <f t="shared" si="49"/>
        <v>0</v>
      </c>
      <c r="AH105" s="5">
        <f t="shared" si="50"/>
        <v>0</v>
      </c>
      <c r="AI105" s="5">
        <f t="shared" si="51"/>
        <v>0</v>
      </c>
      <c r="AJ105" s="6">
        <f t="shared" si="36"/>
        <v>0.378834355828219</v>
      </c>
      <c r="AK105" s="6">
        <f t="shared" si="37"/>
        <v>0.15069018404907977</v>
      </c>
      <c r="AL105" s="6">
        <f t="shared" si="38"/>
        <v>0.15069018404907977</v>
      </c>
    </row>
    <row r="106" spans="1:42" x14ac:dyDescent="0.25">
      <c r="A106">
        <v>2006</v>
      </c>
      <c r="B106">
        <v>0</v>
      </c>
      <c r="C106">
        <v>0.80999999999999905</v>
      </c>
      <c r="D106">
        <v>2.48</v>
      </c>
      <c r="E106">
        <v>5.39</v>
      </c>
      <c r="F106">
        <v>17.09</v>
      </c>
      <c r="G106" s="26">
        <v>9.76</v>
      </c>
      <c r="H106" s="26">
        <v>6.5</v>
      </c>
      <c r="I106" s="26">
        <v>4.62</v>
      </c>
      <c r="J106" s="26">
        <v>8.33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>
        <f t="shared" si="33"/>
        <v>16.259999999999998</v>
      </c>
      <c r="Q106" s="26">
        <f t="shared" si="34"/>
        <v>12.95</v>
      </c>
      <c r="R106">
        <f t="shared" si="35"/>
        <v>12.95</v>
      </c>
      <c r="U106" s="1">
        <v>2006</v>
      </c>
      <c r="V106" s="2">
        <v>54.98</v>
      </c>
      <c r="W106" s="5">
        <f t="shared" si="39"/>
        <v>1.4732630047289906E-2</v>
      </c>
      <c r="X106" s="5">
        <f t="shared" si="40"/>
        <v>4.5107311749727173E-2</v>
      </c>
      <c r="Y106" s="5">
        <f t="shared" si="41"/>
        <v>9.8035649327028004E-2</v>
      </c>
      <c r="Z106" s="5">
        <f t="shared" si="42"/>
        <v>0.31084030556566028</v>
      </c>
      <c r="AA106" s="5">
        <f t="shared" si="43"/>
        <v>0.17751909785376502</v>
      </c>
      <c r="AB106" s="5">
        <f t="shared" si="44"/>
        <v>0.11822480902146236</v>
      </c>
      <c r="AC106" s="5">
        <f t="shared" si="45"/>
        <v>8.4030556566024012E-2</v>
      </c>
      <c r="AD106" s="5">
        <f t="shared" si="46"/>
        <v>0.15150963986904331</v>
      </c>
      <c r="AE106" s="5">
        <f t="shared" si="47"/>
        <v>0</v>
      </c>
      <c r="AF106" s="5">
        <f t="shared" si="48"/>
        <v>0</v>
      </c>
      <c r="AG106" s="5">
        <f t="shared" si="49"/>
        <v>0</v>
      </c>
      <c r="AH106" s="5">
        <f t="shared" si="50"/>
        <v>0</v>
      </c>
      <c r="AI106" s="5">
        <f t="shared" si="51"/>
        <v>0</v>
      </c>
      <c r="AJ106" s="6">
        <f t="shared" si="36"/>
        <v>0.29574390687522739</v>
      </c>
      <c r="AK106" s="6">
        <f t="shared" si="37"/>
        <v>0.23554019643506732</v>
      </c>
      <c r="AL106" s="6">
        <f t="shared" si="38"/>
        <v>0.23554019643506732</v>
      </c>
    </row>
    <row r="107" spans="1:42" x14ac:dyDescent="0.25">
      <c r="A107">
        <v>2007</v>
      </c>
      <c r="B107">
        <v>0</v>
      </c>
      <c r="C107">
        <v>1.18</v>
      </c>
      <c r="D107">
        <v>4.12</v>
      </c>
      <c r="E107">
        <v>5.4899999999999904</v>
      </c>
      <c r="F107">
        <v>10.01</v>
      </c>
      <c r="G107" s="26">
        <v>10.27</v>
      </c>
      <c r="H107" s="26">
        <v>6.54</v>
      </c>
      <c r="I107" s="26">
        <v>0</v>
      </c>
      <c r="J107" s="26">
        <v>0</v>
      </c>
      <c r="K107" s="26">
        <v>6.06</v>
      </c>
      <c r="L107" s="26">
        <v>0</v>
      </c>
      <c r="M107" s="26">
        <v>0</v>
      </c>
      <c r="N107" s="26">
        <v>0</v>
      </c>
      <c r="O107" s="26">
        <v>0</v>
      </c>
      <c r="P107">
        <f t="shared" si="33"/>
        <v>16.809999999999999</v>
      </c>
      <c r="Q107" s="26">
        <f t="shared" si="34"/>
        <v>6.06</v>
      </c>
      <c r="R107">
        <f t="shared" si="35"/>
        <v>6.06</v>
      </c>
      <c r="U107" s="3">
        <v>2007</v>
      </c>
      <c r="V107" s="4">
        <v>43.67</v>
      </c>
      <c r="W107" s="5">
        <f t="shared" si="39"/>
        <v>2.7020838103961529E-2</v>
      </c>
      <c r="X107" s="5">
        <f t="shared" si="40"/>
        <v>9.4343943210441955E-2</v>
      </c>
      <c r="Y107" s="5">
        <f t="shared" si="41"/>
        <v>0.12571559422944792</v>
      </c>
      <c r="Z107" s="5">
        <f t="shared" si="42"/>
        <v>0.22921914357682618</v>
      </c>
      <c r="AA107" s="5">
        <f t="shared" si="43"/>
        <v>0.23517288756583465</v>
      </c>
      <c r="AB107" s="5">
        <f t="shared" si="44"/>
        <v>0.14975956033890542</v>
      </c>
      <c r="AC107" s="5">
        <f t="shared" si="45"/>
        <v>0</v>
      </c>
      <c r="AD107" s="5">
        <f t="shared" si="46"/>
        <v>0</v>
      </c>
      <c r="AE107" s="5">
        <f t="shared" si="47"/>
        <v>0.13876803297458207</v>
      </c>
      <c r="AF107" s="5">
        <f t="shared" si="48"/>
        <v>0</v>
      </c>
      <c r="AG107" s="5">
        <f t="shared" si="49"/>
        <v>0</v>
      </c>
      <c r="AH107" s="5">
        <f t="shared" si="50"/>
        <v>0</v>
      </c>
      <c r="AI107" s="5">
        <f t="shared" si="51"/>
        <v>0</v>
      </c>
      <c r="AJ107" s="6">
        <f t="shared" si="36"/>
        <v>0.38493244790474007</v>
      </c>
      <c r="AK107" s="6">
        <f t="shared" si="37"/>
        <v>0.13876803297458207</v>
      </c>
      <c r="AL107" s="6">
        <f t="shared" si="38"/>
        <v>0.13876803297458207</v>
      </c>
    </row>
    <row r="108" spans="1:42" ht="18.75" x14ac:dyDescent="0.3">
      <c r="A108">
        <v>2008</v>
      </c>
      <c r="B108">
        <v>0</v>
      </c>
      <c r="C108">
        <v>1.1100000000000001</v>
      </c>
      <c r="D108">
        <v>3.4299999999999899</v>
      </c>
      <c r="E108">
        <v>8.01</v>
      </c>
      <c r="F108">
        <v>15.61</v>
      </c>
      <c r="G108" s="26">
        <v>8.4499999999999993</v>
      </c>
      <c r="H108" s="26">
        <v>8.39</v>
      </c>
      <c r="I108" s="26">
        <v>2.15</v>
      </c>
      <c r="J108" s="26">
        <v>2.54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>
        <f t="shared" si="33"/>
        <v>16.84</v>
      </c>
      <c r="Q108" s="26">
        <f t="shared" si="34"/>
        <v>4.6899999999999995</v>
      </c>
      <c r="R108">
        <f t="shared" si="35"/>
        <v>4.6899999999999995</v>
      </c>
      <c r="U108" s="1">
        <v>2008</v>
      </c>
      <c r="V108" s="2">
        <v>47.94</v>
      </c>
      <c r="W108" s="5">
        <f t="shared" si="39"/>
        <v>2.3153942428035049E-2</v>
      </c>
      <c r="X108" s="5">
        <f t="shared" si="40"/>
        <v>7.1547768043387361E-2</v>
      </c>
      <c r="Y108" s="5">
        <f t="shared" si="41"/>
        <v>0.16708385481852317</v>
      </c>
      <c r="Z108" s="5">
        <f t="shared" si="42"/>
        <v>0.32561535252398832</v>
      </c>
      <c r="AA108" s="5">
        <f t="shared" si="43"/>
        <v>0.17626199415936586</v>
      </c>
      <c r="AB108" s="5">
        <f t="shared" si="44"/>
        <v>0.17501042970379643</v>
      </c>
      <c r="AC108" s="5">
        <f t="shared" si="45"/>
        <v>4.484772632457238E-2</v>
      </c>
      <c r="AD108" s="5">
        <f t="shared" si="46"/>
        <v>5.2982895285773886E-2</v>
      </c>
      <c r="AE108" s="5">
        <f t="shared" si="47"/>
        <v>0</v>
      </c>
      <c r="AF108" s="5">
        <f t="shared" si="48"/>
        <v>0</v>
      </c>
      <c r="AG108" s="5">
        <f t="shared" si="49"/>
        <v>0</v>
      </c>
      <c r="AH108" s="5">
        <f t="shared" si="50"/>
        <v>0</v>
      </c>
      <c r="AI108" s="5">
        <f t="shared" si="51"/>
        <v>0</v>
      </c>
      <c r="AJ108" s="6">
        <f t="shared" si="36"/>
        <v>0.35127242386316226</v>
      </c>
      <c r="AK108" s="6">
        <f t="shared" si="37"/>
        <v>9.7830621610346266E-2</v>
      </c>
      <c r="AL108" s="6">
        <f t="shared" si="38"/>
        <v>9.7830621610346266E-2</v>
      </c>
      <c r="AO108" s="7" t="s">
        <v>15</v>
      </c>
      <c r="AP108" s="7"/>
    </row>
    <row r="109" spans="1:42" ht="18.75" x14ac:dyDescent="0.3">
      <c r="A109">
        <v>2009</v>
      </c>
      <c r="B109">
        <v>0</v>
      </c>
      <c r="C109">
        <v>0.91</v>
      </c>
      <c r="D109">
        <v>3.97</v>
      </c>
      <c r="E109">
        <v>8.02</v>
      </c>
      <c r="F109">
        <v>20.169999999999899</v>
      </c>
      <c r="G109" s="26">
        <v>8.8699999999999992</v>
      </c>
      <c r="H109" s="26">
        <v>3.4</v>
      </c>
      <c r="I109" s="26">
        <v>6.45</v>
      </c>
      <c r="J109" s="26">
        <v>5.0999999999999996</v>
      </c>
      <c r="K109" s="26">
        <v>0</v>
      </c>
      <c r="L109" s="26">
        <v>0</v>
      </c>
      <c r="M109" s="26">
        <v>0</v>
      </c>
      <c r="N109" s="26">
        <v>0</v>
      </c>
      <c r="O109" s="26">
        <v>0</v>
      </c>
      <c r="P109">
        <f t="shared" si="33"/>
        <v>12.27</v>
      </c>
      <c r="Q109" s="26">
        <f t="shared" si="34"/>
        <v>11.55</v>
      </c>
      <c r="R109">
        <f t="shared" si="35"/>
        <v>11.55</v>
      </c>
      <c r="U109" s="3">
        <v>2009</v>
      </c>
      <c r="V109" s="4">
        <v>56.89</v>
      </c>
      <c r="W109" s="5">
        <f t="shared" si="39"/>
        <v>1.5995781332395851E-2</v>
      </c>
      <c r="X109" s="5">
        <f t="shared" si="40"/>
        <v>6.9783793285287402E-2</v>
      </c>
      <c r="Y109" s="5">
        <f t="shared" si="41"/>
        <v>0.14097380910529089</v>
      </c>
      <c r="Z109" s="5">
        <f t="shared" si="42"/>
        <v>0.35454385656529969</v>
      </c>
      <c r="AA109" s="5">
        <f t="shared" si="43"/>
        <v>0.15591492353664965</v>
      </c>
      <c r="AB109" s="5">
        <f t="shared" si="44"/>
        <v>5.9764457725435045E-2</v>
      </c>
      <c r="AC109" s="5">
        <f t="shared" si="45"/>
        <v>0.11337669186148708</v>
      </c>
      <c r="AD109" s="5">
        <f t="shared" si="46"/>
        <v>8.9646686588152572E-2</v>
      </c>
      <c r="AE109" s="5">
        <f t="shared" si="47"/>
        <v>0</v>
      </c>
      <c r="AF109" s="5">
        <f t="shared" si="48"/>
        <v>0</v>
      </c>
      <c r="AG109" s="5">
        <f t="shared" si="49"/>
        <v>0</v>
      </c>
      <c r="AH109" s="5">
        <f t="shared" si="50"/>
        <v>0</v>
      </c>
      <c r="AI109" s="5">
        <f t="shared" si="51"/>
        <v>0</v>
      </c>
      <c r="AJ109" s="6">
        <f t="shared" si="36"/>
        <v>0.21567938126208469</v>
      </c>
      <c r="AK109" s="6">
        <f t="shared" si="37"/>
        <v>0.20302337844963964</v>
      </c>
      <c r="AL109" s="6">
        <f t="shared" si="38"/>
        <v>0.20302337844963964</v>
      </c>
      <c r="AO109" s="7" t="s">
        <v>16</v>
      </c>
      <c r="AP109" s="7" t="s">
        <v>17</v>
      </c>
    </row>
    <row r="110" spans="1:42" ht="18.75" x14ac:dyDescent="0.3">
      <c r="A110">
        <v>2010</v>
      </c>
      <c r="B110">
        <v>0</v>
      </c>
      <c r="C110">
        <v>1.1599999999999999</v>
      </c>
      <c r="D110">
        <v>2.69</v>
      </c>
      <c r="E110">
        <v>7.81</v>
      </c>
      <c r="F110">
        <v>12.45</v>
      </c>
      <c r="G110" s="26">
        <v>9.8099999999999898</v>
      </c>
      <c r="H110" s="26">
        <v>3.66</v>
      </c>
      <c r="I110" s="26">
        <v>2.02</v>
      </c>
      <c r="J110" s="26">
        <v>2.87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>
        <f t="shared" si="33"/>
        <v>13.46999999999999</v>
      </c>
      <c r="Q110" s="26">
        <f t="shared" si="34"/>
        <v>4.8900000000000006</v>
      </c>
      <c r="R110">
        <f t="shared" si="35"/>
        <v>4.8900000000000006</v>
      </c>
      <c r="U110" s="1">
        <v>2010</v>
      </c>
      <c r="V110" s="2">
        <v>42.47</v>
      </c>
      <c r="W110" s="5">
        <f t="shared" si="39"/>
        <v>2.7313397692488816E-2</v>
      </c>
      <c r="X110" s="5">
        <f t="shared" si="40"/>
        <v>6.333882740758183E-2</v>
      </c>
      <c r="Y110" s="5">
        <f t="shared" si="41"/>
        <v>0.183894513774429</v>
      </c>
      <c r="Z110" s="5">
        <f t="shared" si="42"/>
        <v>0.29314810454438428</v>
      </c>
      <c r="AA110" s="5">
        <f t="shared" si="43"/>
        <v>0.23098657876147846</v>
      </c>
      <c r="AB110" s="5">
        <f t="shared" si="44"/>
        <v>8.6178478926300928E-2</v>
      </c>
      <c r="AC110" s="5">
        <f t="shared" si="45"/>
        <v>4.7562985636920178E-2</v>
      </c>
      <c r="AD110" s="5">
        <f t="shared" si="46"/>
        <v>6.7577113256416299E-2</v>
      </c>
      <c r="AE110" s="5">
        <f t="shared" si="47"/>
        <v>0</v>
      </c>
      <c r="AF110" s="5">
        <f t="shared" si="48"/>
        <v>0</v>
      </c>
      <c r="AG110" s="5">
        <f t="shared" si="49"/>
        <v>0</v>
      </c>
      <c r="AH110" s="5">
        <f t="shared" si="50"/>
        <v>0</v>
      </c>
      <c r="AI110" s="5">
        <f t="shared" si="51"/>
        <v>0</v>
      </c>
      <c r="AJ110" s="6">
        <f t="shared" si="36"/>
        <v>0.31716505768777936</v>
      </c>
      <c r="AK110" s="6">
        <f t="shared" si="37"/>
        <v>0.11514009889333648</v>
      </c>
      <c r="AL110" s="6">
        <f t="shared" si="38"/>
        <v>0.11514009889333648</v>
      </c>
      <c r="AO110" s="7" t="s">
        <v>0</v>
      </c>
      <c r="AP110" s="7" t="s">
        <v>18</v>
      </c>
    </row>
    <row r="111" spans="1:42" ht="18.75" x14ac:dyDescent="0.3">
      <c r="A111">
        <v>2011</v>
      </c>
      <c r="B111">
        <v>0</v>
      </c>
      <c r="C111">
        <v>0.93</v>
      </c>
      <c r="D111">
        <v>3.62</v>
      </c>
      <c r="E111">
        <v>10.58</v>
      </c>
      <c r="F111">
        <v>12.9</v>
      </c>
      <c r="G111" s="26">
        <v>13.56</v>
      </c>
      <c r="H111" s="26">
        <v>4.9800000000000004</v>
      </c>
      <c r="I111" s="26">
        <v>2.2799999999999998</v>
      </c>
      <c r="J111" s="26">
        <v>2.61</v>
      </c>
      <c r="K111" s="26">
        <v>0</v>
      </c>
      <c r="L111" s="26">
        <v>0</v>
      </c>
      <c r="M111" s="26">
        <v>11.1299999999999</v>
      </c>
      <c r="N111" s="26">
        <v>0</v>
      </c>
      <c r="O111" s="26">
        <v>0</v>
      </c>
      <c r="P111">
        <f t="shared" si="33"/>
        <v>18.54</v>
      </c>
      <c r="Q111" s="26">
        <f t="shared" si="34"/>
        <v>4.8899999999999997</v>
      </c>
      <c r="R111">
        <f t="shared" si="35"/>
        <v>16.0199999999999</v>
      </c>
      <c r="U111" s="3">
        <v>2011</v>
      </c>
      <c r="V111" s="4">
        <v>62.6</v>
      </c>
      <c r="W111" s="5">
        <f t="shared" si="39"/>
        <v>1.4856230031948883E-2</v>
      </c>
      <c r="X111" s="5">
        <f t="shared" si="40"/>
        <v>5.7827476038338661E-2</v>
      </c>
      <c r="Y111" s="5">
        <f t="shared" si="41"/>
        <v>0.16900958466453675</v>
      </c>
      <c r="Z111" s="5">
        <f t="shared" si="42"/>
        <v>0.20607028753993611</v>
      </c>
      <c r="AA111" s="5">
        <f t="shared" si="43"/>
        <v>0.21661341853035143</v>
      </c>
      <c r="AB111" s="5">
        <f t="shared" si="44"/>
        <v>7.9552715654952075E-2</v>
      </c>
      <c r="AC111" s="5">
        <f t="shared" si="45"/>
        <v>3.6421725239616606E-2</v>
      </c>
      <c r="AD111" s="5">
        <f t="shared" si="46"/>
        <v>4.1693290734824279E-2</v>
      </c>
      <c r="AE111" s="5">
        <f t="shared" si="47"/>
        <v>0</v>
      </c>
      <c r="AF111" s="5">
        <f t="shared" si="48"/>
        <v>0</v>
      </c>
      <c r="AG111" s="5">
        <f t="shared" si="49"/>
        <v>0.17779552715654792</v>
      </c>
      <c r="AH111" s="5">
        <f t="shared" si="50"/>
        <v>0</v>
      </c>
      <c r="AI111" s="5">
        <f t="shared" si="51"/>
        <v>0</v>
      </c>
      <c r="AJ111" s="6">
        <f t="shared" si="36"/>
        <v>0.29616613418530352</v>
      </c>
      <c r="AK111" s="6">
        <f t="shared" si="37"/>
        <v>7.8115015974440885E-2</v>
      </c>
      <c r="AL111" s="6">
        <f t="shared" si="38"/>
        <v>0.25591054313098882</v>
      </c>
      <c r="AO111" s="7" t="s">
        <v>1</v>
      </c>
      <c r="AP111" s="7" t="s">
        <v>19</v>
      </c>
    </row>
    <row r="112" spans="1:42" ht="18.75" x14ac:dyDescent="0.3">
      <c r="A112">
        <v>2012</v>
      </c>
      <c r="B112">
        <v>0</v>
      </c>
      <c r="C112">
        <v>0.8</v>
      </c>
      <c r="D112">
        <v>4.54</v>
      </c>
      <c r="E112">
        <v>7.9399999999999897</v>
      </c>
      <c r="F112">
        <v>10.8</v>
      </c>
      <c r="G112" s="26">
        <v>8.69</v>
      </c>
      <c r="H112" s="26">
        <v>5.21</v>
      </c>
      <c r="I112" s="26">
        <v>0</v>
      </c>
      <c r="J112" s="26">
        <v>0</v>
      </c>
      <c r="K112" s="26">
        <v>3.08</v>
      </c>
      <c r="L112" s="26">
        <v>0</v>
      </c>
      <c r="M112" s="26">
        <v>5.92</v>
      </c>
      <c r="N112" s="26">
        <v>0</v>
      </c>
      <c r="O112" s="26">
        <v>0</v>
      </c>
      <c r="P112">
        <f t="shared" si="33"/>
        <v>13.899999999999999</v>
      </c>
      <c r="Q112" s="26">
        <f t="shared" si="34"/>
        <v>3.08</v>
      </c>
      <c r="R112">
        <f t="shared" si="35"/>
        <v>9</v>
      </c>
      <c r="U112" s="1">
        <v>2012</v>
      </c>
      <c r="V112" s="2">
        <v>46.98</v>
      </c>
      <c r="W112" s="5">
        <f t="shared" si="39"/>
        <v>1.7028522775649216E-2</v>
      </c>
      <c r="X112" s="5">
        <f t="shared" si="40"/>
        <v>9.6636866751809283E-2</v>
      </c>
      <c r="Y112" s="5">
        <f t="shared" si="41"/>
        <v>0.16900808854831822</v>
      </c>
      <c r="Z112" s="5">
        <f t="shared" si="42"/>
        <v>0.22988505747126439</v>
      </c>
      <c r="AA112" s="5">
        <f t="shared" si="43"/>
        <v>0.18497232865048957</v>
      </c>
      <c r="AB112" s="5">
        <f t="shared" si="44"/>
        <v>0.1108982545764155</v>
      </c>
      <c r="AC112" s="5">
        <f t="shared" si="45"/>
        <v>0</v>
      </c>
      <c r="AD112" s="5">
        <f t="shared" si="46"/>
        <v>0</v>
      </c>
      <c r="AE112" s="5">
        <f t="shared" si="47"/>
        <v>6.5559812686249469E-2</v>
      </c>
      <c r="AF112" s="5">
        <f t="shared" si="48"/>
        <v>0</v>
      </c>
      <c r="AG112" s="5">
        <f t="shared" si="49"/>
        <v>0.12601106853980418</v>
      </c>
      <c r="AH112" s="5">
        <f t="shared" si="50"/>
        <v>0</v>
      </c>
      <c r="AI112" s="5">
        <f t="shared" si="51"/>
        <v>0</v>
      </c>
      <c r="AJ112" s="6">
        <f t="shared" si="36"/>
        <v>0.29587058322690507</v>
      </c>
      <c r="AK112" s="6">
        <f t="shared" si="37"/>
        <v>6.5559812686249469E-2</v>
      </c>
      <c r="AL112" s="6">
        <f t="shared" si="38"/>
        <v>0.19157088122605365</v>
      </c>
      <c r="AO112" s="7" t="s">
        <v>2</v>
      </c>
      <c r="AP112" s="7" t="s">
        <v>20</v>
      </c>
    </row>
    <row r="113" spans="1:42" ht="18.75" x14ac:dyDescent="0.3">
      <c r="A113">
        <v>2013</v>
      </c>
      <c r="B113">
        <v>0</v>
      </c>
      <c r="C113">
        <v>0.89</v>
      </c>
      <c r="D113">
        <v>3.08</v>
      </c>
      <c r="E113">
        <v>9.7899999999999903</v>
      </c>
      <c r="F113">
        <v>19.649999999999999</v>
      </c>
      <c r="G113" s="26">
        <v>6.4</v>
      </c>
      <c r="H113" s="26">
        <v>5.24</v>
      </c>
      <c r="I113" s="26">
        <v>2.02</v>
      </c>
      <c r="J113" s="26">
        <v>2.62</v>
      </c>
      <c r="K113" s="26">
        <v>3.64</v>
      </c>
      <c r="L113" s="26">
        <v>0</v>
      </c>
      <c r="M113" s="26">
        <v>0</v>
      </c>
      <c r="N113" s="26">
        <v>0</v>
      </c>
      <c r="O113" s="26">
        <v>0</v>
      </c>
      <c r="P113">
        <f t="shared" si="33"/>
        <v>11.64</v>
      </c>
      <c r="Q113" s="26">
        <f t="shared" si="34"/>
        <v>8.2800000000000011</v>
      </c>
      <c r="R113">
        <f t="shared" si="35"/>
        <v>8.2800000000000011</v>
      </c>
      <c r="U113" s="3">
        <v>2013</v>
      </c>
      <c r="V113" s="4">
        <v>53.33</v>
      </c>
      <c r="W113" s="5">
        <f t="shared" si="39"/>
        <v>1.6688543033939622E-2</v>
      </c>
      <c r="X113" s="5">
        <f t="shared" si="40"/>
        <v>5.7753609600600039E-2</v>
      </c>
      <c r="Y113" s="5">
        <f t="shared" si="41"/>
        <v>0.18357397337333567</v>
      </c>
      <c r="Z113" s="5">
        <f t="shared" si="42"/>
        <v>0.36846052878304891</v>
      </c>
      <c r="AA113" s="5">
        <f t="shared" si="43"/>
        <v>0.12000750046877931</v>
      </c>
      <c r="AB113" s="5">
        <f t="shared" si="44"/>
        <v>9.8256141008813053E-2</v>
      </c>
      <c r="AC113" s="5">
        <f t="shared" si="45"/>
        <v>3.7877367335458469E-2</v>
      </c>
      <c r="AD113" s="5">
        <f t="shared" si="46"/>
        <v>4.9128070504406526E-2</v>
      </c>
      <c r="AE113" s="5">
        <f t="shared" si="47"/>
        <v>6.8254265891618232E-2</v>
      </c>
      <c r="AF113" s="5">
        <f t="shared" si="48"/>
        <v>0</v>
      </c>
      <c r="AG113" s="5">
        <f t="shared" si="49"/>
        <v>0</v>
      </c>
      <c r="AH113" s="5">
        <f t="shared" si="50"/>
        <v>0</v>
      </c>
      <c r="AI113" s="5">
        <f t="shared" si="51"/>
        <v>0</v>
      </c>
      <c r="AJ113" s="6">
        <f t="shared" si="36"/>
        <v>0.21826364147759236</v>
      </c>
      <c r="AK113" s="6">
        <f t="shared" si="37"/>
        <v>0.15525970373148323</v>
      </c>
      <c r="AL113" s="6">
        <f t="shared" si="38"/>
        <v>0.15525970373148323</v>
      </c>
      <c r="AO113" s="7" t="s">
        <v>3</v>
      </c>
      <c r="AP113" s="7" t="s">
        <v>21</v>
      </c>
    </row>
    <row r="114" spans="1:42" ht="18.75" x14ac:dyDescent="0.3">
      <c r="A114">
        <v>2014</v>
      </c>
      <c r="B114">
        <v>0</v>
      </c>
      <c r="C114">
        <v>0.83</v>
      </c>
      <c r="D114">
        <v>5.03</v>
      </c>
      <c r="E114">
        <v>6.4099999999999904</v>
      </c>
      <c r="F114">
        <v>13.9299999999999</v>
      </c>
      <c r="G114" s="26">
        <v>9.09</v>
      </c>
      <c r="H114" s="26">
        <v>6.59</v>
      </c>
      <c r="I114" s="26">
        <v>12.97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>
        <f t="shared" si="33"/>
        <v>15.68</v>
      </c>
      <c r="Q114" s="26">
        <f t="shared" si="34"/>
        <v>12.97</v>
      </c>
      <c r="R114">
        <f t="shared" si="35"/>
        <v>12.97</v>
      </c>
      <c r="U114" s="1">
        <v>2014</v>
      </c>
      <c r="V114" s="2">
        <v>54.87</v>
      </c>
      <c r="W114" s="5">
        <f t="shared" si="39"/>
        <v>1.5126663021687626E-2</v>
      </c>
      <c r="X114" s="5">
        <f t="shared" si="40"/>
        <v>9.167122289046839E-2</v>
      </c>
      <c r="Y114" s="5">
        <f t="shared" si="41"/>
        <v>0.11682157827592474</v>
      </c>
      <c r="Z114" s="5">
        <f t="shared" si="42"/>
        <v>0.25387279023145437</v>
      </c>
      <c r="AA114" s="5">
        <f t="shared" si="43"/>
        <v>0.16566429743028979</v>
      </c>
      <c r="AB114" s="5">
        <f t="shared" si="44"/>
        <v>0.12010205941315838</v>
      </c>
      <c r="AC114" s="5">
        <f t="shared" si="45"/>
        <v>0.23637689083287775</v>
      </c>
      <c r="AD114" s="5">
        <f t="shared" si="46"/>
        <v>0</v>
      </c>
      <c r="AE114" s="5">
        <f t="shared" si="47"/>
        <v>0</v>
      </c>
      <c r="AF114" s="5">
        <f t="shared" si="48"/>
        <v>0</v>
      </c>
      <c r="AG114" s="5">
        <f t="shared" si="49"/>
        <v>0</v>
      </c>
      <c r="AH114" s="5">
        <f t="shared" si="50"/>
        <v>0</v>
      </c>
      <c r="AI114" s="5">
        <f t="shared" si="51"/>
        <v>0</v>
      </c>
      <c r="AJ114" s="6">
        <f t="shared" si="36"/>
        <v>0.2857663568434482</v>
      </c>
      <c r="AK114" s="6">
        <f t="shared" si="37"/>
        <v>0.23637689083287775</v>
      </c>
      <c r="AL114" s="6">
        <f t="shared" si="38"/>
        <v>0.23637689083287775</v>
      </c>
      <c r="AO114" s="7" t="s">
        <v>4</v>
      </c>
      <c r="AP114" s="7" t="s">
        <v>22</v>
      </c>
    </row>
    <row r="115" spans="1:42" ht="18.75" x14ac:dyDescent="0.3">
      <c r="A115">
        <v>2015</v>
      </c>
      <c r="B115">
        <v>0</v>
      </c>
      <c r="C115">
        <v>1.24</v>
      </c>
      <c r="D115">
        <v>4.76</v>
      </c>
      <c r="E115">
        <v>6.21</v>
      </c>
      <c r="F115">
        <v>10.89</v>
      </c>
      <c r="G115" s="26">
        <v>12.78</v>
      </c>
      <c r="H115" s="26">
        <v>5.45</v>
      </c>
      <c r="I115" s="26">
        <v>0</v>
      </c>
      <c r="J115" s="26">
        <v>2.54</v>
      </c>
      <c r="K115" s="26">
        <v>0</v>
      </c>
      <c r="L115" s="26">
        <v>0</v>
      </c>
      <c r="M115" s="26">
        <v>0</v>
      </c>
      <c r="N115" s="26">
        <v>0</v>
      </c>
      <c r="O115" s="26">
        <v>0</v>
      </c>
      <c r="P115">
        <f t="shared" si="33"/>
        <v>18.23</v>
      </c>
      <c r="Q115" s="26">
        <f t="shared" si="34"/>
        <v>2.54</v>
      </c>
      <c r="R115">
        <f t="shared" si="35"/>
        <v>2.54</v>
      </c>
      <c r="U115" s="3">
        <v>2015</v>
      </c>
      <c r="V115" s="4">
        <v>43.87</v>
      </c>
      <c r="W115" s="5">
        <f t="shared" si="39"/>
        <v>2.8265329382265787E-2</v>
      </c>
      <c r="X115" s="5">
        <f t="shared" si="40"/>
        <v>0.10850239343514931</v>
      </c>
      <c r="Y115" s="5">
        <f t="shared" si="41"/>
        <v>0.14155459311602461</v>
      </c>
      <c r="Z115" s="5">
        <f t="shared" si="42"/>
        <v>0.24823341691360842</v>
      </c>
      <c r="AA115" s="5">
        <f t="shared" si="43"/>
        <v>0.29131524960109412</v>
      </c>
      <c r="AB115" s="5">
        <f t="shared" si="44"/>
        <v>0.12423068155915205</v>
      </c>
      <c r="AC115" s="5">
        <f t="shared" si="45"/>
        <v>0</v>
      </c>
      <c r="AD115" s="5">
        <f t="shared" si="46"/>
        <v>5.7898335992705725E-2</v>
      </c>
      <c r="AE115" s="5">
        <f t="shared" si="47"/>
        <v>0</v>
      </c>
      <c r="AF115" s="5">
        <f t="shared" si="48"/>
        <v>0</v>
      </c>
      <c r="AG115" s="5">
        <f t="shared" si="49"/>
        <v>0</v>
      </c>
      <c r="AH115" s="5">
        <f t="shared" si="50"/>
        <v>0</v>
      </c>
      <c r="AI115" s="5">
        <f t="shared" si="51"/>
        <v>0</v>
      </c>
      <c r="AJ115" s="6">
        <f t="shared" si="36"/>
        <v>0.41554593116024618</v>
      </c>
      <c r="AK115" s="6">
        <f t="shared" si="37"/>
        <v>5.7898335992705725E-2</v>
      </c>
      <c r="AL115" s="6">
        <f t="shared" si="38"/>
        <v>5.7898335992705725E-2</v>
      </c>
      <c r="AO115" s="7" t="s">
        <v>23</v>
      </c>
      <c r="AP115" s="7" t="s">
        <v>37</v>
      </c>
    </row>
    <row r="116" spans="1:42" ht="18.75" x14ac:dyDescent="0.3">
      <c r="A116">
        <v>2016</v>
      </c>
      <c r="B116">
        <v>0</v>
      </c>
      <c r="C116">
        <v>0.51999999999999902</v>
      </c>
      <c r="D116">
        <v>5.47</v>
      </c>
      <c r="E116">
        <v>5.81</v>
      </c>
      <c r="F116">
        <v>13.9299999999999</v>
      </c>
      <c r="G116" s="26">
        <v>11.49</v>
      </c>
      <c r="H116" s="26">
        <v>3.37</v>
      </c>
      <c r="I116" s="26">
        <v>0</v>
      </c>
      <c r="J116" s="26">
        <v>2.57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>
        <f t="shared" si="33"/>
        <v>14.86</v>
      </c>
      <c r="Q116" s="26">
        <f t="shared" si="34"/>
        <v>2.57</v>
      </c>
      <c r="R116">
        <f t="shared" si="35"/>
        <v>2.57</v>
      </c>
      <c r="U116" s="1">
        <v>2016</v>
      </c>
      <c r="V116" s="2">
        <v>43.16</v>
      </c>
      <c r="W116" s="5">
        <f t="shared" si="39"/>
        <v>1.2048192771084315E-2</v>
      </c>
      <c r="X116" s="5">
        <f t="shared" si="40"/>
        <v>0.12673772011121409</v>
      </c>
      <c r="Y116" s="5">
        <f t="shared" si="41"/>
        <v>0.13461538461538461</v>
      </c>
      <c r="Z116" s="5">
        <f t="shared" si="42"/>
        <v>0.32275254865616082</v>
      </c>
      <c r="AA116" s="5">
        <f t="shared" si="43"/>
        <v>0.26621872103799815</v>
      </c>
      <c r="AB116" s="5">
        <f t="shared" si="44"/>
        <v>7.808155699721965E-2</v>
      </c>
      <c r="AC116" s="5">
        <f t="shared" si="45"/>
        <v>0</v>
      </c>
      <c r="AD116" s="5">
        <f t="shared" si="46"/>
        <v>5.9545875810936053E-2</v>
      </c>
      <c r="AE116" s="5">
        <f t="shared" si="47"/>
        <v>0</v>
      </c>
      <c r="AF116" s="5">
        <f t="shared" si="48"/>
        <v>0</v>
      </c>
      <c r="AG116" s="5">
        <f t="shared" si="49"/>
        <v>0</v>
      </c>
      <c r="AH116" s="5">
        <f t="shared" si="50"/>
        <v>0</v>
      </c>
      <c r="AI116" s="5">
        <f t="shared" si="51"/>
        <v>0</v>
      </c>
      <c r="AJ116" s="6">
        <f t="shared" si="36"/>
        <v>0.34430027803521779</v>
      </c>
      <c r="AK116" s="6">
        <f t="shared" si="37"/>
        <v>5.9545875810936053E-2</v>
      </c>
      <c r="AL116" s="6">
        <f t="shared" si="38"/>
        <v>5.9545875810936053E-2</v>
      </c>
      <c r="AO116" s="7" t="s">
        <v>25</v>
      </c>
      <c r="AP116" s="7" t="s">
        <v>38</v>
      </c>
    </row>
    <row r="117" spans="1:42" x14ac:dyDescent="0.25">
      <c r="A117">
        <v>2017</v>
      </c>
      <c r="B117">
        <v>0</v>
      </c>
      <c r="C117">
        <v>0.71</v>
      </c>
      <c r="D117">
        <v>4.53</v>
      </c>
      <c r="E117">
        <v>9.17</v>
      </c>
      <c r="F117">
        <v>12.03</v>
      </c>
      <c r="G117" s="26">
        <v>7.12</v>
      </c>
      <c r="H117" s="26">
        <v>5.38</v>
      </c>
      <c r="I117" s="26">
        <v>6.8</v>
      </c>
      <c r="J117" s="26">
        <v>2.5099999999999998</v>
      </c>
      <c r="K117" s="26">
        <v>0</v>
      </c>
      <c r="L117" s="26">
        <v>0</v>
      </c>
      <c r="M117" s="26">
        <v>0</v>
      </c>
      <c r="N117" s="26">
        <v>0</v>
      </c>
      <c r="O117" s="26">
        <v>0</v>
      </c>
      <c r="P117">
        <f t="shared" si="33"/>
        <v>12.5</v>
      </c>
      <c r="Q117" s="26">
        <f t="shared" si="34"/>
        <v>9.3099999999999987</v>
      </c>
      <c r="R117">
        <f t="shared" si="35"/>
        <v>9.3099999999999987</v>
      </c>
      <c r="U117" s="3">
        <v>2017</v>
      </c>
      <c r="V117" s="4">
        <v>48.25</v>
      </c>
      <c r="W117" s="5">
        <f t="shared" si="39"/>
        <v>1.471502590673575E-2</v>
      </c>
      <c r="X117" s="5">
        <f t="shared" si="40"/>
        <v>9.3886010362694311E-2</v>
      </c>
      <c r="Y117" s="5">
        <f t="shared" si="41"/>
        <v>0.1900518134715026</v>
      </c>
      <c r="Z117" s="5">
        <f t="shared" si="42"/>
        <v>0.2493264248704663</v>
      </c>
      <c r="AA117" s="5">
        <f t="shared" si="43"/>
        <v>0.14756476683937825</v>
      </c>
      <c r="AB117" s="5">
        <f t="shared" si="44"/>
        <v>0.11150259067357512</v>
      </c>
      <c r="AC117" s="5">
        <f t="shared" si="45"/>
        <v>0.14093264248704662</v>
      </c>
      <c r="AD117" s="5">
        <f t="shared" si="46"/>
        <v>5.202072538860103E-2</v>
      </c>
      <c r="AE117" s="5">
        <f t="shared" si="47"/>
        <v>0</v>
      </c>
      <c r="AF117" s="5">
        <f t="shared" si="48"/>
        <v>0</v>
      </c>
      <c r="AG117" s="5">
        <f t="shared" si="49"/>
        <v>0</v>
      </c>
      <c r="AH117" s="5">
        <f t="shared" si="50"/>
        <v>0</v>
      </c>
      <c r="AI117" s="5">
        <f t="shared" si="51"/>
        <v>0</v>
      </c>
      <c r="AJ117" s="6">
        <f t="shared" si="36"/>
        <v>0.2590673575129534</v>
      </c>
      <c r="AK117" s="6">
        <f t="shared" si="37"/>
        <v>0.19295336787564765</v>
      </c>
      <c r="AL117" s="6">
        <f t="shared" si="38"/>
        <v>0.19295336787564765</v>
      </c>
    </row>
    <row r="118" spans="1:42" x14ac:dyDescent="0.25">
      <c r="G118" s="26"/>
      <c r="H118" s="26"/>
      <c r="I118" s="26"/>
      <c r="J118" s="26"/>
      <c r="K118" s="26"/>
      <c r="L118" s="26"/>
      <c r="M118" s="26"/>
      <c r="N118" s="26"/>
      <c r="O118" s="26"/>
      <c r="Q118" s="26"/>
      <c r="U118" s="41"/>
      <c r="V118" s="41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6"/>
      <c r="AK118" s="6"/>
      <c r="AL118" s="6"/>
    </row>
    <row r="119" spans="1:42" x14ac:dyDescent="0.25">
      <c r="C119" s="8" t="s">
        <v>1</v>
      </c>
      <c r="D119" s="8" t="s">
        <v>2</v>
      </c>
      <c r="E119" s="8" t="s">
        <v>3</v>
      </c>
      <c r="F119" s="8" t="s">
        <v>4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8" t="s">
        <v>23</v>
      </c>
      <c r="Q119" s="26"/>
      <c r="R119" s="8" t="s">
        <v>25</v>
      </c>
      <c r="V119" s="8" t="s">
        <v>32</v>
      </c>
      <c r="W119" s="27" t="s">
        <v>1</v>
      </c>
      <c r="X119" s="27" t="s">
        <v>2</v>
      </c>
      <c r="Y119" s="27" t="s">
        <v>3</v>
      </c>
      <c r="Z119" s="27" t="s">
        <v>4</v>
      </c>
      <c r="AA119" s="27"/>
      <c r="AB119" s="27"/>
      <c r="AC119" s="27"/>
      <c r="AD119" s="27"/>
      <c r="AE119" s="27"/>
      <c r="AF119" s="27"/>
      <c r="AG119" s="27"/>
      <c r="AH119" s="27"/>
      <c r="AI119" s="27"/>
      <c r="AJ119" s="8" t="s">
        <v>23</v>
      </c>
      <c r="AK119" s="8"/>
      <c r="AL119" s="8" t="s">
        <v>25</v>
      </c>
    </row>
    <row r="120" spans="1:42" x14ac:dyDescent="0.25">
      <c r="A120" s="28" t="s">
        <v>54</v>
      </c>
      <c r="C120" s="21">
        <f>AVERAGE(C88:C117)</f>
        <v>1.0856666666666663</v>
      </c>
      <c r="D120" s="21">
        <f t="shared" ref="D120:AL120" si="52">AVERAGE(D88:D117)</f>
        <v>3.9319999999999991</v>
      </c>
      <c r="E120" s="21">
        <f t="shared" si="52"/>
        <v>7.5963333333333285</v>
      </c>
      <c r="F120" s="21">
        <f t="shared" si="52"/>
        <v>14.049666666666649</v>
      </c>
      <c r="G120" s="21">
        <f t="shared" si="52"/>
        <v>9.2019999999999929</v>
      </c>
      <c r="H120" s="21">
        <f t="shared" si="52"/>
        <v>4.6603333333333321</v>
      </c>
      <c r="I120" s="21">
        <f t="shared" si="52"/>
        <v>3.3803333333333296</v>
      </c>
      <c r="J120" s="21">
        <f t="shared" si="52"/>
        <v>2.3206666666666664</v>
      </c>
      <c r="K120" s="21">
        <f t="shared" si="52"/>
        <v>0.90600000000000003</v>
      </c>
      <c r="L120" s="21">
        <f t="shared" si="52"/>
        <v>0.6216666666666667</v>
      </c>
      <c r="M120" s="21">
        <f t="shared" si="52"/>
        <v>0.56833333333332992</v>
      </c>
      <c r="N120" s="21">
        <f t="shared" si="52"/>
        <v>0</v>
      </c>
      <c r="O120" s="21">
        <f t="shared" si="52"/>
        <v>0</v>
      </c>
      <c r="P120" s="21">
        <f t="shared" si="52"/>
        <v>13.862333333333323</v>
      </c>
      <c r="Q120" s="21">
        <f t="shared" si="52"/>
        <v>6.6069999999999958</v>
      </c>
      <c r="R120" s="21">
        <f t="shared" si="52"/>
        <v>7.7969999999999935</v>
      </c>
      <c r="S120" s="21"/>
      <c r="T120" s="21"/>
      <c r="U120" s="21"/>
      <c r="V120" s="21">
        <f>AVERAGE(V88:V117)</f>
        <v>48.286666666666655</v>
      </c>
      <c r="W120" s="27">
        <f t="shared" si="52"/>
        <v>2.2805418226556271E-2</v>
      </c>
      <c r="X120" s="27">
        <f t="shared" si="52"/>
        <v>8.3101869703142303E-2</v>
      </c>
      <c r="Y120" s="27">
        <f t="shared" si="52"/>
        <v>0.15776174018045797</v>
      </c>
      <c r="Z120" s="27">
        <f t="shared" si="52"/>
        <v>0.29380593170963804</v>
      </c>
      <c r="AA120" s="27">
        <f t="shared" si="52"/>
        <v>0.19133509888790748</v>
      </c>
      <c r="AB120" s="27">
        <f t="shared" si="52"/>
        <v>9.6966958626919633E-2</v>
      </c>
      <c r="AC120" s="27">
        <f t="shared" si="52"/>
        <v>6.6170345918371162E-2</v>
      </c>
      <c r="AD120" s="27">
        <f t="shared" si="52"/>
        <v>4.8277888418350658E-2</v>
      </c>
      <c r="AE120" s="27">
        <f t="shared" si="52"/>
        <v>1.8171786804514249E-2</v>
      </c>
      <c r="AF120" s="27">
        <f t="shared" si="52"/>
        <v>1.2187536595672536E-2</v>
      </c>
      <c r="AG120" s="27">
        <f t="shared" si="52"/>
        <v>1.0126886523211736E-2</v>
      </c>
      <c r="AH120" s="27">
        <f t="shared" si="52"/>
        <v>0</v>
      </c>
      <c r="AI120" s="27">
        <f t="shared" si="52"/>
        <v>0</v>
      </c>
      <c r="AJ120" s="27">
        <f t="shared" si="52"/>
        <v>0.28830205751482701</v>
      </c>
      <c r="AK120" s="27">
        <f t="shared" si="52"/>
        <v>0.13262002114123608</v>
      </c>
      <c r="AL120" s="27">
        <f t="shared" si="52"/>
        <v>0.15493444426012029</v>
      </c>
    </row>
    <row r="121" spans="1:42" x14ac:dyDescent="0.25">
      <c r="A121" s="28" t="s">
        <v>55</v>
      </c>
      <c r="C121" s="21">
        <f>AVERAGE(C2:C87)</f>
        <v>1.7286046511627906</v>
      </c>
      <c r="D121" s="21">
        <f t="shared" ref="D121:AL121" si="53">AVERAGE(D2:D87)</f>
        <v>4.2554651162790664</v>
      </c>
      <c r="E121" s="21">
        <f t="shared" si="53"/>
        <v>7.8515116279069721</v>
      </c>
      <c r="F121" s="21">
        <f t="shared" si="53"/>
        <v>13.299651162790665</v>
      </c>
      <c r="G121" s="21">
        <f t="shared" si="53"/>
        <v>8.2395348837209195</v>
      </c>
      <c r="H121" s="21">
        <f t="shared" si="53"/>
        <v>4.6515116279069746</v>
      </c>
      <c r="I121" s="21">
        <f t="shared" si="53"/>
        <v>2.2494186046511628</v>
      </c>
      <c r="J121" s="21">
        <f t="shared" si="53"/>
        <v>1.1772093023255814</v>
      </c>
      <c r="K121" s="21">
        <f t="shared" si="53"/>
        <v>1.1213953488372093</v>
      </c>
      <c r="L121" s="21">
        <f t="shared" si="53"/>
        <v>0.60837209302325579</v>
      </c>
      <c r="M121" s="21">
        <f t="shared" si="53"/>
        <v>0.18325581395348836</v>
      </c>
      <c r="N121" s="21">
        <f t="shared" si="53"/>
        <v>0.22627906976744186</v>
      </c>
      <c r="O121" s="21">
        <f t="shared" si="53"/>
        <v>8.3139534883720931E-2</v>
      </c>
      <c r="P121" s="21">
        <f t="shared" si="53"/>
        <v>12.891046511627895</v>
      </c>
      <c r="Q121" s="21">
        <f t="shared" si="53"/>
        <v>4.5480232558139528</v>
      </c>
      <c r="R121" s="21">
        <f t="shared" si="53"/>
        <v>5.6490697674418602</v>
      </c>
      <c r="S121" s="21"/>
      <c r="T121" s="21"/>
      <c r="U121" s="21"/>
      <c r="V121" s="21">
        <f t="shared" si="53"/>
        <v>45.781046511627899</v>
      </c>
      <c r="W121" s="27">
        <f t="shared" si="53"/>
        <v>3.8667210301678689E-2</v>
      </c>
      <c r="X121" s="27">
        <f t="shared" si="53"/>
        <v>9.4338361144258295E-2</v>
      </c>
      <c r="Y121" s="27">
        <f t="shared" si="53"/>
        <v>0.17488875495334102</v>
      </c>
      <c r="Z121" s="27">
        <f t="shared" si="53"/>
        <v>0.29078522415981717</v>
      </c>
      <c r="AA121" s="27">
        <f t="shared" si="53"/>
        <v>0.17943667795895285</v>
      </c>
      <c r="AB121" s="27">
        <f t="shared" si="53"/>
        <v>9.9474116154826084E-2</v>
      </c>
      <c r="AC121" s="27">
        <f t="shared" si="53"/>
        <v>4.7623290271007403E-2</v>
      </c>
      <c r="AD121" s="27">
        <f t="shared" si="53"/>
        <v>2.4297290731537798E-2</v>
      </c>
      <c r="AE121" s="27">
        <f t="shared" si="53"/>
        <v>2.4724184275869684E-2</v>
      </c>
      <c r="AF121" s="27">
        <f t="shared" si="53"/>
        <v>1.3299735065481591E-2</v>
      </c>
      <c r="AG121" s="27">
        <f t="shared" si="53"/>
        <v>3.9824209244629268E-3</v>
      </c>
      <c r="AH121" s="27">
        <f t="shared" si="53"/>
        <v>4.4153630454442467E-3</v>
      </c>
      <c r="AI121" s="27">
        <f t="shared" si="53"/>
        <v>1.63082649830759E-3</v>
      </c>
      <c r="AJ121" s="27">
        <f t="shared" si="53"/>
        <v>0.27891079411377895</v>
      </c>
      <c r="AK121" s="27">
        <f t="shared" si="53"/>
        <v>9.6644765278414882E-2</v>
      </c>
      <c r="AL121" s="27">
        <f t="shared" si="53"/>
        <v>0.11997311081211121</v>
      </c>
    </row>
    <row r="122" spans="1:42" x14ac:dyDescent="0.25">
      <c r="G122" s="26"/>
      <c r="H122" s="26"/>
      <c r="I122" s="26"/>
      <c r="J122" s="26"/>
      <c r="K122" s="26"/>
      <c r="L122" s="26"/>
      <c r="M122" s="26"/>
      <c r="N122" s="26"/>
      <c r="O122" s="26"/>
      <c r="Q122" s="26"/>
      <c r="V122" s="25">
        <f>V120-V121</f>
        <v>2.5056201550387556</v>
      </c>
    </row>
    <row r="123" spans="1:42" x14ac:dyDescent="0.25">
      <c r="G123" s="26"/>
      <c r="H123" s="26"/>
      <c r="I123" s="26"/>
      <c r="J123" s="26"/>
      <c r="K123" s="26"/>
      <c r="L123" s="26"/>
      <c r="M123" s="26"/>
      <c r="N123" s="26"/>
      <c r="O123" s="26"/>
      <c r="Q123" s="26"/>
    </row>
    <row r="124" spans="1:42" x14ac:dyDescent="0.25">
      <c r="G124" s="26"/>
      <c r="H124" s="26"/>
      <c r="I124" s="26"/>
      <c r="J124" s="26"/>
      <c r="K124" s="26"/>
      <c r="L124" s="26"/>
      <c r="M124" s="26"/>
      <c r="N124" s="26"/>
      <c r="O124" s="26"/>
      <c r="Q124" s="26"/>
    </row>
    <row r="125" spans="1:42" x14ac:dyDescent="0.25">
      <c r="G125" s="26"/>
      <c r="H125" s="26"/>
      <c r="I125" s="26"/>
      <c r="J125" s="26"/>
      <c r="K125" s="26"/>
      <c r="L125" s="26"/>
      <c r="M125" s="26"/>
      <c r="N125" s="26"/>
      <c r="O125" s="26"/>
      <c r="Q125" s="26"/>
    </row>
    <row r="126" spans="1:42" x14ac:dyDescent="0.25">
      <c r="G126" s="26"/>
      <c r="H126" s="26"/>
      <c r="I126" s="26"/>
      <c r="J126" s="26"/>
      <c r="K126" s="26"/>
      <c r="L126" s="26"/>
      <c r="M126" s="26"/>
      <c r="N126" s="26"/>
      <c r="O126" s="26"/>
      <c r="Q126" s="26"/>
    </row>
    <row r="127" spans="1:42" x14ac:dyDescent="0.25">
      <c r="G127" s="26"/>
      <c r="H127" s="26"/>
      <c r="I127" s="26"/>
      <c r="J127" s="26"/>
      <c r="K127" s="26"/>
      <c r="L127" s="26"/>
      <c r="M127" s="26"/>
      <c r="N127" s="26"/>
      <c r="O127" s="26"/>
      <c r="Q127" s="26"/>
    </row>
    <row r="128" spans="1:42" x14ac:dyDescent="0.25">
      <c r="G128" s="26"/>
      <c r="H128" s="26"/>
      <c r="I128" s="26"/>
      <c r="J128" s="26"/>
      <c r="K128" s="26"/>
      <c r="L128" s="26"/>
      <c r="M128" s="26"/>
      <c r="N128" s="26"/>
      <c r="O128" s="26"/>
      <c r="Q128" s="26"/>
    </row>
    <row r="129" spans="7:17" x14ac:dyDescent="0.25">
      <c r="G129" s="26"/>
      <c r="H129" s="26"/>
      <c r="I129" s="26"/>
      <c r="J129" s="26"/>
      <c r="K129" s="26"/>
      <c r="L129" s="26"/>
      <c r="M129" s="26"/>
      <c r="N129" s="26"/>
      <c r="O129" s="26"/>
      <c r="Q129" s="26"/>
    </row>
    <row r="130" spans="7:17" x14ac:dyDescent="0.25">
      <c r="G130" s="26"/>
      <c r="H130" s="26"/>
      <c r="I130" s="26"/>
      <c r="J130" s="26"/>
      <c r="K130" s="26"/>
      <c r="L130" s="26"/>
      <c r="M130" s="26"/>
      <c r="N130" s="26"/>
      <c r="O130" s="26"/>
      <c r="Q130" s="26"/>
    </row>
    <row r="131" spans="7:17" x14ac:dyDescent="0.25">
      <c r="G131" s="26"/>
      <c r="H131" s="26"/>
      <c r="I131" s="26"/>
      <c r="J131" s="26"/>
      <c r="K131" s="26"/>
      <c r="L131" s="26"/>
      <c r="M131" s="26"/>
      <c r="N131" s="26"/>
      <c r="O131" s="26"/>
      <c r="Q131" s="2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48"/>
  <sheetViews>
    <sheetView zoomScale="70" zoomScaleNormal="70" workbookViewId="0">
      <pane ySplit="1" topLeftCell="A93" activePane="bottomLeft" state="frozen"/>
      <selection activeCell="E172" sqref="E172"/>
      <selection pane="bottomLeft" activeCell="S2" sqref="S2:S145"/>
    </sheetView>
  </sheetViews>
  <sheetFormatPr defaultRowHeight="15" x14ac:dyDescent="0.25"/>
  <cols>
    <col min="1" max="1" width="15.7109375" bestFit="1" customWidth="1"/>
    <col min="2" max="2" width="0" hidden="1" customWidth="1"/>
    <col min="7" max="15" width="0" hidden="1" customWidth="1"/>
    <col min="17" max="17" width="0" hidden="1" customWidth="1"/>
    <col min="18" max="18" width="13.5703125" hidden="1" customWidth="1"/>
    <col min="23" max="23" width="18.5703125" bestFit="1" customWidth="1"/>
    <col min="24" max="24" width="17" bestFit="1" customWidth="1"/>
  </cols>
  <sheetData>
    <row r="1" spans="1:25" s="8" customFormat="1" ht="18.75" x14ac:dyDescent="0.3"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8" t="s">
        <v>13</v>
      </c>
      <c r="P1" s="8" t="s">
        <v>26</v>
      </c>
      <c r="Q1" s="8" t="s">
        <v>27</v>
      </c>
      <c r="R1" s="8" t="s">
        <v>28</v>
      </c>
      <c r="S1" s="8" t="s">
        <v>25</v>
      </c>
      <c r="W1" s="7" t="s">
        <v>15</v>
      </c>
      <c r="X1" s="7"/>
    </row>
    <row r="2" spans="1:25" ht="18.75" x14ac:dyDescent="0.3">
      <c r="A2">
        <v>1874</v>
      </c>
      <c r="B2">
        <v>273</v>
      </c>
      <c r="C2">
        <v>36</v>
      </c>
      <c r="D2">
        <v>13</v>
      </c>
      <c r="E2">
        <v>18</v>
      </c>
      <c r="F2">
        <v>17</v>
      </c>
      <c r="G2">
        <v>5</v>
      </c>
      <c r="H2">
        <v>3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f>SUM(G2:H2)</f>
        <v>8</v>
      </c>
      <c r="Q2">
        <f>SUM(I2:K2)</f>
        <v>0</v>
      </c>
      <c r="R2">
        <f>SUM(L2:O2)</f>
        <v>0</v>
      </c>
      <c r="S2">
        <f>SUM(Q2:R2)</f>
        <v>0</v>
      </c>
      <c r="W2" s="7" t="s">
        <v>16</v>
      </c>
      <c r="X2" s="7" t="s">
        <v>17</v>
      </c>
    </row>
    <row r="3" spans="1:25" ht="18.75" x14ac:dyDescent="0.3">
      <c r="A3">
        <v>1875</v>
      </c>
      <c r="B3">
        <v>253</v>
      </c>
      <c r="C3">
        <v>30</v>
      </c>
      <c r="D3">
        <v>28</v>
      </c>
      <c r="E3">
        <v>30</v>
      </c>
      <c r="F3">
        <v>19</v>
      </c>
      <c r="G3">
        <v>3</v>
      </c>
      <c r="H3">
        <v>1</v>
      </c>
      <c r="I3">
        <v>0</v>
      </c>
      <c r="J3">
        <v>0</v>
      </c>
      <c r="K3">
        <v>1</v>
      </c>
      <c r="L3">
        <v>0</v>
      </c>
      <c r="M3">
        <v>0</v>
      </c>
      <c r="N3">
        <v>0</v>
      </c>
      <c r="O3">
        <v>0</v>
      </c>
      <c r="P3">
        <f t="shared" ref="P3:P66" si="0">SUM(G3:H3)</f>
        <v>4</v>
      </c>
      <c r="Q3">
        <f t="shared" ref="Q3:Q66" si="1">SUM(I3:K3)</f>
        <v>1</v>
      </c>
      <c r="R3">
        <f t="shared" ref="R3:R66" si="2">SUM(L3:O3)</f>
        <v>0</v>
      </c>
      <c r="S3">
        <f t="shared" ref="S3:S66" si="3">SUM(Q3:R3)</f>
        <v>1</v>
      </c>
      <c r="W3" s="7" t="s">
        <v>0</v>
      </c>
      <c r="X3" s="7" t="s">
        <v>18</v>
      </c>
    </row>
    <row r="4" spans="1:25" ht="18.75" x14ac:dyDescent="0.3">
      <c r="A4">
        <v>1876</v>
      </c>
      <c r="B4">
        <v>262</v>
      </c>
      <c r="C4">
        <v>42</v>
      </c>
      <c r="D4">
        <v>20</v>
      </c>
      <c r="E4">
        <v>20</v>
      </c>
      <c r="F4">
        <v>16</v>
      </c>
      <c r="G4">
        <v>1</v>
      </c>
      <c r="H4">
        <v>1</v>
      </c>
      <c r="I4">
        <v>4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f t="shared" si="0"/>
        <v>2</v>
      </c>
      <c r="Q4">
        <f t="shared" si="1"/>
        <v>4</v>
      </c>
      <c r="R4">
        <f t="shared" si="2"/>
        <v>0</v>
      </c>
      <c r="S4">
        <f t="shared" si="3"/>
        <v>4</v>
      </c>
      <c r="W4" s="7" t="s">
        <v>1</v>
      </c>
      <c r="X4" s="7" t="s">
        <v>19</v>
      </c>
    </row>
    <row r="5" spans="1:25" ht="18.75" x14ac:dyDescent="0.3">
      <c r="A5">
        <v>1877</v>
      </c>
      <c r="B5">
        <v>269</v>
      </c>
      <c r="C5">
        <v>28</v>
      </c>
      <c r="D5">
        <v>23</v>
      </c>
      <c r="E5">
        <v>25</v>
      </c>
      <c r="F5">
        <v>13</v>
      </c>
      <c r="G5">
        <v>3</v>
      </c>
      <c r="H5">
        <v>2</v>
      </c>
      <c r="I5">
        <v>1</v>
      </c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f t="shared" si="0"/>
        <v>5</v>
      </c>
      <c r="Q5">
        <f t="shared" si="1"/>
        <v>2</v>
      </c>
      <c r="R5">
        <f t="shared" si="2"/>
        <v>0</v>
      </c>
      <c r="S5">
        <f t="shared" si="3"/>
        <v>2</v>
      </c>
      <c r="W5" s="7" t="s">
        <v>2</v>
      </c>
      <c r="X5" s="7" t="s">
        <v>20</v>
      </c>
      <c r="Y5" s="9"/>
    </row>
    <row r="6" spans="1:25" ht="18.75" x14ac:dyDescent="0.3">
      <c r="A6">
        <v>1878</v>
      </c>
      <c r="B6">
        <v>248</v>
      </c>
      <c r="C6">
        <v>35</v>
      </c>
      <c r="D6">
        <v>30</v>
      </c>
      <c r="E6">
        <v>25</v>
      </c>
      <c r="F6">
        <v>16</v>
      </c>
      <c r="G6">
        <v>9</v>
      </c>
      <c r="H6">
        <v>0</v>
      </c>
      <c r="I6">
        <v>2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f t="shared" si="0"/>
        <v>9</v>
      </c>
      <c r="Q6">
        <f t="shared" si="1"/>
        <v>2</v>
      </c>
      <c r="R6">
        <f t="shared" si="2"/>
        <v>0</v>
      </c>
      <c r="S6">
        <f t="shared" si="3"/>
        <v>2</v>
      </c>
      <c r="W6" s="7" t="s">
        <v>3</v>
      </c>
      <c r="X6" s="7" t="s">
        <v>21</v>
      </c>
      <c r="Y6" s="9"/>
    </row>
    <row r="7" spans="1:25" ht="18.75" x14ac:dyDescent="0.3">
      <c r="A7">
        <v>1879</v>
      </c>
      <c r="B7">
        <v>254</v>
      </c>
      <c r="C7">
        <v>40</v>
      </c>
      <c r="D7">
        <v>23</v>
      </c>
      <c r="E7">
        <v>20</v>
      </c>
      <c r="F7">
        <v>19</v>
      </c>
      <c r="G7">
        <v>5</v>
      </c>
      <c r="H7">
        <v>2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1</v>
      </c>
      <c r="P7">
        <f t="shared" si="0"/>
        <v>7</v>
      </c>
      <c r="Q7">
        <f t="shared" si="1"/>
        <v>1</v>
      </c>
      <c r="R7">
        <f t="shared" si="2"/>
        <v>1</v>
      </c>
      <c r="S7">
        <f t="shared" si="3"/>
        <v>2</v>
      </c>
      <c r="W7" s="7" t="s">
        <v>4</v>
      </c>
      <c r="X7" s="7" t="s">
        <v>22</v>
      </c>
      <c r="Y7" s="9"/>
    </row>
    <row r="8" spans="1:25" ht="18.75" x14ac:dyDescent="0.3">
      <c r="A8">
        <v>1880</v>
      </c>
      <c r="B8">
        <v>258</v>
      </c>
      <c r="C8">
        <v>37</v>
      </c>
      <c r="D8">
        <v>24</v>
      </c>
      <c r="E8">
        <v>19</v>
      </c>
      <c r="F8">
        <v>14</v>
      </c>
      <c r="G8">
        <v>6</v>
      </c>
      <c r="H8">
        <v>5</v>
      </c>
      <c r="I8">
        <v>3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f t="shared" si="0"/>
        <v>11</v>
      </c>
      <c r="Q8">
        <f t="shared" si="1"/>
        <v>3</v>
      </c>
      <c r="R8">
        <f t="shared" si="2"/>
        <v>0</v>
      </c>
      <c r="S8">
        <f t="shared" si="3"/>
        <v>3</v>
      </c>
      <c r="W8" s="7" t="s">
        <v>23</v>
      </c>
      <c r="X8" s="7" t="s">
        <v>37</v>
      </c>
      <c r="Y8" s="9"/>
    </row>
    <row r="9" spans="1:25" ht="18.75" x14ac:dyDescent="0.3">
      <c r="A9">
        <v>1881</v>
      </c>
      <c r="B9">
        <v>259</v>
      </c>
      <c r="C9">
        <v>31</v>
      </c>
      <c r="D9">
        <v>29</v>
      </c>
      <c r="E9">
        <v>20</v>
      </c>
      <c r="F9">
        <v>17</v>
      </c>
      <c r="G9">
        <v>6</v>
      </c>
      <c r="H9">
        <v>2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f t="shared" si="0"/>
        <v>8</v>
      </c>
      <c r="Q9">
        <f t="shared" si="1"/>
        <v>1</v>
      </c>
      <c r="R9">
        <f t="shared" si="2"/>
        <v>0</v>
      </c>
      <c r="S9">
        <f t="shared" si="3"/>
        <v>1</v>
      </c>
      <c r="W9" s="7" t="s">
        <v>25</v>
      </c>
      <c r="X9" s="7" t="s">
        <v>38</v>
      </c>
      <c r="Y9" s="44"/>
    </row>
    <row r="10" spans="1:25" ht="18.75" x14ac:dyDescent="0.3">
      <c r="A10">
        <v>1882</v>
      </c>
      <c r="B10">
        <v>242</v>
      </c>
      <c r="C10">
        <v>40</v>
      </c>
      <c r="D10">
        <v>25</v>
      </c>
      <c r="E10">
        <v>22</v>
      </c>
      <c r="F10">
        <v>27</v>
      </c>
      <c r="G10">
        <v>4</v>
      </c>
      <c r="H10">
        <v>1</v>
      </c>
      <c r="I10">
        <v>1</v>
      </c>
      <c r="J10">
        <v>0</v>
      </c>
      <c r="K10">
        <v>1</v>
      </c>
      <c r="L10">
        <v>1</v>
      </c>
      <c r="M10">
        <v>1</v>
      </c>
      <c r="N10">
        <v>0</v>
      </c>
      <c r="O10">
        <v>0</v>
      </c>
      <c r="P10">
        <f t="shared" si="0"/>
        <v>5</v>
      </c>
      <c r="Q10">
        <f t="shared" si="1"/>
        <v>2</v>
      </c>
      <c r="R10">
        <f t="shared" si="2"/>
        <v>2</v>
      </c>
      <c r="S10">
        <f t="shared" si="3"/>
        <v>4</v>
      </c>
      <c r="W10" s="7"/>
      <c r="X10" s="7"/>
      <c r="Y10" s="44"/>
    </row>
    <row r="11" spans="1:25" ht="18.75" x14ac:dyDescent="0.3">
      <c r="A11">
        <v>1883</v>
      </c>
      <c r="B11">
        <v>249</v>
      </c>
      <c r="C11">
        <v>40</v>
      </c>
      <c r="D11">
        <v>29</v>
      </c>
      <c r="E11">
        <v>18</v>
      </c>
      <c r="F11">
        <v>19</v>
      </c>
      <c r="G11">
        <v>5</v>
      </c>
      <c r="H11">
        <v>3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f t="shared" si="0"/>
        <v>8</v>
      </c>
      <c r="Q11">
        <f t="shared" si="1"/>
        <v>2</v>
      </c>
      <c r="R11">
        <f t="shared" si="2"/>
        <v>0</v>
      </c>
      <c r="S11">
        <f t="shared" si="3"/>
        <v>2</v>
      </c>
      <c r="W11" s="7"/>
      <c r="X11" s="7"/>
      <c r="Y11" s="44"/>
    </row>
    <row r="12" spans="1:25" ht="18.75" x14ac:dyDescent="0.3">
      <c r="A12">
        <v>1884</v>
      </c>
      <c r="B12">
        <v>253</v>
      </c>
      <c r="C12">
        <v>34</v>
      </c>
      <c r="D12">
        <v>22</v>
      </c>
      <c r="E12">
        <v>18</v>
      </c>
      <c r="F12">
        <v>22</v>
      </c>
      <c r="G12">
        <v>13</v>
      </c>
      <c r="H12">
        <v>2</v>
      </c>
      <c r="I12">
        <v>2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f t="shared" si="0"/>
        <v>15</v>
      </c>
      <c r="Q12">
        <f t="shared" si="1"/>
        <v>2</v>
      </c>
      <c r="R12">
        <f t="shared" si="2"/>
        <v>0</v>
      </c>
      <c r="S12">
        <f t="shared" si="3"/>
        <v>2</v>
      </c>
      <c r="W12" s="7"/>
      <c r="X12" s="7"/>
      <c r="Y12" s="44"/>
    </row>
    <row r="13" spans="1:25" ht="18.75" x14ac:dyDescent="0.3">
      <c r="A13">
        <v>1885</v>
      </c>
      <c r="B13">
        <v>271</v>
      </c>
      <c r="C13">
        <v>29</v>
      </c>
      <c r="D13">
        <v>21</v>
      </c>
      <c r="E13">
        <v>24</v>
      </c>
      <c r="F13">
        <v>10</v>
      </c>
      <c r="G13">
        <v>6</v>
      </c>
      <c r="H13">
        <v>3</v>
      </c>
      <c r="I13">
        <v>0</v>
      </c>
      <c r="J13">
        <v>0</v>
      </c>
      <c r="K13">
        <v>1</v>
      </c>
      <c r="L13">
        <v>0</v>
      </c>
      <c r="M13">
        <v>0</v>
      </c>
      <c r="N13">
        <v>0</v>
      </c>
      <c r="O13">
        <v>0</v>
      </c>
      <c r="P13">
        <f t="shared" si="0"/>
        <v>9</v>
      </c>
      <c r="Q13">
        <f t="shared" si="1"/>
        <v>1</v>
      </c>
      <c r="R13">
        <f t="shared" si="2"/>
        <v>0</v>
      </c>
      <c r="S13">
        <f t="shared" si="3"/>
        <v>1</v>
      </c>
      <c r="W13" s="7"/>
      <c r="X13" s="7"/>
      <c r="Y13" s="44"/>
    </row>
    <row r="14" spans="1:25" ht="18.75" x14ac:dyDescent="0.3">
      <c r="A14">
        <v>1886</v>
      </c>
      <c r="B14">
        <v>265</v>
      </c>
      <c r="C14">
        <v>30</v>
      </c>
      <c r="D14">
        <v>23</v>
      </c>
      <c r="E14">
        <v>17</v>
      </c>
      <c r="F14">
        <v>22</v>
      </c>
      <c r="G14">
        <v>4</v>
      </c>
      <c r="H14">
        <v>2</v>
      </c>
      <c r="I14">
        <v>1</v>
      </c>
      <c r="J14">
        <v>0</v>
      </c>
      <c r="K14">
        <v>0</v>
      </c>
      <c r="L14">
        <v>0</v>
      </c>
      <c r="M14">
        <v>0</v>
      </c>
      <c r="N14">
        <v>1</v>
      </c>
      <c r="O14">
        <v>0</v>
      </c>
      <c r="P14">
        <f t="shared" si="0"/>
        <v>6</v>
      </c>
      <c r="Q14">
        <f t="shared" si="1"/>
        <v>1</v>
      </c>
      <c r="R14">
        <f t="shared" si="2"/>
        <v>1</v>
      </c>
      <c r="S14">
        <f t="shared" si="3"/>
        <v>2</v>
      </c>
      <c r="W14" s="7"/>
      <c r="X14" s="7"/>
      <c r="Y14" s="44"/>
    </row>
    <row r="15" spans="1:25" ht="18.75" x14ac:dyDescent="0.3">
      <c r="A15">
        <v>1887</v>
      </c>
      <c r="B15">
        <v>254</v>
      </c>
      <c r="C15">
        <v>30</v>
      </c>
      <c r="D15">
        <v>36</v>
      </c>
      <c r="E15">
        <v>20</v>
      </c>
      <c r="F15">
        <v>17</v>
      </c>
      <c r="G15">
        <v>7</v>
      </c>
      <c r="H15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f t="shared" si="0"/>
        <v>8</v>
      </c>
      <c r="Q15">
        <f t="shared" si="1"/>
        <v>0</v>
      </c>
      <c r="R15">
        <f t="shared" si="2"/>
        <v>0</v>
      </c>
      <c r="S15">
        <f t="shared" si="3"/>
        <v>0</v>
      </c>
      <c r="W15" s="7"/>
      <c r="X15" s="7"/>
      <c r="Y15" s="44"/>
    </row>
    <row r="16" spans="1:25" ht="18.75" x14ac:dyDescent="0.3">
      <c r="A16">
        <v>1888</v>
      </c>
      <c r="B16">
        <v>255</v>
      </c>
      <c r="C16">
        <v>36</v>
      </c>
      <c r="D16">
        <v>19</v>
      </c>
      <c r="E16">
        <v>21</v>
      </c>
      <c r="F16">
        <v>27</v>
      </c>
      <c r="G16">
        <v>6</v>
      </c>
      <c r="H16">
        <v>1</v>
      </c>
      <c r="I16">
        <v>0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f t="shared" si="0"/>
        <v>7</v>
      </c>
      <c r="Q16">
        <f t="shared" si="1"/>
        <v>1</v>
      </c>
      <c r="R16">
        <f t="shared" si="2"/>
        <v>0</v>
      </c>
      <c r="S16">
        <f t="shared" si="3"/>
        <v>1</v>
      </c>
      <c r="W16" s="7"/>
      <c r="X16" s="7"/>
      <c r="Y16" s="44"/>
    </row>
    <row r="17" spans="1:25" ht="18.75" x14ac:dyDescent="0.3">
      <c r="A17">
        <v>1889</v>
      </c>
      <c r="B17">
        <v>251</v>
      </c>
      <c r="C17">
        <v>38</v>
      </c>
      <c r="D17">
        <v>31</v>
      </c>
      <c r="E17">
        <v>18</v>
      </c>
      <c r="F17">
        <v>19</v>
      </c>
      <c r="G17">
        <v>6</v>
      </c>
      <c r="H17">
        <v>1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f t="shared" si="0"/>
        <v>7</v>
      </c>
      <c r="Q17">
        <f t="shared" si="1"/>
        <v>1</v>
      </c>
      <c r="R17">
        <f t="shared" si="2"/>
        <v>0</v>
      </c>
      <c r="S17">
        <f t="shared" si="3"/>
        <v>1</v>
      </c>
      <c r="W17" s="7"/>
      <c r="X17" s="7"/>
      <c r="Y17" s="44"/>
    </row>
    <row r="18" spans="1:25" x14ac:dyDescent="0.25">
      <c r="A18">
        <v>1890</v>
      </c>
      <c r="B18">
        <v>253</v>
      </c>
      <c r="C18">
        <v>29</v>
      </c>
      <c r="D18">
        <v>24</v>
      </c>
      <c r="E18">
        <v>27</v>
      </c>
      <c r="F18">
        <v>23</v>
      </c>
      <c r="G18">
        <v>6</v>
      </c>
      <c r="H18">
        <v>1</v>
      </c>
      <c r="I18">
        <v>1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f t="shared" si="0"/>
        <v>7</v>
      </c>
      <c r="Q18">
        <f t="shared" si="1"/>
        <v>2</v>
      </c>
      <c r="R18">
        <f t="shared" si="2"/>
        <v>0</v>
      </c>
      <c r="S18">
        <f t="shared" si="3"/>
        <v>2</v>
      </c>
    </row>
    <row r="19" spans="1:25" x14ac:dyDescent="0.25">
      <c r="A19">
        <v>1891</v>
      </c>
      <c r="B19">
        <v>249</v>
      </c>
      <c r="C19">
        <v>31</v>
      </c>
      <c r="D19">
        <v>29</v>
      </c>
      <c r="E19">
        <v>24</v>
      </c>
      <c r="F19">
        <v>23</v>
      </c>
      <c r="G19">
        <v>8</v>
      </c>
      <c r="H19">
        <v>1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f t="shared" si="0"/>
        <v>9</v>
      </c>
      <c r="Q19">
        <f t="shared" si="1"/>
        <v>0</v>
      </c>
      <c r="R19">
        <f t="shared" si="2"/>
        <v>0</v>
      </c>
      <c r="S19">
        <f t="shared" si="3"/>
        <v>0</v>
      </c>
    </row>
    <row r="20" spans="1:25" x14ac:dyDescent="0.25">
      <c r="A20">
        <v>1892</v>
      </c>
      <c r="B20">
        <v>272</v>
      </c>
      <c r="C20">
        <v>32</v>
      </c>
      <c r="D20">
        <v>22</v>
      </c>
      <c r="E20">
        <v>16</v>
      </c>
      <c r="F20">
        <v>16</v>
      </c>
      <c r="G20">
        <v>4</v>
      </c>
      <c r="H20">
        <v>2</v>
      </c>
      <c r="I20">
        <v>0</v>
      </c>
      <c r="J20">
        <v>2</v>
      </c>
      <c r="K20">
        <v>0</v>
      </c>
      <c r="L20">
        <v>0</v>
      </c>
      <c r="M20">
        <v>0</v>
      </c>
      <c r="N20">
        <v>0</v>
      </c>
      <c r="O20">
        <v>0</v>
      </c>
      <c r="P20">
        <f t="shared" si="0"/>
        <v>6</v>
      </c>
      <c r="Q20">
        <f t="shared" si="1"/>
        <v>2</v>
      </c>
      <c r="R20">
        <f t="shared" si="2"/>
        <v>0</v>
      </c>
      <c r="S20">
        <f t="shared" si="3"/>
        <v>2</v>
      </c>
    </row>
    <row r="21" spans="1:25" x14ac:dyDescent="0.25">
      <c r="A21">
        <v>1893</v>
      </c>
      <c r="B21">
        <v>258</v>
      </c>
      <c r="C21">
        <v>34</v>
      </c>
      <c r="D21">
        <v>23</v>
      </c>
      <c r="E21">
        <v>21</v>
      </c>
      <c r="F21">
        <v>24</v>
      </c>
      <c r="G21">
        <v>4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f t="shared" si="0"/>
        <v>5</v>
      </c>
      <c r="Q21">
        <f t="shared" si="1"/>
        <v>0</v>
      </c>
      <c r="R21">
        <f t="shared" si="2"/>
        <v>0</v>
      </c>
      <c r="S21">
        <f t="shared" si="3"/>
        <v>0</v>
      </c>
    </row>
    <row r="22" spans="1:25" x14ac:dyDescent="0.25">
      <c r="A22">
        <v>1894</v>
      </c>
      <c r="B22">
        <v>252</v>
      </c>
      <c r="C22">
        <v>48</v>
      </c>
      <c r="D22">
        <v>22</v>
      </c>
      <c r="E22">
        <v>24</v>
      </c>
      <c r="F22">
        <v>14</v>
      </c>
      <c r="G22">
        <v>3</v>
      </c>
      <c r="H22">
        <v>1</v>
      </c>
      <c r="I22">
        <v>1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f t="shared" si="0"/>
        <v>4</v>
      </c>
      <c r="Q22">
        <f t="shared" si="1"/>
        <v>1</v>
      </c>
      <c r="R22">
        <f t="shared" si="2"/>
        <v>0</v>
      </c>
      <c r="S22">
        <f t="shared" si="3"/>
        <v>1</v>
      </c>
    </row>
    <row r="23" spans="1:25" x14ac:dyDescent="0.25">
      <c r="A23">
        <v>1895</v>
      </c>
      <c r="B23">
        <v>273</v>
      </c>
      <c r="C23">
        <v>34</v>
      </c>
      <c r="D23">
        <v>17</v>
      </c>
      <c r="E23">
        <v>24</v>
      </c>
      <c r="F23">
        <v>14</v>
      </c>
      <c r="G23">
        <v>2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f t="shared" si="0"/>
        <v>2</v>
      </c>
      <c r="Q23">
        <f t="shared" si="1"/>
        <v>1</v>
      </c>
      <c r="R23">
        <f t="shared" si="2"/>
        <v>0</v>
      </c>
      <c r="S23">
        <f t="shared" si="3"/>
        <v>1</v>
      </c>
    </row>
    <row r="24" spans="1:25" x14ac:dyDescent="0.25">
      <c r="A24">
        <v>1896</v>
      </c>
      <c r="B24">
        <v>260</v>
      </c>
      <c r="C24">
        <v>42</v>
      </c>
      <c r="D24">
        <v>28</v>
      </c>
      <c r="E24">
        <v>20</v>
      </c>
      <c r="F24">
        <v>8</v>
      </c>
      <c r="G24">
        <v>5</v>
      </c>
      <c r="H24">
        <v>1</v>
      </c>
      <c r="I24">
        <v>0</v>
      </c>
      <c r="J24">
        <v>2</v>
      </c>
      <c r="K24">
        <v>0</v>
      </c>
      <c r="L24">
        <v>0</v>
      </c>
      <c r="M24">
        <v>0</v>
      </c>
      <c r="N24">
        <v>0</v>
      </c>
      <c r="O24">
        <v>0</v>
      </c>
      <c r="P24">
        <f t="shared" si="0"/>
        <v>6</v>
      </c>
      <c r="Q24">
        <f t="shared" si="1"/>
        <v>2</v>
      </c>
      <c r="R24">
        <f t="shared" si="2"/>
        <v>0</v>
      </c>
      <c r="S24">
        <f t="shared" si="3"/>
        <v>2</v>
      </c>
    </row>
    <row r="25" spans="1:25" x14ac:dyDescent="0.25">
      <c r="A25">
        <v>1897</v>
      </c>
      <c r="B25">
        <v>254</v>
      </c>
      <c r="C25">
        <v>39</v>
      </c>
      <c r="D25">
        <v>28</v>
      </c>
      <c r="E25">
        <v>24</v>
      </c>
      <c r="F25">
        <v>13</v>
      </c>
      <c r="G25">
        <v>5</v>
      </c>
      <c r="H25">
        <v>1</v>
      </c>
      <c r="I25">
        <v>0</v>
      </c>
      <c r="J25">
        <v>0</v>
      </c>
      <c r="K25">
        <v>1</v>
      </c>
      <c r="L25">
        <v>0</v>
      </c>
      <c r="M25">
        <v>0</v>
      </c>
      <c r="N25">
        <v>0</v>
      </c>
      <c r="O25">
        <v>0</v>
      </c>
      <c r="P25">
        <f t="shared" si="0"/>
        <v>6</v>
      </c>
      <c r="Q25">
        <f t="shared" si="1"/>
        <v>1</v>
      </c>
      <c r="R25">
        <f t="shared" si="2"/>
        <v>0</v>
      </c>
      <c r="S25">
        <f t="shared" si="3"/>
        <v>1</v>
      </c>
    </row>
    <row r="26" spans="1:25" x14ac:dyDescent="0.25">
      <c r="A26">
        <v>1898</v>
      </c>
      <c r="B26">
        <v>247</v>
      </c>
      <c r="C26">
        <v>37</v>
      </c>
      <c r="D26">
        <v>28</v>
      </c>
      <c r="E26">
        <v>22</v>
      </c>
      <c r="F26">
        <v>24</v>
      </c>
      <c r="G26">
        <v>6</v>
      </c>
      <c r="H26">
        <v>1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f t="shared" si="0"/>
        <v>7</v>
      </c>
      <c r="Q26">
        <f t="shared" si="1"/>
        <v>0</v>
      </c>
      <c r="R26">
        <f t="shared" si="2"/>
        <v>0</v>
      </c>
      <c r="S26">
        <f t="shared" si="3"/>
        <v>0</v>
      </c>
    </row>
    <row r="27" spans="1:25" x14ac:dyDescent="0.25">
      <c r="A27">
        <v>1899</v>
      </c>
      <c r="B27">
        <v>273</v>
      </c>
      <c r="C27">
        <v>29</v>
      </c>
      <c r="D27">
        <v>20</v>
      </c>
      <c r="E27">
        <v>23</v>
      </c>
      <c r="F27">
        <v>14</v>
      </c>
      <c r="G27">
        <v>1</v>
      </c>
      <c r="H27">
        <v>1</v>
      </c>
      <c r="I27">
        <v>1</v>
      </c>
      <c r="J27">
        <v>1</v>
      </c>
      <c r="K27">
        <v>2</v>
      </c>
      <c r="L27">
        <v>0</v>
      </c>
      <c r="M27">
        <v>0</v>
      </c>
      <c r="N27">
        <v>0</v>
      </c>
      <c r="O27">
        <v>0</v>
      </c>
      <c r="P27">
        <f t="shared" si="0"/>
        <v>2</v>
      </c>
      <c r="Q27">
        <f t="shared" si="1"/>
        <v>4</v>
      </c>
      <c r="R27">
        <f t="shared" si="2"/>
        <v>0</v>
      </c>
      <c r="S27">
        <f t="shared" si="3"/>
        <v>4</v>
      </c>
    </row>
    <row r="28" spans="1:25" x14ac:dyDescent="0.25">
      <c r="A28">
        <v>1900</v>
      </c>
      <c r="B28">
        <v>284</v>
      </c>
      <c r="C28">
        <v>23</v>
      </c>
      <c r="D28">
        <v>25</v>
      </c>
      <c r="E28">
        <v>14</v>
      </c>
      <c r="F28">
        <v>14</v>
      </c>
      <c r="G28">
        <v>4</v>
      </c>
      <c r="H28">
        <v>1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f t="shared" si="0"/>
        <v>5</v>
      </c>
      <c r="Q28">
        <f t="shared" si="1"/>
        <v>0</v>
      </c>
      <c r="R28">
        <f t="shared" si="2"/>
        <v>0</v>
      </c>
      <c r="S28">
        <f t="shared" si="3"/>
        <v>0</v>
      </c>
    </row>
    <row r="29" spans="1:25" x14ac:dyDescent="0.25">
      <c r="A29">
        <v>1901</v>
      </c>
      <c r="B29">
        <v>279</v>
      </c>
      <c r="C29">
        <v>22</v>
      </c>
      <c r="D29">
        <v>22</v>
      </c>
      <c r="E29">
        <v>16</v>
      </c>
      <c r="F29">
        <v>19</v>
      </c>
      <c r="G29">
        <v>5</v>
      </c>
      <c r="H29">
        <v>1</v>
      </c>
      <c r="I29">
        <v>0</v>
      </c>
      <c r="J29">
        <v>0</v>
      </c>
      <c r="K29">
        <v>1</v>
      </c>
      <c r="L29">
        <v>0</v>
      </c>
      <c r="M29">
        <v>0</v>
      </c>
      <c r="N29">
        <v>0</v>
      </c>
      <c r="O29">
        <v>0</v>
      </c>
      <c r="P29">
        <f t="shared" si="0"/>
        <v>6</v>
      </c>
      <c r="Q29">
        <f t="shared" si="1"/>
        <v>1</v>
      </c>
      <c r="R29">
        <f t="shared" si="2"/>
        <v>0</v>
      </c>
      <c r="S29">
        <f t="shared" si="3"/>
        <v>1</v>
      </c>
    </row>
    <row r="30" spans="1:25" x14ac:dyDescent="0.25">
      <c r="A30">
        <v>1902</v>
      </c>
      <c r="B30">
        <v>261</v>
      </c>
      <c r="C30">
        <v>28</v>
      </c>
      <c r="D30">
        <v>16</v>
      </c>
      <c r="E30">
        <v>25</v>
      </c>
      <c r="F30">
        <v>20</v>
      </c>
      <c r="G30">
        <v>9</v>
      </c>
      <c r="H30">
        <v>4</v>
      </c>
      <c r="I30">
        <v>2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f t="shared" si="0"/>
        <v>13</v>
      </c>
      <c r="Q30">
        <f t="shared" si="1"/>
        <v>2</v>
      </c>
      <c r="R30">
        <f t="shared" si="2"/>
        <v>0</v>
      </c>
      <c r="S30">
        <f t="shared" si="3"/>
        <v>2</v>
      </c>
    </row>
    <row r="31" spans="1:25" x14ac:dyDescent="0.25">
      <c r="A31">
        <v>1903</v>
      </c>
      <c r="B31">
        <v>261</v>
      </c>
      <c r="C31">
        <v>24</v>
      </c>
      <c r="D31">
        <v>19</v>
      </c>
      <c r="E31">
        <v>21</v>
      </c>
      <c r="F31">
        <v>22</v>
      </c>
      <c r="G31">
        <v>13</v>
      </c>
      <c r="H31">
        <v>3</v>
      </c>
      <c r="I31">
        <v>0</v>
      </c>
      <c r="J31">
        <v>0</v>
      </c>
      <c r="K31">
        <v>0</v>
      </c>
      <c r="L31">
        <v>1</v>
      </c>
      <c r="M31">
        <v>0</v>
      </c>
      <c r="N31">
        <v>0</v>
      </c>
      <c r="O31">
        <v>1</v>
      </c>
      <c r="P31">
        <f t="shared" si="0"/>
        <v>16</v>
      </c>
      <c r="Q31">
        <f t="shared" si="1"/>
        <v>0</v>
      </c>
      <c r="R31">
        <f t="shared" si="2"/>
        <v>2</v>
      </c>
      <c r="S31">
        <f t="shared" si="3"/>
        <v>2</v>
      </c>
    </row>
    <row r="32" spans="1:25" x14ac:dyDescent="0.25">
      <c r="A32">
        <v>1904</v>
      </c>
      <c r="B32">
        <v>270</v>
      </c>
      <c r="C32">
        <v>30</v>
      </c>
      <c r="D32">
        <v>27</v>
      </c>
      <c r="E32">
        <v>24</v>
      </c>
      <c r="F32">
        <v>10</v>
      </c>
      <c r="G32">
        <v>3</v>
      </c>
      <c r="H32">
        <v>1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f t="shared" si="0"/>
        <v>4</v>
      </c>
      <c r="Q32">
        <f t="shared" si="1"/>
        <v>1</v>
      </c>
      <c r="R32">
        <f t="shared" si="2"/>
        <v>0</v>
      </c>
      <c r="S32">
        <f t="shared" si="3"/>
        <v>1</v>
      </c>
    </row>
    <row r="33" spans="1:24" x14ac:dyDescent="0.25">
      <c r="A33">
        <v>1905</v>
      </c>
      <c r="B33">
        <v>259</v>
      </c>
      <c r="C33">
        <v>31</v>
      </c>
      <c r="D33">
        <v>22</v>
      </c>
      <c r="E33">
        <v>30</v>
      </c>
      <c r="F33">
        <v>17</v>
      </c>
      <c r="G33">
        <v>3</v>
      </c>
      <c r="H33">
        <v>0</v>
      </c>
      <c r="I33">
        <v>2</v>
      </c>
      <c r="J33">
        <v>1</v>
      </c>
      <c r="K33">
        <v>0</v>
      </c>
      <c r="L33">
        <v>0</v>
      </c>
      <c r="M33">
        <v>0</v>
      </c>
      <c r="N33">
        <v>0</v>
      </c>
      <c r="O33">
        <v>0</v>
      </c>
      <c r="P33">
        <f t="shared" si="0"/>
        <v>3</v>
      </c>
      <c r="Q33">
        <f t="shared" si="1"/>
        <v>3</v>
      </c>
      <c r="R33">
        <f t="shared" si="2"/>
        <v>0</v>
      </c>
      <c r="S33">
        <f t="shared" si="3"/>
        <v>3</v>
      </c>
    </row>
    <row r="34" spans="1:24" x14ac:dyDescent="0.25">
      <c r="A34">
        <v>1906</v>
      </c>
      <c r="B34">
        <v>248</v>
      </c>
      <c r="C34">
        <v>39</v>
      </c>
      <c r="D34">
        <v>32</v>
      </c>
      <c r="E34">
        <v>14</v>
      </c>
      <c r="F34">
        <v>19</v>
      </c>
      <c r="G34">
        <v>6</v>
      </c>
      <c r="H34">
        <v>2</v>
      </c>
      <c r="I34">
        <v>3</v>
      </c>
      <c r="J34">
        <v>2</v>
      </c>
      <c r="K34">
        <v>0</v>
      </c>
      <c r="L34">
        <v>0</v>
      </c>
      <c r="M34">
        <v>0</v>
      </c>
      <c r="N34">
        <v>0</v>
      </c>
      <c r="O34">
        <v>0</v>
      </c>
      <c r="P34">
        <f t="shared" si="0"/>
        <v>8</v>
      </c>
      <c r="Q34">
        <f t="shared" si="1"/>
        <v>5</v>
      </c>
      <c r="R34">
        <f t="shared" si="2"/>
        <v>0</v>
      </c>
      <c r="S34">
        <f t="shared" si="3"/>
        <v>5</v>
      </c>
    </row>
    <row r="35" spans="1:24" x14ac:dyDescent="0.25">
      <c r="A35">
        <v>1907</v>
      </c>
      <c r="B35">
        <v>253</v>
      </c>
      <c r="C35">
        <v>21</v>
      </c>
      <c r="D35">
        <v>31</v>
      </c>
      <c r="E35">
        <v>30</v>
      </c>
      <c r="F35">
        <v>21</v>
      </c>
      <c r="G35">
        <v>5</v>
      </c>
      <c r="H35">
        <v>2</v>
      </c>
      <c r="I35">
        <v>1</v>
      </c>
      <c r="J35">
        <v>0</v>
      </c>
      <c r="K35">
        <v>1</v>
      </c>
      <c r="L35">
        <v>0</v>
      </c>
      <c r="M35">
        <v>0</v>
      </c>
      <c r="N35">
        <v>0</v>
      </c>
      <c r="O35">
        <v>0</v>
      </c>
      <c r="P35">
        <f t="shared" si="0"/>
        <v>7</v>
      </c>
      <c r="Q35">
        <f t="shared" si="1"/>
        <v>2</v>
      </c>
      <c r="R35">
        <f t="shared" si="2"/>
        <v>0</v>
      </c>
      <c r="S35">
        <f t="shared" si="3"/>
        <v>2</v>
      </c>
    </row>
    <row r="36" spans="1:24" x14ac:dyDescent="0.25">
      <c r="A36">
        <v>1908</v>
      </c>
      <c r="B36">
        <v>271</v>
      </c>
      <c r="C36">
        <v>25</v>
      </c>
      <c r="D36">
        <v>30</v>
      </c>
      <c r="E36">
        <v>17</v>
      </c>
      <c r="F36">
        <v>13</v>
      </c>
      <c r="G36">
        <v>7</v>
      </c>
      <c r="H36">
        <v>1</v>
      </c>
      <c r="I36">
        <v>1</v>
      </c>
      <c r="J36">
        <v>0</v>
      </c>
      <c r="K36">
        <v>1</v>
      </c>
      <c r="L36">
        <v>0</v>
      </c>
      <c r="M36">
        <v>0</v>
      </c>
      <c r="N36">
        <v>0</v>
      </c>
      <c r="O36">
        <v>0</v>
      </c>
      <c r="P36">
        <f t="shared" si="0"/>
        <v>8</v>
      </c>
      <c r="Q36">
        <f t="shared" si="1"/>
        <v>2</v>
      </c>
      <c r="R36">
        <f t="shared" si="2"/>
        <v>0</v>
      </c>
      <c r="S36">
        <f t="shared" si="3"/>
        <v>2</v>
      </c>
    </row>
    <row r="37" spans="1:24" x14ac:dyDescent="0.25">
      <c r="A37">
        <v>1909</v>
      </c>
      <c r="B37">
        <v>267</v>
      </c>
      <c r="C37">
        <v>30</v>
      </c>
      <c r="D37">
        <v>26</v>
      </c>
      <c r="E37">
        <v>21</v>
      </c>
      <c r="F37">
        <v>9</v>
      </c>
      <c r="G37">
        <v>8</v>
      </c>
      <c r="H37">
        <v>1</v>
      </c>
      <c r="I37">
        <v>3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f t="shared" si="0"/>
        <v>9</v>
      </c>
      <c r="Q37">
        <f t="shared" si="1"/>
        <v>3</v>
      </c>
      <c r="R37">
        <f t="shared" si="2"/>
        <v>0</v>
      </c>
      <c r="S37">
        <f t="shared" si="3"/>
        <v>3</v>
      </c>
    </row>
    <row r="38" spans="1:24" x14ac:dyDescent="0.25">
      <c r="A38">
        <v>1910</v>
      </c>
      <c r="B38">
        <v>264</v>
      </c>
      <c r="C38">
        <v>35</v>
      </c>
      <c r="D38">
        <v>24</v>
      </c>
      <c r="E38">
        <v>16</v>
      </c>
      <c r="F38">
        <v>18</v>
      </c>
      <c r="G38">
        <v>8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f t="shared" si="0"/>
        <v>8</v>
      </c>
      <c r="Q38">
        <f t="shared" si="1"/>
        <v>0</v>
      </c>
      <c r="R38">
        <f t="shared" si="2"/>
        <v>0</v>
      </c>
      <c r="S38">
        <f t="shared" si="3"/>
        <v>0</v>
      </c>
    </row>
    <row r="39" spans="1:24" x14ac:dyDescent="0.25">
      <c r="A39">
        <v>1911</v>
      </c>
      <c r="B39">
        <v>254</v>
      </c>
      <c r="C39">
        <v>25</v>
      </c>
      <c r="D39">
        <v>30</v>
      </c>
      <c r="E39">
        <v>25</v>
      </c>
      <c r="F39">
        <v>21</v>
      </c>
      <c r="G39">
        <v>9</v>
      </c>
      <c r="H39">
        <v>0</v>
      </c>
      <c r="I39">
        <v>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f t="shared" si="0"/>
        <v>9</v>
      </c>
      <c r="Q39">
        <f t="shared" si="1"/>
        <v>1</v>
      </c>
      <c r="R39">
        <f t="shared" si="2"/>
        <v>0</v>
      </c>
      <c r="S39">
        <f t="shared" si="3"/>
        <v>1</v>
      </c>
    </row>
    <row r="40" spans="1:24" x14ac:dyDescent="0.25">
      <c r="A40">
        <v>1912</v>
      </c>
      <c r="B40">
        <v>268</v>
      </c>
      <c r="C40">
        <v>31</v>
      </c>
      <c r="D40">
        <v>21</v>
      </c>
      <c r="E40">
        <v>15</v>
      </c>
      <c r="F40">
        <v>19</v>
      </c>
      <c r="G40">
        <v>6</v>
      </c>
      <c r="H40">
        <v>4</v>
      </c>
      <c r="I40">
        <v>2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f t="shared" si="0"/>
        <v>10</v>
      </c>
      <c r="Q40">
        <f t="shared" si="1"/>
        <v>2</v>
      </c>
      <c r="R40">
        <f t="shared" si="2"/>
        <v>0</v>
      </c>
      <c r="S40">
        <f t="shared" si="3"/>
        <v>2</v>
      </c>
    </row>
    <row r="41" spans="1:24" x14ac:dyDescent="0.25">
      <c r="A41">
        <v>1913</v>
      </c>
      <c r="B41">
        <v>268</v>
      </c>
      <c r="C41">
        <v>26</v>
      </c>
      <c r="D41">
        <v>21</v>
      </c>
      <c r="E41">
        <v>28</v>
      </c>
      <c r="F41">
        <v>14</v>
      </c>
      <c r="G41">
        <v>6</v>
      </c>
      <c r="H41">
        <v>2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f t="shared" si="0"/>
        <v>8</v>
      </c>
      <c r="Q41">
        <f t="shared" si="1"/>
        <v>0</v>
      </c>
      <c r="R41">
        <f t="shared" si="2"/>
        <v>0</v>
      </c>
      <c r="S41">
        <f t="shared" si="3"/>
        <v>0</v>
      </c>
    </row>
    <row r="42" spans="1:24" ht="18.75" x14ac:dyDescent="0.3">
      <c r="A42">
        <v>1914</v>
      </c>
      <c r="B42">
        <v>267</v>
      </c>
      <c r="C42">
        <v>26</v>
      </c>
      <c r="D42">
        <v>31</v>
      </c>
      <c r="E42">
        <v>20</v>
      </c>
      <c r="F42">
        <v>12</v>
      </c>
      <c r="G42">
        <v>4</v>
      </c>
      <c r="H42">
        <v>3</v>
      </c>
      <c r="I42">
        <v>1</v>
      </c>
      <c r="J42">
        <v>0</v>
      </c>
      <c r="K42">
        <v>1</v>
      </c>
      <c r="L42">
        <v>0</v>
      </c>
      <c r="M42">
        <v>0</v>
      </c>
      <c r="N42">
        <v>0</v>
      </c>
      <c r="O42">
        <v>0</v>
      </c>
      <c r="P42">
        <f t="shared" si="0"/>
        <v>7</v>
      </c>
      <c r="Q42">
        <f t="shared" si="1"/>
        <v>2</v>
      </c>
      <c r="R42">
        <f t="shared" si="2"/>
        <v>0</v>
      </c>
      <c r="S42">
        <f t="shared" si="3"/>
        <v>2</v>
      </c>
      <c r="W42" s="7" t="s">
        <v>15</v>
      </c>
      <c r="X42" s="7"/>
    </row>
    <row r="43" spans="1:24" ht="18.75" x14ac:dyDescent="0.3">
      <c r="A43">
        <v>1915</v>
      </c>
      <c r="B43">
        <v>272</v>
      </c>
      <c r="C43">
        <v>27</v>
      </c>
      <c r="D43">
        <v>20</v>
      </c>
      <c r="E43">
        <v>23</v>
      </c>
      <c r="F43">
        <v>15</v>
      </c>
      <c r="G43">
        <v>6</v>
      </c>
      <c r="H43">
        <v>2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f t="shared" si="0"/>
        <v>8</v>
      </c>
      <c r="Q43">
        <f t="shared" si="1"/>
        <v>0</v>
      </c>
      <c r="R43">
        <f t="shared" si="2"/>
        <v>0</v>
      </c>
      <c r="S43">
        <f t="shared" si="3"/>
        <v>0</v>
      </c>
      <c r="W43" s="7" t="s">
        <v>16</v>
      </c>
      <c r="X43" s="7" t="s">
        <v>17</v>
      </c>
    </row>
    <row r="44" spans="1:24" ht="18.75" x14ac:dyDescent="0.3">
      <c r="A44">
        <v>1916</v>
      </c>
      <c r="B44">
        <v>268</v>
      </c>
      <c r="C44">
        <v>28</v>
      </c>
      <c r="D44">
        <v>18</v>
      </c>
      <c r="E44">
        <v>26</v>
      </c>
      <c r="F44">
        <v>22</v>
      </c>
      <c r="G44">
        <v>4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f t="shared" si="0"/>
        <v>4</v>
      </c>
      <c r="Q44">
        <f t="shared" si="1"/>
        <v>0</v>
      </c>
      <c r="R44">
        <f t="shared" si="2"/>
        <v>0</v>
      </c>
      <c r="S44">
        <f t="shared" si="3"/>
        <v>0</v>
      </c>
      <c r="W44" s="7" t="s">
        <v>0</v>
      </c>
      <c r="X44" s="7" t="s">
        <v>18</v>
      </c>
    </row>
    <row r="45" spans="1:24" ht="18.75" x14ac:dyDescent="0.3">
      <c r="A45">
        <v>1917</v>
      </c>
      <c r="B45">
        <v>267</v>
      </c>
      <c r="C45">
        <v>23</v>
      </c>
      <c r="D45">
        <v>23</v>
      </c>
      <c r="E45">
        <v>24</v>
      </c>
      <c r="F45">
        <v>19</v>
      </c>
      <c r="G45">
        <v>4</v>
      </c>
      <c r="H45">
        <v>5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f t="shared" si="0"/>
        <v>9</v>
      </c>
      <c r="Q45">
        <f t="shared" si="1"/>
        <v>0</v>
      </c>
      <c r="R45">
        <f t="shared" si="2"/>
        <v>0</v>
      </c>
      <c r="S45">
        <f t="shared" si="3"/>
        <v>0</v>
      </c>
      <c r="W45" s="7" t="s">
        <v>1</v>
      </c>
      <c r="X45" s="7" t="s">
        <v>19</v>
      </c>
    </row>
    <row r="46" spans="1:24" ht="18.75" x14ac:dyDescent="0.3">
      <c r="A46">
        <v>1918</v>
      </c>
      <c r="B46">
        <v>272</v>
      </c>
      <c r="C46">
        <v>27</v>
      </c>
      <c r="D46">
        <v>25</v>
      </c>
      <c r="E46">
        <v>23</v>
      </c>
      <c r="F46">
        <v>14</v>
      </c>
      <c r="G46">
        <v>4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f t="shared" si="0"/>
        <v>4</v>
      </c>
      <c r="Q46">
        <f t="shared" si="1"/>
        <v>0</v>
      </c>
      <c r="R46">
        <f t="shared" si="2"/>
        <v>0</v>
      </c>
      <c r="S46">
        <f t="shared" si="3"/>
        <v>0</v>
      </c>
      <c r="W46" s="7" t="s">
        <v>2</v>
      </c>
      <c r="X46" s="7" t="s">
        <v>20</v>
      </c>
    </row>
    <row r="47" spans="1:24" ht="18.75" x14ac:dyDescent="0.3">
      <c r="A47">
        <v>1919</v>
      </c>
      <c r="B47">
        <v>253</v>
      </c>
      <c r="C47">
        <v>35</v>
      </c>
      <c r="D47">
        <v>21</v>
      </c>
      <c r="E47">
        <v>32</v>
      </c>
      <c r="F47">
        <v>15</v>
      </c>
      <c r="G47">
        <v>3</v>
      </c>
      <c r="H47">
        <v>4</v>
      </c>
      <c r="I47">
        <v>0</v>
      </c>
      <c r="J47">
        <v>1</v>
      </c>
      <c r="K47">
        <v>0</v>
      </c>
      <c r="L47">
        <v>0</v>
      </c>
      <c r="M47">
        <v>0</v>
      </c>
      <c r="N47">
        <v>0</v>
      </c>
      <c r="O47">
        <v>1</v>
      </c>
      <c r="P47">
        <f t="shared" si="0"/>
        <v>7</v>
      </c>
      <c r="Q47">
        <f t="shared" si="1"/>
        <v>1</v>
      </c>
      <c r="R47">
        <f t="shared" si="2"/>
        <v>1</v>
      </c>
      <c r="S47">
        <f t="shared" si="3"/>
        <v>2</v>
      </c>
      <c r="W47" s="7" t="s">
        <v>3</v>
      </c>
      <c r="X47" s="7" t="s">
        <v>21</v>
      </c>
    </row>
    <row r="48" spans="1:24" ht="18.75" x14ac:dyDescent="0.3">
      <c r="A48">
        <v>1920</v>
      </c>
      <c r="B48">
        <v>250</v>
      </c>
      <c r="C48">
        <v>33</v>
      </c>
      <c r="D48">
        <v>30</v>
      </c>
      <c r="E48">
        <v>23</v>
      </c>
      <c r="F48">
        <v>19</v>
      </c>
      <c r="G48">
        <v>8</v>
      </c>
      <c r="H48">
        <v>1</v>
      </c>
      <c r="I48">
        <v>1</v>
      </c>
      <c r="J48">
        <v>1</v>
      </c>
      <c r="K48">
        <v>0</v>
      </c>
      <c r="L48">
        <v>0</v>
      </c>
      <c r="M48">
        <v>0</v>
      </c>
      <c r="N48">
        <v>0</v>
      </c>
      <c r="O48">
        <v>0</v>
      </c>
      <c r="P48">
        <f t="shared" si="0"/>
        <v>9</v>
      </c>
      <c r="Q48">
        <f t="shared" si="1"/>
        <v>2</v>
      </c>
      <c r="R48">
        <f t="shared" si="2"/>
        <v>0</v>
      </c>
      <c r="S48">
        <f t="shared" si="3"/>
        <v>2</v>
      </c>
      <c r="W48" s="7" t="s">
        <v>4</v>
      </c>
      <c r="X48" s="7" t="s">
        <v>22</v>
      </c>
    </row>
    <row r="49" spans="1:24" ht="18.75" x14ac:dyDescent="0.3">
      <c r="A49">
        <v>1921</v>
      </c>
      <c r="B49">
        <v>277</v>
      </c>
      <c r="C49">
        <v>25</v>
      </c>
      <c r="D49">
        <v>22</v>
      </c>
      <c r="E49">
        <v>12</v>
      </c>
      <c r="F49">
        <v>20</v>
      </c>
      <c r="G49">
        <v>6</v>
      </c>
      <c r="H49">
        <v>3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f t="shared" si="0"/>
        <v>9</v>
      </c>
      <c r="Q49">
        <f t="shared" si="1"/>
        <v>0</v>
      </c>
      <c r="R49">
        <f t="shared" si="2"/>
        <v>0</v>
      </c>
      <c r="S49">
        <f t="shared" si="3"/>
        <v>0</v>
      </c>
      <c r="W49" s="7" t="s">
        <v>23</v>
      </c>
      <c r="X49" s="7" t="s">
        <v>37</v>
      </c>
    </row>
    <row r="50" spans="1:24" ht="18.75" x14ac:dyDescent="0.3">
      <c r="A50">
        <v>1922</v>
      </c>
      <c r="B50">
        <v>251</v>
      </c>
      <c r="C50">
        <v>34</v>
      </c>
      <c r="D50">
        <v>33</v>
      </c>
      <c r="E50">
        <v>22</v>
      </c>
      <c r="F50">
        <v>16</v>
      </c>
      <c r="G50">
        <v>6</v>
      </c>
      <c r="H50">
        <v>2</v>
      </c>
      <c r="I50">
        <v>0</v>
      </c>
      <c r="J50">
        <v>1</v>
      </c>
      <c r="K50">
        <v>0</v>
      </c>
      <c r="L50">
        <v>0</v>
      </c>
      <c r="M50">
        <v>0</v>
      </c>
      <c r="N50">
        <v>0</v>
      </c>
      <c r="O50">
        <v>0</v>
      </c>
      <c r="P50">
        <f t="shared" si="0"/>
        <v>8</v>
      </c>
      <c r="Q50">
        <f t="shared" si="1"/>
        <v>1</v>
      </c>
      <c r="R50">
        <f t="shared" si="2"/>
        <v>0</v>
      </c>
      <c r="S50">
        <f t="shared" si="3"/>
        <v>1</v>
      </c>
      <c r="W50" s="7" t="s">
        <v>25</v>
      </c>
      <c r="X50" s="7" t="s">
        <v>38</v>
      </c>
    </row>
    <row r="51" spans="1:24" x14ac:dyDescent="0.25">
      <c r="A51">
        <v>1923</v>
      </c>
      <c r="B51">
        <v>274</v>
      </c>
      <c r="C51">
        <v>16</v>
      </c>
      <c r="D51">
        <v>26</v>
      </c>
      <c r="E51">
        <v>22</v>
      </c>
      <c r="F51">
        <v>19</v>
      </c>
      <c r="G51">
        <v>5</v>
      </c>
      <c r="H51">
        <v>2</v>
      </c>
      <c r="I51">
        <v>0</v>
      </c>
      <c r="J51">
        <v>1</v>
      </c>
      <c r="K51">
        <v>0</v>
      </c>
      <c r="L51">
        <v>0</v>
      </c>
      <c r="M51">
        <v>0</v>
      </c>
      <c r="N51">
        <v>0</v>
      </c>
      <c r="O51">
        <v>0</v>
      </c>
      <c r="P51">
        <f t="shared" si="0"/>
        <v>7</v>
      </c>
      <c r="Q51">
        <f t="shared" si="1"/>
        <v>1</v>
      </c>
      <c r="R51">
        <f t="shared" si="2"/>
        <v>0</v>
      </c>
      <c r="S51">
        <f t="shared" si="3"/>
        <v>1</v>
      </c>
    </row>
    <row r="52" spans="1:24" x14ac:dyDescent="0.25">
      <c r="A52">
        <v>1924</v>
      </c>
      <c r="B52">
        <v>274</v>
      </c>
      <c r="C52">
        <v>20</v>
      </c>
      <c r="D52">
        <v>30</v>
      </c>
      <c r="E52">
        <v>16</v>
      </c>
      <c r="F52">
        <v>16</v>
      </c>
      <c r="G52">
        <v>6</v>
      </c>
      <c r="H52">
        <v>3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f t="shared" si="0"/>
        <v>9</v>
      </c>
      <c r="Q52">
        <f t="shared" si="1"/>
        <v>1</v>
      </c>
      <c r="R52">
        <f t="shared" si="2"/>
        <v>0</v>
      </c>
      <c r="S52">
        <f t="shared" si="3"/>
        <v>1</v>
      </c>
    </row>
    <row r="53" spans="1:24" x14ac:dyDescent="0.25">
      <c r="A53">
        <v>1925</v>
      </c>
      <c r="B53">
        <v>269</v>
      </c>
      <c r="C53">
        <v>34</v>
      </c>
      <c r="D53">
        <v>20</v>
      </c>
      <c r="E53">
        <v>18</v>
      </c>
      <c r="F53">
        <v>16</v>
      </c>
      <c r="G53">
        <v>6</v>
      </c>
      <c r="H53">
        <v>0</v>
      </c>
      <c r="I53">
        <v>2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f t="shared" si="0"/>
        <v>6</v>
      </c>
      <c r="Q53">
        <f t="shared" si="1"/>
        <v>2</v>
      </c>
      <c r="R53">
        <f t="shared" si="2"/>
        <v>0</v>
      </c>
      <c r="S53">
        <f t="shared" si="3"/>
        <v>2</v>
      </c>
    </row>
    <row r="54" spans="1:24" x14ac:dyDescent="0.25">
      <c r="A54">
        <v>1926</v>
      </c>
      <c r="B54">
        <v>267</v>
      </c>
      <c r="C54">
        <v>31</v>
      </c>
      <c r="D54">
        <v>20</v>
      </c>
      <c r="E54">
        <v>15</v>
      </c>
      <c r="F54">
        <v>23</v>
      </c>
      <c r="G54">
        <v>6</v>
      </c>
      <c r="H54">
        <v>1</v>
      </c>
      <c r="I54">
        <v>1</v>
      </c>
      <c r="J54">
        <v>0</v>
      </c>
      <c r="K54">
        <v>1</v>
      </c>
      <c r="L54">
        <v>0</v>
      </c>
      <c r="M54">
        <v>0</v>
      </c>
      <c r="N54">
        <v>0</v>
      </c>
      <c r="O54">
        <v>0</v>
      </c>
      <c r="P54">
        <f t="shared" si="0"/>
        <v>7</v>
      </c>
      <c r="Q54">
        <f t="shared" si="1"/>
        <v>2</v>
      </c>
      <c r="R54">
        <f t="shared" si="2"/>
        <v>0</v>
      </c>
      <c r="S54">
        <f t="shared" si="3"/>
        <v>2</v>
      </c>
    </row>
    <row r="55" spans="1:24" x14ac:dyDescent="0.25">
      <c r="A55">
        <v>1927</v>
      </c>
      <c r="B55">
        <v>265</v>
      </c>
      <c r="C55">
        <v>32</v>
      </c>
      <c r="D55">
        <v>27</v>
      </c>
      <c r="E55">
        <v>19</v>
      </c>
      <c r="F55">
        <v>10</v>
      </c>
      <c r="G55">
        <v>4</v>
      </c>
      <c r="H55">
        <v>6</v>
      </c>
      <c r="I55">
        <v>1</v>
      </c>
      <c r="J55">
        <v>1</v>
      </c>
      <c r="K55">
        <v>0</v>
      </c>
      <c r="L55">
        <v>0</v>
      </c>
      <c r="M55">
        <v>0</v>
      </c>
      <c r="N55">
        <v>0</v>
      </c>
      <c r="O55">
        <v>0</v>
      </c>
      <c r="P55">
        <f t="shared" si="0"/>
        <v>10</v>
      </c>
      <c r="Q55">
        <f t="shared" si="1"/>
        <v>2</v>
      </c>
      <c r="R55">
        <f t="shared" si="2"/>
        <v>0</v>
      </c>
      <c r="S55">
        <f t="shared" si="3"/>
        <v>2</v>
      </c>
    </row>
    <row r="56" spans="1:24" x14ac:dyDescent="0.25">
      <c r="A56">
        <v>1928</v>
      </c>
      <c r="B56">
        <v>265</v>
      </c>
      <c r="C56">
        <v>29</v>
      </c>
      <c r="D56">
        <v>19</v>
      </c>
      <c r="E56">
        <v>29</v>
      </c>
      <c r="F56">
        <v>14</v>
      </c>
      <c r="G56">
        <v>5</v>
      </c>
      <c r="H56">
        <v>2</v>
      </c>
      <c r="I56">
        <v>1</v>
      </c>
      <c r="J56">
        <v>1</v>
      </c>
      <c r="K56">
        <v>0</v>
      </c>
      <c r="L56">
        <v>1</v>
      </c>
      <c r="M56">
        <v>0</v>
      </c>
      <c r="N56">
        <v>0</v>
      </c>
      <c r="O56">
        <v>0</v>
      </c>
      <c r="P56">
        <f t="shared" si="0"/>
        <v>7</v>
      </c>
      <c r="Q56">
        <f t="shared" si="1"/>
        <v>2</v>
      </c>
      <c r="R56">
        <f t="shared" si="2"/>
        <v>1</v>
      </c>
      <c r="S56">
        <f t="shared" si="3"/>
        <v>3</v>
      </c>
    </row>
    <row r="57" spans="1:24" x14ac:dyDescent="0.25">
      <c r="A57">
        <v>1929</v>
      </c>
      <c r="B57">
        <v>265</v>
      </c>
      <c r="C57">
        <v>36</v>
      </c>
      <c r="D57">
        <v>20</v>
      </c>
      <c r="E57">
        <v>18</v>
      </c>
      <c r="F57">
        <v>18</v>
      </c>
      <c r="G57">
        <v>7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f t="shared" si="0"/>
        <v>8</v>
      </c>
      <c r="Q57">
        <f t="shared" si="1"/>
        <v>0</v>
      </c>
      <c r="R57">
        <f t="shared" si="2"/>
        <v>0</v>
      </c>
      <c r="S57">
        <f t="shared" si="3"/>
        <v>0</v>
      </c>
    </row>
    <row r="58" spans="1:24" x14ac:dyDescent="0.25">
      <c r="A58">
        <v>1930</v>
      </c>
      <c r="B58">
        <v>277</v>
      </c>
      <c r="C58">
        <v>19</v>
      </c>
      <c r="D58">
        <v>27</v>
      </c>
      <c r="E58">
        <v>24</v>
      </c>
      <c r="F58">
        <v>13</v>
      </c>
      <c r="G58">
        <v>4</v>
      </c>
      <c r="H58">
        <v>0</v>
      </c>
      <c r="I58">
        <v>0</v>
      </c>
      <c r="J58">
        <v>1</v>
      </c>
      <c r="K58">
        <v>0</v>
      </c>
      <c r="L58">
        <v>0</v>
      </c>
      <c r="M58">
        <v>0</v>
      </c>
      <c r="N58">
        <v>0</v>
      </c>
      <c r="O58">
        <v>0</v>
      </c>
      <c r="P58">
        <f t="shared" si="0"/>
        <v>4</v>
      </c>
      <c r="Q58">
        <f t="shared" si="1"/>
        <v>1</v>
      </c>
      <c r="R58">
        <f t="shared" si="2"/>
        <v>0</v>
      </c>
      <c r="S58">
        <f t="shared" si="3"/>
        <v>1</v>
      </c>
    </row>
    <row r="59" spans="1:24" x14ac:dyDescent="0.25">
      <c r="A59">
        <v>1931</v>
      </c>
      <c r="B59">
        <v>282</v>
      </c>
      <c r="C59">
        <v>29</v>
      </c>
      <c r="D59">
        <v>21</v>
      </c>
      <c r="E59">
        <v>12</v>
      </c>
      <c r="F59">
        <v>14</v>
      </c>
      <c r="G59">
        <v>3</v>
      </c>
      <c r="H59">
        <v>4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f t="shared" si="0"/>
        <v>7</v>
      </c>
      <c r="Q59">
        <f t="shared" si="1"/>
        <v>0</v>
      </c>
      <c r="R59">
        <f t="shared" si="2"/>
        <v>0</v>
      </c>
      <c r="S59">
        <f t="shared" si="3"/>
        <v>0</v>
      </c>
    </row>
    <row r="60" spans="1:24" x14ac:dyDescent="0.25">
      <c r="A60">
        <v>1932</v>
      </c>
      <c r="B60">
        <v>263</v>
      </c>
      <c r="C60">
        <v>29</v>
      </c>
      <c r="D60">
        <v>25</v>
      </c>
      <c r="E60">
        <v>17</v>
      </c>
      <c r="F60">
        <v>18</v>
      </c>
      <c r="G60">
        <v>9</v>
      </c>
      <c r="H60">
        <v>3</v>
      </c>
      <c r="I60">
        <v>2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f t="shared" si="0"/>
        <v>12</v>
      </c>
      <c r="Q60">
        <f t="shared" si="1"/>
        <v>2</v>
      </c>
      <c r="R60">
        <f t="shared" si="2"/>
        <v>0</v>
      </c>
      <c r="S60">
        <f t="shared" si="3"/>
        <v>2</v>
      </c>
    </row>
    <row r="61" spans="1:24" x14ac:dyDescent="0.25">
      <c r="A61">
        <v>1933</v>
      </c>
      <c r="B61">
        <v>255</v>
      </c>
      <c r="C61">
        <v>30</v>
      </c>
      <c r="D61">
        <v>23</v>
      </c>
      <c r="E61">
        <v>24</v>
      </c>
      <c r="F61">
        <v>22</v>
      </c>
      <c r="G61">
        <v>8</v>
      </c>
      <c r="H61">
        <v>1</v>
      </c>
      <c r="I61">
        <v>0</v>
      </c>
      <c r="J61">
        <v>1</v>
      </c>
      <c r="K61">
        <v>0</v>
      </c>
      <c r="L61">
        <v>0</v>
      </c>
      <c r="M61">
        <v>0</v>
      </c>
      <c r="N61">
        <v>0</v>
      </c>
      <c r="O61">
        <v>1</v>
      </c>
      <c r="P61">
        <f t="shared" si="0"/>
        <v>9</v>
      </c>
      <c r="Q61">
        <f t="shared" si="1"/>
        <v>1</v>
      </c>
      <c r="R61">
        <f t="shared" si="2"/>
        <v>1</v>
      </c>
      <c r="S61">
        <f t="shared" si="3"/>
        <v>2</v>
      </c>
    </row>
    <row r="62" spans="1:24" ht="18.75" x14ac:dyDescent="0.3">
      <c r="A62">
        <v>1934</v>
      </c>
      <c r="B62">
        <v>269</v>
      </c>
      <c r="C62">
        <v>26</v>
      </c>
      <c r="D62">
        <v>18</v>
      </c>
      <c r="E62">
        <v>23</v>
      </c>
      <c r="F62">
        <v>17</v>
      </c>
      <c r="G62">
        <v>11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f t="shared" si="0"/>
        <v>11</v>
      </c>
      <c r="Q62">
        <f t="shared" si="1"/>
        <v>1</v>
      </c>
      <c r="R62">
        <f t="shared" si="2"/>
        <v>0</v>
      </c>
      <c r="S62">
        <f t="shared" si="3"/>
        <v>1</v>
      </c>
      <c r="W62" s="7" t="s">
        <v>15</v>
      </c>
      <c r="X62" s="7"/>
    </row>
    <row r="63" spans="1:24" ht="18.75" x14ac:dyDescent="0.3">
      <c r="A63">
        <v>1935</v>
      </c>
      <c r="B63">
        <v>259</v>
      </c>
      <c r="C63">
        <v>30</v>
      </c>
      <c r="D63">
        <v>28</v>
      </c>
      <c r="E63">
        <v>20</v>
      </c>
      <c r="F63">
        <v>18</v>
      </c>
      <c r="G63">
        <v>4</v>
      </c>
      <c r="H63">
        <v>1</v>
      </c>
      <c r="I63">
        <v>0</v>
      </c>
      <c r="J63">
        <v>1</v>
      </c>
      <c r="K63">
        <v>2</v>
      </c>
      <c r="L63">
        <v>1</v>
      </c>
      <c r="M63">
        <v>0</v>
      </c>
      <c r="N63">
        <v>0</v>
      </c>
      <c r="O63">
        <v>1</v>
      </c>
      <c r="P63">
        <f t="shared" si="0"/>
        <v>5</v>
      </c>
      <c r="Q63">
        <f t="shared" si="1"/>
        <v>3</v>
      </c>
      <c r="R63">
        <f t="shared" si="2"/>
        <v>2</v>
      </c>
      <c r="S63">
        <f t="shared" si="3"/>
        <v>5</v>
      </c>
      <c r="W63" s="7" t="s">
        <v>16</v>
      </c>
      <c r="X63" s="7" t="s">
        <v>17</v>
      </c>
    </row>
    <row r="64" spans="1:24" ht="18.75" x14ac:dyDescent="0.3">
      <c r="A64">
        <v>1936</v>
      </c>
      <c r="B64">
        <v>255</v>
      </c>
      <c r="C64">
        <v>45</v>
      </c>
      <c r="D64">
        <v>9</v>
      </c>
      <c r="E64">
        <v>26</v>
      </c>
      <c r="F64">
        <v>19</v>
      </c>
      <c r="G64">
        <v>7</v>
      </c>
      <c r="H64">
        <v>3</v>
      </c>
      <c r="I64">
        <v>1</v>
      </c>
      <c r="J64">
        <v>0</v>
      </c>
      <c r="K64">
        <v>0</v>
      </c>
      <c r="L64">
        <v>1</v>
      </c>
      <c r="M64">
        <v>0</v>
      </c>
      <c r="N64">
        <v>0</v>
      </c>
      <c r="O64">
        <v>0</v>
      </c>
      <c r="P64">
        <f t="shared" si="0"/>
        <v>10</v>
      </c>
      <c r="Q64">
        <f t="shared" si="1"/>
        <v>1</v>
      </c>
      <c r="R64">
        <f t="shared" si="2"/>
        <v>1</v>
      </c>
      <c r="S64">
        <f t="shared" si="3"/>
        <v>2</v>
      </c>
      <c r="W64" s="7" t="s">
        <v>0</v>
      </c>
      <c r="X64" s="7" t="s">
        <v>18</v>
      </c>
    </row>
    <row r="65" spans="1:24" ht="18.75" x14ac:dyDescent="0.3">
      <c r="A65">
        <v>1937</v>
      </c>
      <c r="B65">
        <v>251</v>
      </c>
      <c r="C65">
        <v>40</v>
      </c>
      <c r="D65">
        <v>29</v>
      </c>
      <c r="E65">
        <v>20</v>
      </c>
      <c r="F65">
        <v>15</v>
      </c>
      <c r="G65">
        <v>6</v>
      </c>
      <c r="H65">
        <v>2</v>
      </c>
      <c r="I65">
        <v>0</v>
      </c>
      <c r="J65">
        <v>1</v>
      </c>
      <c r="K65">
        <v>1</v>
      </c>
      <c r="L65">
        <v>0</v>
      </c>
      <c r="M65">
        <v>0</v>
      </c>
      <c r="N65">
        <v>0</v>
      </c>
      <c r="O65">
        <v>0</v>
      </c>
      <c r="P65">
        <f t="shared" si="0"/>
        <v>8</v>
      </c>
      <c r="Q65">
        <f t="shared" si="1"/>
        <v>2</v>
      </c>
      <c r="R65">
        <f t="shared" si="2"/>
        <v>0</v>
      </c>
      <c r="S65">
        <f t="shared" si="3"/>
        <v>2</v>
      </c>
      <c r="W65" s="7" t="s">
        <v>1</v>
      </c>
      <c r="X65" s="7" t="s">
        <v>19</v>
      </c>
    </row>
    <row r="66" spans="1:24" ht="18.75" x14ac:dyDescent="0.3">
      <c r="A66">
        <v>1938</v>
      </c>
      <c r="B66">
        <v>253</v>
      </c>
      <c r="C66">
        <v>35</v>
      </c>
      <c r="D66">
        <v>28</v>
      </c>
      <c r="E66">
        <v>24</v>
      </c>
      <c r="F66">
        <v>13</v>
      </c>
      <c r="G66">
        <v>6</v>
      </c>
      <c r="H66">
        <v>2</v>
      </c>
      <c r="I66">
        <v>1</v>
      </c>
      <c r="J66">
        <v>0</v>
      </c>
      <c r="K66">
        <v>2</v>
      </c>
      <c r="L66">
        <v>1</v>
      </c>
      <c r="M66">
        <v>0</v>
      </c>
      <c r="N66">
        <v>0</v>
      </c>
      <c r="O66">
        <v>0</v>
      </c>
      <c r="P66">
        <f t="shared" si="0"/>
        <v>8</v>
      </c>
      <c r="Q66">
        <f t="shared" si="1"/>
        <v>3</v>
      </c>
      <c r="R66">
        <f t="shared" si="2"/>
        <v>1</v>
      </c>
      <c r="S66">
        <f t="shared" si="3"/>
        <v>4</v>
      </c>
      <c r="W66" s="7" t="s">
        <v>2</v>
      </c>
      <c r="X66" s="7" t="s">
        <v>20</v>
      </c>
    </row>
    <row r="67" spans="1:24" ht="18.75" x14ac:dyDescent="0.3">
      <c r="A67">
        <v>1939</v>
      </c>
      <c r="B67">
        <v>270</v>
      </c>
      <c r="C67">
        <v>24</v>
      </c>
      <c r="D67">
        <v>28</v>
      </c>
      <c r="E67">
        <v>11</v>
      </c>
      <c r="F67">
        <v>21</v>
      </c>
      <c r="G67">
        <v>3</v>
      </c>
      <c r="H67">
        <v>7</v>
      </c>
      <c r="I67">
        <v>0</v>
      </c>
      <c r="J67">
        <v>0</v>
      </c>
      <c r="K67">
        <v>0</v>
      </c>
      <c r="L67">
        <v>0</v>
      </c>
      <c r="M67">
        <v>1</v>
      </c>
      <c r="N67">
        <v>0</v>
      </c>
      <c r="O67">
        <v>0</v>
      </c>
      <c r="P67">
        <f t="shared" ref="P67:P130" si="4">SUM(G67:H67)</f>
        <v>10</v>
      </c>
      <c r="Q67">
        <f t="shared" ref="Q67:Q130" si="5">SUM(I67:K67)</f>
        <v>0</v>
      </c>
      <c r="R67">
        <f t="shared" ref="R67:R130" si="6">SUM(L67:O67)</f>
        <v>1</v>
      </c>
      <c r="S67">
        <f t="shared" ref="S67:S130" si="7">SUM(Q67:R67)</f>
        <v>1</v>
      </c>
      <c r="W67" s="7" t="s">
        <v>3</v>
      </c>
      <c r="X67" s="7" t="s">
        <v>21</v>
      </c>
    </row>
    <row r="68" spans="1:24" ht="18.75" x14ac:dyDescent="0.3">
      <c r="A68">
        <v>1940</v>
      </c>
      <c r="B68">
        <v>255</v>
      </c>
      <c r="C68">
        <v>33</v>
      </c>
      <c r="D68">
        <v>32</v>
      </c>
      <c r="E68">
        <v>17</v>
      </c>
      <c r="F68">
        <v>20</v>
      </c>
      <c r="G68">
        <v>7</v>
      </c>
      <c r="H68">
        <v>1</v>
      </c>
      <c r="I68">
        <v>0</v>
      </c>
      <c r="J68">
        <v>0</v>
      </c>
      <c r="K68">
        <v>1</v>
      </c>
      <c r="L68">
        <v>0</v>
      </c>
      <c r="M68">
        <v>0</v>
      </c>
      <c r="N68">
        <v>0</v>
      </c>
      <c r="O68">
        <v>0</v>
      </c>
      <c r="P68">
        <f t="shared" si="4"/>
        <v>8</v>
      </c>
      <c r="Q68">
        <f t="shared" si="5"/>
        <v>1</v>
      </c>
      <c r="R68">
        <f t="shared" si="6"/>
        <v>0</v>
      </c>
      <c r="S68">
        <f t="shared" si="7"/>
        <v>1</v>
      </c>
      <c r="W68" s="7" t="s">
        <v>4</v>
      </c>
      <c r="X68" s="7" t="s">
        <v>22</v>
      </c>
    </row>
    <row r="69" spans="1:24" ht="18.75" x14ac:dyDescent="0.3">
      <c r="A69">
        <v>1941</v>
      </c>
      <c r="B69">
        <v>296</v>
      </c>
      <c r="C69">
        <v>18</v>
      </c>
      <c r="D69">
        <v>16</v>
      </c>
      <c r="E69">
        <v>15</v>
      </c>
      <c r="F69">
        <v>11</v>
      </c>
      <c r="G69">
        <v>3</v>
      </c>
      <c r="H69">
        <v>3</v>
      </c>
      <c r="I69">
        <v>3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f t="shared" si="4"/>
        <v>6</v>
      </c>
      <c r="Q69">
        <f t="shared" si="5"/>
        <v>3</v>
      </c>
      <c r="R69">
        <f t="shared" si="6"/>
        <v>0</v>
      </c>
      <c r="S69">
        <f t="shared" si="7"/>
        <v>3</v>
      </c>
      <c r="W69" s="7" t="s">
        <v>23</v>
      </c>
      <c r="X69" s="7" t="s">
        <v>37</v>
      </c>
    </row>
    <row r="70" spans="1:24" ht="18.75" x14ac:dyDescent="0.3">
      <c r="A70">
        <v>1942</v>
      </c>
      <c r="B70">
        <v>265</v>
      </c>
      <c r="C70">
        <v>21</v>
      </c>
      <c r="D70">
        <v>20</v>
      </c>
      <c r="E70">
        <v>25</v>
      </c>
      <c r="F70">
        <v>24</v>
      </c>
      <c r="G70">
        <v>6</v>
      </c>
      <c r="H70">
        <v>2</v>
      </c>
      <c r="I70">
        <v>1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  <c r="P70">
        <f t="shared" si="4"/>
        <v>8</v>
      </c>
      <c r="Q70">
        <f t="shared" si="5"/>
        <v>2</v>
      </c>
      <c r="R70">
        <f t="shared" si="6"/>
        <v>0</v>
      </c>
      <c r="S70">
        <f t="shared" si="7"/>
        <v>2</v>
      </c>
      <c r="W70" s="7" t="s">
        <v>25</v>
      </c>
      <c r="X70" s="7" t="s">
        <v>38</v>
      </c>
    </row>
    <row r="71" spans="1:24" x14ac:dyDescent="0.25">
      <c r="A71">
        <v>1943</v>
      </c>
      <c r="B71">
        <v>277</v>
      </c>
      <c r="C71">
        <v>27</v>
      </c>
      <c r="D71">
        <v>20</v>
      </c>
      <c r="E71">
        <v>18</v>
      </c>
      <c r="F71">
        <v>14</v>
      </c>
      <c r="G71">
        <v>4</v>
      </c>
      <c r="H71">
        <v>3</v>
      </c>
      <c r="I71">
        <v>1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f t="shared" si="4"/>
        <v>7</v>
      </c>
      <c r="Q71">
        <f t="shared" si="5"/>
        <v>1</v>
      </c>
      <c r="R71">
        <f t="shared" si="6"/>
        <v>1</v>
      </c>
      <c r="S71">
        <f t="shared" si="7"/>
        <v>2</v>
      </c>
    </row>
    <row r="72" spans="1:24" x14ac:dyDescent="0.25">
      <c r="A72">
        <v>1944</v>
      </c>
      <c r="B72">
        <v>274</v>
      </c>
      <c r="C72">
        <v>25</v>
      </c>
      <c r="D72">
        <v>17</v>
      </c>
      <c r="E72">
        <v>21</v>
      </c>
      <c r="F72">
        <v>16</v>
      </c>
      <c r="G72">
        <v>4</v>
      </c>
      <c r="H72">
        <v>3</v>
      </c>
      <c r="I72">
        <v>3</v>
      </c>
      <c r="J72">
        <v>1</v>
      </c>
      <c r="K72">
        <v>2</v>
      </c>
      <c r="L72">
        <v>0</v>
      </c>
      <c r="M72">
        <v>0</v>
      </c>
      <c r="N72">
        <v>0</v>
      </c>
      <c r="O72">
        <v>0</v>
      </c>
      <c r="P72">
        <f t="shared" si="4"/>
        <v>7</v>
      </c>
      <c r="Q72">
        <f t="shared" si="5"/>
        <v>6</v>
      </c>
      <c r="R72">
        <f t="shared" si="6"/>
        <v>0</v>
      </c>
      <c r="S72">
        <f t="shared" si="7"/>
        <v>6</v>
      </c>
    </row>
    <row r="73" spans="1:24" x14ac:dyDescent="0.25">
      <c r="A73">
        <v>1945</v>
      </c>
      <c r="B73">
        <v>253</v>
      </c>
      <c r="C73">
        <v>26</v>
      </c>
      <c r="D73">
        <v>35</v>
      </c>
      <c r="E73">
        <v>21</v>
      </c>
      <c r="F73">
        <v>18</v>
      </c>
      <c r="G73">
        <v>9</v>
      </c>
      <c r="H73">
        <v>0</v>
      </c>
      <c r="I73">
        <v>2</v>
      </c>
      <c r="J73">
        <v>0</v>
      </c>
      <c r="K73">
        <v>1</v>
      </c>
      <c r="L73">
        <v>0</v>
      </c>
      <c r="M73">
        <v>0</v>
      </c>
      <c r="N73">
        <v>0</v>
      </c>
      <c r="O73">
        <v>0</v>
      </c>
      <c r="P73">
        <f t="shared" si="4"/>
        <v>9</v>
      </c>
      <c r="Q73">
        <f t="shared" si="5"/>
        <v>3</v>
      </c>
      <c r="R73">
        <f t="shared" si="6"/>
        <v>0</v>
      </c>
      <c r="S73">
        <f t="shared" si="7"/>
        <v>3</v>
      </c>
    </row>
    <row r="74" spans="1:24" x14ac:dyDescent="0.25">
      <c r="A74">
        <v>1946</v>
      </c>
      <c r="B74">
        <v>271</v>
      </c>
      <c r="C74">
        <v>31</v>
      </c>
      <c r="D74">
        <v>27</v>
      </c>
      <c r="E74">
        <v>13</v>
      </c>
      <c r="F74">
        <v>20</v>
      </c>
      <c r="G74">
        <v>1</v>
      </c>
      <c r="H74">
        <v>0</v>
      </c>
      <c r="I74">
        <v>1</v>
      </c>
      <c r="J74">
        <v>0</v>
      </c>
      <c r="K74">
        <v>1</v>
      </c>
      <c r="L74">
        <v>0</v>
      </c>
      <c r="M74">
        <v>0</v>
      </c>
      <c r="N74">
        <v>0</v>
      </c>
      <c r="O74">
        <v>0</v>
      </c>
      <c r="P74">
        <f t="shared" si="4"/>
        <v>1</v>
      </c>
      <c r="Q74">
        <f t="shared" si="5"/>
        <v>2</v>
      </c>
      <c r="R74">
        <f t="shared" si="6"/>
        <v>0</v>
      </c>
      <c r="S74">
        <f t="shared" si="7"/>
        <v>2</v>
      </c>
    </row>
    <row r="75" spans="1:24" x14ac:dyDescent="0.25">
      <c r="A75">
        <v>1947</v>
      </c>
      <c r="B75">
        <v>273</v>
      </c>
      <c r="C75">
        <v>23</v>
      </c>
      <c r="D75">
        <v>21</v>
      </c>
      <c r="E75">
        <v>24</v>
      </c>
      <c r="F75">
        <v>21</v>
      </c>
      <c r="G75">
        <v>2</v>
      </c>
      <c r="H75">
        <v>1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f t="shared" si="4"/>
        <v>3</v>
      </c>
      <c r="Q75">
        <f t="shared" si="5"/>
        <v>0</v>
      </c>
      <c r="R75">
        <f t="shared" si="6"/>
        <v>0</v>
      </c>
      <c r="S75">
        <f t="shared" si="7"/>
        <v>0</v>
      </c>
    </row>
    <row r="76" spans="1:24" x14ac:dyDescent="0.25">
      <c r="A76">
        <v>1948</v>
      </c>
      <c r="B76">
        <v>254</v>
      </c>
      <c r="C76">
        <v>27</v>
      </c>
      <c r="D76">
        <v>18</v>
      </c>
      <c r="E76">
        <v>26</v>
      </c>
      <c r="F76">
        <v>25</v>
      </c>
      <c r="G76">
        <v>9</v>
      </c>
      <c r="H76">
        <v>2</v>
      </c>
      <c r="I76">
        <v>1</v>
      </c>
      <c r="J76">
        <v>1</v>
      </c>
      <c r="K76">
        <v>2</v>
      </c>
      <c r="L76">
        <v>1</v>
      </c>
      <c r="M76">
        <v>0</v>
      </c>
      <c r="N76">
        <v>0</v>
      </c>
      <c r="O76">
        <v>0</v>
      </c>
      <c r="P76">
        <f t="shared" si="4"/>
        <v>11</v>
      </c>
      <c r="Q76">
        <f t="shared" si="5"/>
        <v>4</v>
      </c>
      <c r="R76">
        <f t="shared" si="6"/>
        <v>1</v>
      </c>
      <c r="S76">
        <f t="shared" si="7"/>
        <v>5</v>
      </c>
    </row>
    <row r="77" spans="1:24" x14ac:dyDescent="0.25">
      <c r="A77">
        <v>1949</v>
      </c>
      <c r="B77">
        <v>258</v>
      </c>
      <c r="C77">
        <v>30</v>
      </c>
      <c r="D77">
        <v>29</v>
      </c>
      <c r="E77">
        <v>23</v>
      </c>
      <c r="F77">
        <v>16</v>
      </c>
      <c r="G77">
        <v>5</v>
      </c>
      <c r="H77">
        <v>2</v>
      </c>
      <c r="I77">
        <v>2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f t="shared" si="4"/>
        <v>7</v>
      </c>
      <c r="Q77">
        <f t="shared" si="5"/>
        <v>2</v>
      </c>
      <c r="R77">
        <f t="shared" si="6"/>
        <v>0</v>
      </c>
      <c r="S77">
        <f t="shared" si="7"/>
        <v>2</v>
      </c>
    </row>
    <row r="78" spans="1:24" x14ac:dyDescent="0.25">
      <c r="A78">
        <v>1950</v>
      </c>
      <c r="B78">
        <v>252</v>
      </c>
      <c r="C78">
        <v>32</v>
      </c>
      <c r="D78">
        <v>31</v>
      </c>
      <c r="E78">
        <v>30</v>
      </c>
      <c r="F78">
        <v>13</v>
      </c>
      <c r="G78">
        <v>4</v>
      </c>
      <c r="H78">
        <v>1</v>
      </c>
      <c r="I78">
        <v>1</v>
      </c>
      <c r="J78">
        <v>1</v>
      </c>
      <c r="K78">
        <v>0</v>
      </c>
      <c r="L78">
        <v>0</v>
      </c>
      <c r="M78">
        <v>0</v>
      </c>
      <c r="N78">
        <v>0</v>
      </c>
      <c r="O78">
        <v>0</v>
      </c>
      <c r="P78">
        <f t="shared" si="4"/>
        <v>5</v>
      </c>
      <c r="Q78">
        <f t="shared" si="5"/>
        <v>2</v>
      </c>
      <c r="R78">
        <f t="shared" si="6"/>
        <v>0</v>
      </c>
      <c r="S78">
        <f t="shared" si="7"/>
        <v>2</v>
      </c>
    </row>
    <row r="79" spans="1:24" x14ac:dyDescent="0.25">
      <c r="A79">
        <v>1951</v>
      </c>
      <c r="B79">
        <v>274</v>
      </c>
      <c r="C79">
        <v>24</v>
      </c>
      <c r="D79">
        <v>23</v>
      </c>
      <c r="E79">
        <v>19</v>
      </c>
      <c r="F79">
        <v>18</v>
      </c>
      <c r="G79">
        <v>4</v>
      </c>
      <c r="H79">
        <v>1</v>
      </c>
      <c r="I79">
        <v>1</v>
      </c>
      <c r="J79">
        <v>0</v>
      </c>
      <c r="K79">
        <v>1</v>
      </c>
      <c r="L79">
        <v>0</v>
      </c>
      <c r="M79">
        <v>0</v>
      </c>
      <c r="N79">
        <v>0</v>
      </c>
      <c r="O79">
        <v>0</v>
      </c>
      <c r="P79">
        <f t="shared" si="4"/>
        <v>5</v>
      </c>
      <c r="Q79">
        <f t="shared" si="5"/>
        <v>2</v>
      </c>
      <c r="R79">
        <f t="shared" si="6"/>
        <v>0</v>
      </c>
      <c r="S79">
        <f t="shared" si="7"/>
        <v>2</v>
      </c>
    </row>
    <row r="80" spans="1:24" x14ac:dyDescent="0.25">
      <c r="A80">
        <v>1952</v>
      </c>
      <c r="B80">
        <v>266</v>
      </c>
      <c r="C80">
        <v>27</v>
      </c>
      <c r="D80">
        <v>16</v>
      </c>
      <c r="E80">
        <v>27</v>
      </c>
      <c r="F80">
        <v>20</v>
      </c>
      <c r="G80">
        <v>4</v>
      </c>
      <c r="H80">
        <v>5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f t="shared" si="4"/>
        <v>9</v>
      </c>
      <c r="Q80">
        <f t="shared" si="5"/>
        <v>0</v>
      </c>
      <c r="R80">
        <f t="shared" si="6"/>
        <v>1</v>
      </c>
      <c r="S80">
        <f t="shared" si="7"/>
        <v>1</v>
      </c>
    </row>
    <row r="81" spans="1:24" x14ac:dyDescent="0.25">
      <c r="A81">
        <v>1953</v>
      </c>
      <c r="B81">
        <v>270</v>
      </c>
      <c r="C81">
        <v>20</v>
      </c>
      <c r="D81">
        <v>25</v>
      </c>
      <c r="E81">
        <v>17</v>
      </c>
      <c r="F81">
        <v>19</v>
      </c>
      <c r="G81">
        <v>3</v>
      </c>
      <c r="H81">
        <v>7</v>
      </c>
      <c r="I81">
        <v>1</v>
      </c>
      <c r="J81">
        <v>2</v>
      </c>
      <c r="K81">
        <v>0</v>
      </c>
      <c r="L81">
        <v>0</v>
      </c>
      <c r="M81">
        <v>0</v>
      </c>
      <c r="N81">
        <v>0</v>
      </c>
      <c r="O81">
        <v>1</v>
      </c>
      <c r="P81">
        <f t="shared" si="4"/>
        <v>10</v>
      </c>
      <c r="Q81">
        <f t="shared" si="5"/>
        <v>3</v>
      </c>
      <c r="R81">
        <f t="shared" si="6"/>
        <v>1</v>
      </c>
      <c r="S81">
        <f t="shared" si="7"/>
        <v>4</v>
      </c>
    </row>
    <row r="82" spans="1:24" x14ac:dyDescent="0.25">
      <c r="A82">
        <v>1954</v>
      </c>
      <c r="B82">
        <v>269</v>
      </c>
      <c r="C82">
        <v>37</v>
      </c>
      <c r="D82">
        <v>21</v>
      </c>
      <c r="E82">
        <v>16</v>
      </c>
      <c r="F82">
        <v>15</v>
      </c>
      <c r="G82">
        <v>4</v>
      </c>
      <c r="H82">
        <v>1</v>
      </c>
      <c r="I82">
        <v>1</v>
      </c>
      <c r="J82">
        <v>1</v>
      </c>
      <c r="K82">
        <v>0</v>
      </c>
      <c r="L82">
        <v>0</v>
      </c>
      <c r="M82">
        <v>0</v>
      </c>
      <c r="N82">
        <v>0</v>
      </c>
      <c r="O82">
        <v>0</v>
      </c>
      <c r="P82">
        <f t="shared" si="4"/>
        <v>5</v>
      </c>
      <c r="Q82">
        <f t="shared" si="5"/>
        <v>2</v>
      </c>
      <c r="R82">
        <f t="shared" si="6"/>
        <v>0</v>
      </c>
      <c r="S82">
        <f t="shared" si="7"/>
        <v>2</v>
      </c>
    </row>
    <row r="83" spans="1:24" x14ac:dyDescent="0.25">
      <c r="A83">
        <v>1955</v>
      </c>
      <c r="B83">
        <v>289</v>
      </c>
      <c r="C83">
        <v>18</v>
      </c>
      <c r="D83">
        <v>23</v>
      </c>
      <c r="E83">
        <v>12</v>
      </c>
      <c r="F83">
        <v>15</v>
      </c>
      <c r="G83">
        <v>2</v>
      </c>
      <c r="H83">
        <v>4</v>
      </c>
      <c r="I83">
        <v>1</v>
      </c>
      <c r="J83">
        <v>1</v>
      </c>
      <c r="K83">
        <v>0</v>
      </c>
      <c r="L83">
        <v>0</v>
      </c>
      <c r="M83">
        <v>0</v>
      </c>
      <c r="N83">
        <v>0</v>
      </c>
      <c r="O83">
        <v>0</v>
      </c>
      <c r="P83">
        <f t="shared" si="4"/>
        <v>6</v>
      </c>
      <c r="Q83">
        <f t="shared" si="5"/>
        <v>2</v>
      </c>
      <c r="R83">
        <f t="shared" si="6"/>
        <v>0</v>
      </c>
      <c r="S83">
        <f t="shared" si="7"/>
        <v>2</v>
      </c>
    </row>
    <row r="84" spans="1:24" x14ac:dyDescent="0.25">
      <c r="A84">
        <v>1956</v>
      </c>
      <c r="B84">
        <v>253</v>
      </c>
      <c r="C84">
        <v>28</v>
      </c>
      <c r="D84">
        <v>27</v>
      </c>
      <c r="E84">
        <v>30</v>
      </c>
      <c r="F84">
        <v>20</v>
      </c>
      <c r="G84">
        <v>6</v>
      </c>
      <c r="H84">
        <v>1</v>
      </c>
      <c r="I84">
        <v>0</v>
      </c>
      <c r="J84">
        <v>1</v>
      </c>
      <c r="K84">
        <v>0</v>
      </c>
      <c r="L84">
        <v>0</v>
      </c>
      <c r="M84">
        <v>0</v>
      </c>
      <c r="N84">
        <v>0</v>
      </c>
      <c r="O84">
        <v>0</v>
      </c>
      <c r="P84">
        <f t="shared" si="4"/>
        <v>7</v>
      </c>
      <c r="Q84">
        <f t="shared" si="5"/>
        <v>1</v>
      </c>
      <c r="R84">
        <f t="shared" si="6"/>
        <v>0</v>
      </c>
      <c r="S84">
        <f t="shared" si="7"/>
        <v>1</v>
      </c>
    </row>
    <row r="85" spans="1:24" x14ac:dyDescent="0.25">
      <c r="A85">
        <v>1957</v>
      </c>
      <c r="B85">
        <v>263</v>
      </c>
      <c r="C85">
        <v>28</v>
      </c>
      <c r="D85">
        <v>28</v>
      </c>
      <c r="E85">
        <v>21</v>
      </c>
      <c r="F85">
        <v>22</v>
      </c>
      <c r="G85">
        <v>2</v>
      </c>
      <c r="H85">
        <v>1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f t="shared" si="4"/>
        <v>3</v>
      </c>
      <c r="Q85">
        <f t="shared" si="5"/>
        <v>0</v>
      </c>
      <c r="R85">
        <f t="shared" si="6"/>
        <v>0</v>
      </c>
      <c r="S85">
        <f t="shared" si="7"/>
        <v>0</v>
      </c>
    </row>
    <row r="86" spans="1:24" x14ac:dyDescent="0.25">
      <c r="A86">
        <v>1958</v>
      </c>
      <c r="B86">
        <v>256</v>
      </c>
      <c r="C86">
        <v>29</v>
      </c>
      <c r="D86">
        <v>19</v>
      </c>
      <c r="E86">
        <v>20</v>
      </c>
      <c r="F86">
        <v>21</v>
      </c>
      <c r="G86">
        <v>8</v>
      </c>
      <c r="H86">
        <v>5</v>
      </c>
      <c r="I86">
        <v>2</v>
      </c>
      <c r="J86">
        <v>2</v>
      </c>
      <c r="K86">
        <v>2</v>
      </c>
      <c r="L86">
        <v>1</v>
      </c>
      <c r="M86">
        <v>0</v>
      </c>
      <c r="N86">
        <v>0</v>
      </c>
      <c r="O86">
        <v>0</v>
      </c>
      <c r="P86">
        <f t="shared" si="4"/>
        <v>13</v>
      </c>
      <c r="Q86">
        <f t="shared" si="5"/>
        <v>6</v>
      </c>
      <c r="R86">
        <f t="shared" si="6"/>
        <v>1</v>
      </c>
      <c r="S86">
        <f t="shared" si="7"/>
        <v>7</v>
      </c>
    </row>
    <row r="87" spans="1:24" x14ac:dyDescent="0.25">
      <c r="A87">
        <v>1959</v>
      </c>
      <c r="B87">
        <v>276</v>
      </c>
      <c r="C87">
        <v>24</v>
      </c>
      <c r="D87">
        <v>26</v>
      </c>
      <c r="E87">
        <v>13</v>
      </c>
      <c r="F87">
        <v>12</v>
      </c>
      <c r="G87">
        <v>6</v>
      </c>
      <c r="H87">
        <v>3</v>
      </c>
      <c r="I87">
        <v>2</v>
      </c>
      <c r="J87">
        <v>1</v>
      </c>
      <c r="K87">
        <v>0</v>
      </c>
      <c r="L87">
        <v>0</v>
      </c>
      <c r="M87">
        <v>2</v>
      </c>
      <c r="N87">
        <v>0</v>
      </c>
      <c r="O87">
        <v>0</v>
      </c>
      <c r="P87">
        <f t="shared" si="4"/>
        <v>9</v>
      </c>
      <c r="Q87">
        <f t="shared" si="5"/>
        <v>3</v>
      </c>
      <c r="R87">
        <f t="shared" si="6"/>
        <v>2</v>
      </c>
      <c r="S87">
        <f t="shared" si="7"/>
        <v>5</v>
      </c>
    </row>
    <row r="88" spans="1:24" x14ac:dyDescent="0.25">
      <c r="A88">
        <v>1960</v>
      </c>
      <c r="B88">
        <v>273</v>
      </c>
      <c r="C88">
        <v>30</v>
      </c>
      <c r="D88">
        <v>21</v>
      </c>
      <c r="E88">
        <v>20</v>
      </c>
      <c r="F88">
        <v>14</v>
      </c>
      <c r="G88">
        <v>4</v>
      </c>
      <c r="H88">
        <v>2</v>
      </c>
      <c r="I88">
        <v>1</v>
      </c>
      <c r="J88">
        <v>1</v>
      </c>
      <c r="K88">
        <v>0</v>
      </c>
      <c r="L88">
        <v>0</v>
      </c>
      <c r="M88">
        <v>0</v>
      </c>
      <c r="N88">
        <v>0</v>
      </c>
      <c r="O88">
        <v>0</v>
      </c>
      <c r="P88">
        <f t="shared" si="4"/>
        <v>6</v>
      </c>
      <c r="Q88">
        <f t="shared" si="5"/>
        <v>2</v>
      </c>
      <c r="R88">
        <f t="shared" si="6"/>
        <v>0</v>
      </c>
      <c r="S88">
        <f t="shared" si="7"/>
        <v>2</v>
      </c>
    </row>
    <row r="89" spans="1:24" x14ac:dyDescent="0.25">
      <c r="A89">
        <v>1961</v>
      </c>
      <c r="B89">
        <v>269</v>
      </c>
      <c r="C89">
        <v>25</v>
      </c>
      <c r="D89">
        <v>27</v>
      </c>
      <c r="E89">
        <v>15</v>
      </c>
      <c r="F89">
        <v>18</v>
      </c>
      <c r="G89">
        <v>10</v>
      </c>
      <c r="H89">
        <v>1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f t="shared" si="4"/>
        <v>11</v>
      </c>
      <c r="Q89">
        <f t="shared" si="5"/>
        <v>0</v>
      </c>
      <c r="R89">
        <f t="shared" si="6"/>
        <v>0</v>
      </c>
      <c r="S89">
        <f t="shared" si="7"/>
        <v>0</v>
      </c>
    </row>
    <row r="90" spans="1:24" x14ac:dyDescent="0.25">
      <c r="A90">
        <v>1962</v>
      </c>
      <c r="B90">
        <v>274</v>
      </c>
      <c r="C90">
        <v>28</v>
      </c>
      <c r="D90">
        <v>16</v>
      </c>
      <c r="E90">
        <v>18</v>
      </c>
      <c r="F90">
        <v>16</v>
      </c>
      <c r="G90">
        <v>9</v>
      </c>
      <c r="H90">
        <v>2</v>
      </c>
      <c r="I90">
        <v>0</v>
      </c>
      <c r="J90">
        <v>2</v>
      </c>
      <c r="K90">
        <v>0</v>
      </c>
      <c r="L90">
        <v>0</v>
      </c>
      <c r="M90">
        <v>0</v>
      </c>
      <c r="N90">
        <v>0</v>
      </c>
      <c r="O90">
        <v>0</v>
      </c>
      <c r="P90">
        <f t="shared" si="4"/>
        <v>11</v>
      </c>
      <c r="Q90">
        <f t="shared" si="5"/>
        <v>2</v>
      </c>
      <c r="R90">
        <f t="shared" si="6"/>
        <v>0</v>
      </c>
      <c r="S90">
        <f t="shared" si="7"/>
        <v>2</v>
      </c>
    </row>
    <row r="91" spans="1:24" x14ac:dyDescent="0.25">
      <c r="A91">
        <v>1963</v>
      </c>
      <c r="B91">
        <v>284</v>
      </c>
      <c r="C91">
        <v>29</v>
      </c>
      <c r="D91">
        <v>15</v>
      </c>
      <c r="E91">
        <v>15</v>
      </c>
      <c r="F91">
        <v>12</v>
      </c>
      <c r="G91">
        <v>7</v>
      </c>
      <c r="H91">
        <v>3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f t="shared" si="4"/>
        <v>10</v>
      </c>
      <c r="Q91">
        <f t="shared" si="5"/>
        <v>0</v>
      </c>
      <c r="R91">
        <f t="shared" si="6"/>
        <v>0</v>
      </c>
      <c r="S91">
        <f t="shared" si="7"/>
        <v>0</v>
      </c>
    </row>
    <row r="92" spans="1:24" x14ac:dyDescent="0.25">
      <c r="A92">
        <v>1964</v>
      </c>
      <c r="B92">
        <v>279</v>
      </c>
      <c r="C92">
        <v>25</v>
      </c>
      <c r="D92">
        <v>20</v>
      </c>
      <c r="E92">
        <v>17</v>
      </c>
      <c r="F92">
        <v>15</v>
      </c>
      <c r="G92">
        <v>8</v>
      </c>
      <c r="H92">
        <v>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f t="shared" si="4"/>
        <v>10</v>
      </c>
      <c r="Q92">
        <f t="shared" si="5"/>
        <v>0</v>
      </c>
      <c r="R92">
        <f t="shared" si="6"/>
        <v>0</v>
      </c>
      <c r="S92">
        <f t="shared" si="7"/>
        <v>0</v>
      </c>
    </row>
    <row r="93" spans="1:24" ht="18.75" x14ac:dyDescent="0.3">
      <c r="A93">
        <v>1965</v>
      </c>
      <c r="B93">
        <v>284</v>
      </c>
      <c r="C93">
        <v>24</v>
      </c>
      <c r="D93">
        <v>18</v>
      </c>
      <c r="E93">
        <v>18</v>
      </c>
      <c r="F93">
        <v>16</v>
      </c>
      <c r="G93">
        <v>2</v>
      </c>
      <c r="H93">
        <v>1</v>
      </c>
      <c r="I93">
        <v>2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f t="shared" si="4"/>
        <v>3</v>
      </c>
      <c r="Q93">
        <f t="shared" si="5"/>
        <v>2</v>
      </c>
      <c r="R93">
        <f t="shared" si="6"/>
        <v>0</v>
      </c>
      <c r="S93">
        <f t="shared" si="7"/>
        <v>2</v>
      </c>
      <c r="W93" s="7" t="s">
        <v>15</v>
      </c>
      <c r="X93" s="7"/>
    </row>
    <row r="94" spans="1:24" ht="18.75" x14ac:dyDescent="0.3">
      <c r="A94">
        <v>1966</v>
      </c>
      <c r="B94">
        <v>267</v>
      </c>
      <c r="C94">
        <v>29</v>
      </c>
      <c r="D94">
        <v>18</v>
      </c>
      <c r="E94">
        <v>26</v>
      </c>
      <c r="F94">
        <v>16</v>
      </c>
      <c r="G94">
        <v>6</v>
      </c>
      <c r="H94">
        <v>2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f t="shared" si="4"/>
        <v>8</v>
      </c>
      <c r="Q94">
        <f t="shared" si="5"/>
        <v>1</v>
      </c>
      <c r="R94">
        <f t="shared" si="6"/>
        <v>0</v>
      </c>
      <c r="S94">
        <f t="shared" si="7"/>
        <v>1</v>
      </c>
      <c r="W94" s="7" t="s">
        <v>16</v>
      </c>
      <c r="X94" s="7" t="s">
        <v>17</v>
      </c>
    </row>
    <row r="95" spans="1:24" ht="18.75" x14ac:dyDescent="0.3">
      <c r="A95">
        <v>1967</v>
      </c>
      <c r="B95">
        <v>264</v>
      </c>
      <c r="C95">
        <v>33</v>
      </c>
      <c r="D95">
        <v>29</v>
      </c>
      <c r="E95">
        <v>16</v>
      </c>
      <c r="F95">
        <v>15</v>
      </c>
      <c r="G95">
        <v>3</v>
      </c>
      <c r="H95">
        <v>3</v>
      </c>
      <c r="I95">
        <v>1</v>
      </c>
      <c r="J95">
        <v>0</v>
      </c>
      <c r="K95">
        <v>0</v>
      </c>
      <c r="L95">
        <v>0</v>
      </c>
      <c r="M95">
        <v>0</v>
      </c>
      <c r="N95">
        <v>1</v>
      </c>
      <c r="O95">
        <v>0</v>
      </c>
      <c r="P95">
        <f t="shared" si="4"/>
        <v>6</v>
      </c>
      <c r="Q95">
        <f t="shared" si="5"/>
        <v>1</v>
      </c>
      <c r="R95">
        <f t="shared" si="6"/>
        <v>1</v>
      </c>
      <c r="S95">
        <f t="shared" si="7"/>
        <v>2</v>
      </c>
      <c r="W95" s="7" t="s">
        <v>0</v>
      </c>
      <c r="X95" s="7" t="s">
        <v>18</v>
      </c>
    </row>
    <row r="96" spans="1:24" ht="18.75" x14ac:dyDescent="0.3">
      <c r="A96">
        <v>1968</v>
      </c>
      <c r="B96">
        <v>287</v>
      </c>
      <c r="C96">
        <v>26</v>
      </c>
      <c r="D96">
        <v>15</v>
      </c>
      <c r="E96">
        <v>17</v>
      </c>
      <c r="F96">
        <v>15</v>
      </c>
      <c r="G96">
        <v>3</v>
      </c>
      <c r="H96">
        <v>1</v>
      </c>
      <c r="I96">
        <v>1</v>
      </c>
      <c r="J96">
        <v>0</v>
      </c>
      <c r="K96">
        <v>1</v>
      </c>
      <c r="L96">
        <v>0</v>
      </c>
      <c r="M96">
        <v>0</v>
      </c>
      <c r="N96">
        <v>0</v>
      </c>
      <c r="O96">
        <v>0</v>
      </c>
      <c r="P96">
        <f t="shared" si="4"/>
        <v>4</v>
      </c>
      <c r="Q96">
        <f t="shared" si="5"/>
        <v>2</v>
      </c>
      <c r="R96">
        <f t="shared" si="6"/>
        <v>0</v>
      </c>
      <c r="S96">
        <f t="shared" si="7"/>
        <v>2</v>
      </c>
      <c r="W96" s="7" t="s">
        <v>1</v>
      </c>
      <c r="X96" s="7" t="s">
        <v>19</v>
      </c>
    </row>
    <row r="97" spans="1:24" ht="18.75" x14ac:dyDescent="0.3">
      <c r="A97">
        <v>1969</v>
      </c>
      <c r="B97">
        <v>279</v>
      </c>
      <c r="C97">
        <v>15</v>
      </c>
      <c r="D97">
        <v>24</v>
      </c>
      <c r="E97">
        <v>21</v>
      </c>
      <c r="F97">
        <v>16</v>
      </c>
      <c r="G97">
        <v>7</v>
      </c>
      <c r="H97">
        <v>2</v>
      </c>
      <c r="I97">
        <v>0</v>
      </c>
      <c r="J97">
        <v>0</v>
      </c>
      <c r="K97">
        <v>0</v>
      </c>
      <c r="L97">
        <v>0</v>
      </c>
      <c r="M97">
        <v>0</v>
      </c>
      <c r="N97">
        <v>1</v>
      </c>
      <c r="O97">
        <v>0</v>
      </c>
      <c r="P97">
        <f t="shared" si="4"/>
        <v>9</v>
      </c>
      <c r="Q97">
        <f t="shared" si="5"/>
        <v>0</v>
      </c>
      <c r="R97">
        <f t="shared" si="6"/>
        <v>1</v>
      </c>
      <c r="S97">
        <f t="shared" si="7"/>
        <v>1</v>
      </c>
      <c r="W97" s="7" t="s">
        <v>2</v>
      </c>
      <c r="X97" s="7" t="s">
        <v>20</v>
      </c>
    </row>
    <row r="98" spans="1:24" ht="18.75" x14ac:dyDescent="0.3">
      <c r="A98">
        <v>1970</v>
      </c>
      <c r="B98">
        <v>273</v>
      </c>
      <c r="C98">
        <v>24</v>
      </c>
      <c r="D98">
        <v>15</v>
      </c>
      <c r="E98">
        <v>29</v>
      </c>
      <c r="F98">
        <v>19</v>
      </c>
      <c r="G98">
        <v>4</v>
      </c>
      <c r="H98">
        <v>1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f t="shared" si="4"/>
        <v>5</v>
      </c>
      <c r="Q98">
        <f t="shared" si="5"/>
        <v>0</v>
      </c>
      <c r="R98">
        <f t="shared" si="6"/>
        <v>0</v>
      </c>
      <c r="S98">
        <f t="shared" si="7"/>
        <v>0</v>
      </c>
      <c r="W98" s="7" t="s">
        <v>3</v>
      </c>
      <c r="X98" s="7" t="s">
        <v>21</v>
      </c>
    </row>
    <row r="99" spans="1:24" ht="18.75" x14ac:dyDescent="0.3">
      <c r="A99">
        <v>1971</v>
      </c>
      <c r="B99">
        <v>274</v>
      </c>
      <c r="C99">
        <v>29</v>
      </c>
      <c r="D99">
        <v>27</v>
      </c>
      <c r="E99">
        <v>8</v>
      </c>
      <c r="F99">
        <v>12</v>
      </c>
      <c r="G99">
        <v>8</v>
      </c>
      <c r="H99">
        <v>2</v>
      </c>
      <c r="I99">
        <v>2</v>
      </c>
      <c r="J99">
        <v>2</v>
      </c>
      <c r="K99">
        <v>1</v>
      </c>
      <c r="L99">
        <v>0</v>
      </c>
      <c r="M99">
        <v>0</v>
      </c>
      <c r="N99">
        <v>0</v>
      </c>
      <c r="O99">
        <v>0</v>
      </c>
      <c r="P99">
        <f t="shared" si="4"/>
        <v>10</v>
      </c>
      <c r="Q99">
        <f t="shared" si="5"/>
        <v>5</v>
      </c>
      <c r="R99">
        <f t="shared" si="6"/>
        <v>0</v>
      </c>
      <c r="S99">
        <f t="shared" si="7"/>
        <v>5</v>
      </c>
      <c r="W99" s="7" t="s">
        <v>4</v>
      </c>
      <c r="X99" s="7" t="s">
        <v>22</v>
      </c>
    </row>
    <row r="100" spans="1:24" ht="18.75" x14ac:dyDescent="0.3">
      <c r="A100">
        <v>1972</v>
      </c>
      <c r="B100">
        <v>262</v>
      </c>
      <c r="C100">
        <v>28</v>
      </c>
      <c r="D100">
        <v>21</v>
      </c>
      <c r="E100">
        <v>12</v>
      </c>
      <c r="F100">
        <v>28</v>
      </c>
      <c r="G100">
        <v>11</v>
      </c>
      <c r="H100">
        <v>3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f t="shared" si="4"/>
        <v>14</v>
      </c>
      <c r="Q100">
        <f t="shared" si="5"/>
        <v>1</v>
      </c>
      <c r="R100">
        <f t="shared" si="6"/>
        <v>0</v>
      </c>
      <c r="S100">
        <f t="shared" si="7"/>
        <v>1</v>
      </c>
      <c r="W100" s="7" t="s">
        <v>23</v>
      </c>
      <c r="X100" s="7" t="s">
        <v>37</v>
      </c>
    </row>
    <row r="101" spans="1:24" ht="18.75" x14ac:dyDescent="0.3">
      <c r="A101">
        <v>1973</v>
      </c>
      <c r="B101">
        <v>271</v>
      </c>
      <c r="C101">
        <v>24</v>
      </c>
      <c r="D101">
        <v>22</v>
      </c>
      <c r="E101">
        <v>25</v>
      </c>
      <c r="F101">
        <v>15</v>
      </c>
      <c r="G101">
        <v>4</v>
      </c>
      <c r="H101">
        <v>2</v>
      </c>
      <c r="I101">
        <v>1</v>
      </c>
      <c r="J101">
        <v>1</v>
      </c>
      <c r="K101">
        <v>0</v>
      </c>
      <c r="L101">
        <v>0</v>
      </c>
      <c r="M101">
        <v>0</v>
      </c>
      <c r="N101">
        <v>0</v>
      </c>
      <c r="O101">
        <v>0</v>
      </c>
      <c r="P101">
        <f t="shared" si="4"/>
        <v>6</v>
      </c>
      <c r="Q101">
        <f t="shared" si="5"/>
        <v>2</v>
      </c>
      <c r="R101">
        <f t="shared" si="6"/>
        <v>0</v>
      </c>
      <c r="S101">
        <f t="shared" si="7"/>
        <v>2</v>
      </c>
      <c r="W101" s="7" t="s">
        <v>25</v>
      </c>
      <c r="X101" s="7" t="s">
        <v>38</v>
      </c>
    </row>
    <row r="102" spans="1:24" x14ac:dyDescent="0.25">
      <c r="A102">
        <v>1974</v>
      </c>
      <c r="B102">
        <v>276</v>
      </c>
      <c r="C102">
        <v>24</v>
      </c>
      <c r="D102">
        <v>30</v>
      </c>
      <c r="E102">
        <v>16</v>
      </c>
      <c r="F102">
        <v>10</v>
      </c>
      <c r="G102">
        <v>6</v>
      </c>
      <c r="H102">
        <v>2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f t="shared" si="4"/>
        <v>8</v>
      </c>
      <c r="Q102">
        <f t="shared" si="5"/>
        <v>1</v>
      </c>
      <c r="R102">
        <f t="shared" si="6"/>
        <v>0</v>
      </c>
      <c r="S102">
        <f t="shared" si="7"/>
        <v>1</v>
      </c>
    </row>
    <row r="103" spans="1:24" x14ac:dyDescent="0.25">
      <c r="A103">
        <v>1975</v>
      </c>
      <c r="B103">
        <v>254</v>
      </c>
      <c r="C103">
        <v>38</v>
      </c>
      <c r="D103">
        <v>20</v>
      </c>
      <c r="E103">
        <v>24</v>
      </c>
      <c r="F103">
        <v>22</v>
      </c>
      <c r="G103">
        <v>5</v>
      </c>
      <c r="H103">
        <v>2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f t="shared" si="4"/>
        <v>7</v>
      </c>
      <c r="Q103">
        <f t="shared" si="5"/>
        <v>0</v>
      </c>
      <c r="R103">
        <f t="shared" si="6"/>
        <v>0</v>
      </c>
      <c r="S103">
        <f t="shared" si="7"/>
        <v>0</v>
      </c>
    </row>
    <row r="104" spans="1:24" x14ac:dyDescent="0.25">
      <c r="A104">
        <v>1976</v>
      </c>
      <c r="B104">
        <v>281</v>
      </c>
      <c r="C104">
        <v>20</v>
      </c>
      <c r="D104">
        <v>27</v>
      </c>
      <c r="E104">
        <v>21</v>
      </c>
      <c r="F104">
        <v>12</v>
      </c>
      <c r="G104">
        <v>3</v>
      </c>
      <c r="H104">
        <v>1</v>
      </c>
      <c r="I104">
        <v>0</v>
      </c>
      <c r="J104">
        <v>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f t="shared" si="4"/>
        <v>4</v>
      </c>
      <c r="Q104">
        <f t="shared" si="5"/>
        <v>1</v>
      </c>
      <c r="R104">
        <f t="shared" si="6"/>
        <v>0</v>
      </c>
      <c r="S104">
        <f t="shared" si="7"/>
        <v>1</v>
      </c>
    </row>
    <row r="105" spans="1:24" x14ac:dyDescent="0.25">
      <c r="A105">
        <v>1977</v>
      </c>
      <c r="B105">
        <v>265</v>
      </c>
      <c r="C105">
        <v>37</v>
      </c>
      <c r="D105">
        <v>21</v>
      </c>
      <c r="E105">
        <v>22</v>
      </c>
      <c r="F105">
        <v>12</v>
      </c>
      <c r="G105">
        <v>7</v>
      </c>
      <c r="H105">
        <v>0</v>
      </c>
      <c r="I105">
        <v>0</v>
      </c>
      <c r="J105">
        <v>0</v>
      </c>
      <c r="K105">
        <v>1</v>
      </c>
      <c r="L105">
        <v>0</v>
      </c>
      <c r="M105">
        <v>0</v>
      </c>
      <c r="N105">
        <v>0</v>
      </c>
      <c r="O105">
        <v>0</v>
      </c>
      <c r="P105">
        <f t="shared" si="4"/>
        <v>7</v>
      </c>
      <c r="Q105">
        <f t="shared" si="5"/>
        <v>1</v>
      </c>
      <c r="R105">
        <f t="shared" si="6"/>
        <v>0</v>
      </c>
      <c r="S105">
        <f t="shared" si="7"/>
        <v>1</v>
      </c>
    </row>
    <row r="106" spans="1:24" x14ac:dyDescent="0.25">
      <c r="A106">
        <v>1978</v>
      </c>
      <c r="B106">
        <v>267</v>
      </c>
      <c r="C106">
        <v>32</v>
      </c>
      <c r="D106">
        <v>27</v>
      </c>
      <c r="E106">
        <v>15</v>
      </c>
      <c r="F106">
        <v>17</v>
      </c>
      <c r="G106">
        <v>3</v>
      </c>
      <c r="H106">
        <v>2</v>
      </c>
      <c r="I106">
        <v>1</v>
      </c>
      <c r="J106">
        <v>0</v>
      </c>
      <c r="K106">
        <v>1</v>
      </c>
      <c r="L106">
        <v>0</v>
      </c>
      <c r="M106">
        <v>0</v>
      </c>
      <c r="N106">
        <v>0</v>
      </c>
      <c r="O106">
        <v>0</v>
      </c>
      <c r="P106">
        <f t="shared" si="4"/>
        <v>5</v>
      </c>
      <c r="Q106">
        <f t="shared" si="5"/>
        <v>2</v>
      </c>
      <c r="R106">
        <f t="shared" si="6"/>
        <v>0</v>
      </c>
      <c r="S106">
        <f t="shared" si="7"/>
        <v>2</v>
      </c>
    </row>
    <row r="107" spans="1:24" x14ac:dyDescent="0.25">
      <c r="A107">
        <v>1979</v>
      </c>
      <c r="B107">
        <v>251</v>
      </c>
      <c r="C107">
        <v>43</v>
      </c>
      <c r="D107">
        <v>19</v>
      </c>
      <c r="E107">
        <v>17</v>
      </c>
      <c r="F107">
        <v>21</v>
      </c>
      <c r="G107">
        <v>10</v>
      </c>
      <c r="H107">
        <v>2</v>
      </c>
      <c r="I107">
        <v>0</v>
      </c>
      <c r="J107">
        <v>2</v>
      </c>
      <c r="K107">
        <v>0</v>
      </c>
      <c r="L107">
        <v>0</v>
      </c>
      <c r="M107">
        <v>0</v>
      </c>
      <c r="N107">
        <v>0</v>
      </c>
      <c r="O107">
        <v>0</v>
      </c>
      <c r="P107">
        <f t="shared" si="4"/>
        <v>12</v>
      </c>
      <c r="Q107">
        <f t="shared" si="5"/>
        <v>2</v>
      </c>
      <c r="R107">
        <f t="shared" si="6"/>
        <v>0</v>
      </c>
      <c r="S107">
        <f t="shared" si="7"/>
        <v>2</v>
      </c>
    </row>
    <row r="108" spans="1:24" x14ac:dyDescent="0.25">
      <c r="A108">
        <v>1980</v>
      </c>
      <c r="B108">
        <v>274</v>
      </c>
      <c r="C108">
        <v>26</v>
      </c>
      <c r="D108">
        <v>27</v>
      </c>
      <c r="E108">
        <v>16</v>
      </c>
      <c r="F108">
        <v>18</v>
      </c>
      <c r="G108">
        <v>4</v>
      </c>
      <c r="H108">
        <v>1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f t="shared" si="4"/>
        <v>5</v>
      </c>
      <c r="Q108">
        <f t="shared" si="5"/>
        <v>0</v>
      </c>
      <c r="R108">
        <f t="shared" si="6"/>
        <v>0</v>
      </c>
      <c r="S108">
        <f t="shared" si="7"/>
        <v>0</v>
      </c>
    </row>
    <row r="109" spans="1:24" x14ac:dyDescent="0.25">
      <c r="A109">
        <v>1981</v>
      </c>
      <c r="B109">
        <v>279</v>
      </c>
      <c r="C109">
        <v>28</v>
      </c>
      <c r="D109">
        <v>21</v>
      </c>
      <c r="E109">
        <v>13</v>
      </c>
      <c r="F109">
        <v>19</v>
      </c>
      <c r="G109">
        <v>5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f t="shared" si="4"/>
        <v>5</v>
      </c>
      <c r="Q109">
        <f t="shared" si="5"/>
        <v>0</v>
      </c>
      <c r="R109">
        <f t="shared" si="6"/>
        <v>0</v>
      </c>
      <c r="S109">
        <f t="shared" si="7"/>
        <v>0</v>
      </c>
    </row>
    <row r="110" spans="1:24" x14ac:dyDescent="0.25">
      <c r="A110">
        <v>1982</v>
      </c>
      <c r="B110">
        <v>281</v>
      </c>
      <c r="C110">
        <v>22</v>
      </c>
      <c r="D110">
        <v>14</v>
      </c>
      <c r="E110">
        <v>26</v>
      </c>
      <c r="F110">
        <v>16</v>
      </c>
      <c r="G110">
        <v>6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f t="shared" si="4"/>
        <v>6</v>
      </c>
      <c r="Q110">
        <f t="shared" si="5"/>
        <v>0</v>
      </c>
      <c r="R110">
        <f t="shared" si="6"/>
        <v>0</v>
      </c>
      <c r="S110">
        <f t="shared" si="7"/>
        <v>0</v>
      </c>
    </row>
    <row r="111" spans="1:24" x14ac:dyDescent="0.25">
      <c r="A111">
        <v>1983</v>
      </c>
      <c r="B111">
        <v>267</v>
      </c>
      <c r="C111">
        <v>22</v>
      </c>
      <c r="D111">
        <v>25</v>
      </c>
      <c r="E111">
        <v>19</v>
      </c>
      <c r="F111">
        <v>23</v>
      </c>
      <c r="G111">
        <v>7</v>
      </c>
      <c r="H111">
        <v>1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f t="shared" si="4"/>
        <v>8</v>
      </c>
      <c r="Q111">
        <f t="shared" si="5"/>
        <v>1</v>
      </c>
      <c r="R111">
        <f t="shared" si="6"/>
        <v>0</v>
      </c>
      <c r="S111">
        <f t="shared" si="7"/>
        <v>1</v>
      </c>
    </row>
    <row r="112" spans="1:24" x14ac:dyDescent="0.25">
      <c r="A112">
        <v>1984</v>
      </c>
      <c r="B112">
        <v>268</v>
      </c>
      <c r="C112">
        <v>28</v>
      </c>
      <c r="D112">
        <v>24</v>
      </c>
      <c r="E112">
        <v>25</v>
      </c>
      <c r="F112">
        <v>15</v>
      </c>
      <c r="G112">
        <v>1</v>
      </c>
      <c r="H112">
        <v>1</v>
      </c>
      <c r="I112">
        <v>4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f t="shared" si="4"/>
        <v>2</v>
      </c>
      <c r="Q112">
        <f t="shared" si="5"/>
        <v>4</v>
      </c>
      <c r="R112">
        <f t="shared" si="6"/>
        <v>0</v>
      </c>
      <c r="S112">
        <f t="shared" si="7"/>
        <v>4</v>
      </c>
    </row>
    <row r="113" spans="1:19" x14ac:dyDescent="0.25">
      <c r="A113">
        <v>1985</v>
      </c>
      <c r="B113">
        <v>280</v>
      </c>
      <c r="C113">
        <v>28</v>
      </c>
      <c r="D113">
        <v>24</v>
      </c>
      <c r="E113">
        <v>14</v>
      </c>
      <c r="F113">
        <v>14</v>
      </c>
      <c r="G113">
        <v>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f t="shared" si="4"/>
        <v>5</v>
      </c>
      <c r="Q113">
        <f t="shared" si="5"/>
        <v>0</v>
      </c>
      <c r="R113">
        <f t="shared" si="6"/>
        <v>0</v>
      </c>
      <c r="S113">
        <f t="shared" si="7"/>
        <v>0</v>
      </c>
    </row>
    <row r="114" spans="1:19" x14ac:dyDescent="0.25">
      <c r="A114">
        <v>1986</v>
      </c>
      <c r="B114">
        <v>281</v>
      </c>
      <c r="C114">
        <v>21</v>
      </c>
      <c r="D114">
        <v>26</v>
      </c>
      <c r="E114">
        <v>14</v>
      </c>
      <c r="F114">
        <v>14</v>
      </c>
      <c r="G114">
        <v>7</v>
      </c>
      <c r="H114">
        <v>2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f t="shared" si="4"/>
        <v>9</v>
      </c>
      <c r="Q114">
        <f t="shared" si="5"/>
        <v>0</v>
      </c>
      <c r="R114">
        <f t="shared" si="6"/>
        <v>0</v>
      </c>
      <c r="S114">
        <f t="shared" si="7"/>
        <v>0</v>
      </c>
    </row>
    <row r="115" spans="1:19" x14ac:dyDescent="0.25">
      <c r="A115">
        <v>1987</v>
      </c>
      <c r="B115">
        <v>278</v>
      </c>
      <c r="C115">
        <v>22</v>
      </c>
      <c r="D115">
        <v>17</v>
      </c>
      <c r="E115">
        <v>20</v>
      </c>
      <c r="F115">
        <v>13</v>
      </c>
      <c r="G115">
        <v>11</v>
      </c>
      <c r="H115">
        <v>3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f t="shared" si="4"/>
        <v>14</v>
      </c>
      <c r="Q115">
        <f t="shared" si="5"/>
        <v>1</v>
      </c>
      <c r="R115">
        <f t="shared" si="6"/>
        <v>0</v>
      </c>
      <c r="S115">
        <f t="shared" si="7"/>
        <v>1</v>
      </c>
    </row>
    <row r="116" spans="1:19" x14ac:dyDescent="0.25">
      <c r="A116">
        <v>1988</v>
      </c>
      <c r="B116">
        <v>295</v>
      </c>
      <c r="C116">
        <v>20</v>
      </c>
      <c r="D116">
        <v>18</v>
      </c>
      <c r="E116">
        <v>13</v>
      </c>
      <c r="F116">
        <v>13</v>
      </c>
      <c r="G116">
        <v>7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f t="shared" si="4"/>
        <v>7</v>
      </c>
      <c r="Q116">
        <f t="shared" si="5"/>
        <v>0</v>
      </c>
      <c r="R116">
        <f t="shared" si="6"/>
        <v>0</v>
      </c>
      <c r="S116">
        <f t="shared" si="7"/>
        <v>0</v>
      </c>
    </row>
    <row r="117" spans="1:19" x14ac:dyDescent="0.25">
      <c r="A117">
        <v>1989</v>
      </c>
      <c r="B117">
        <v>336</v>
      </c>
      <c r="C117">
        <v>6</v>
      </c>
      <c r="D117">
        <v>7</v>
      </c>
      <c r="E117">
        <v>3</v>
      </c>
      <c r="F117">
        <v>8</v>
      </c>
      <c r="G117">
        <v>1</v>
      </c>
      <c r="H117">
        <v>2</v>
      </c>
      <c r="I117">
        <v>1</v>
      </c>
      <c r="J117">
        <v>0</v>
      </c>
      <c r="K117">
        <v>1</v>
      </c>
      <c r="L117">
        <v>0</v>
      </c>
      <c r="M117">
        <v>0</v>
      </c>
      <c r="N117">
        <v>0</v>
      </c>
      <c r="O117">
        <v>0</v>
      </c>
      <c r="P117">
        <f t="shared" si="4"/>
        <v>3</v>
      </c>
      <c r="Q117">
        <f t="shared" si="5"/>
        <v>2</v>
      </c>
      <c r="R117">
        <f t="shared" si="6"/>
        <v>0</v>
      </c>
      <c r="S117">
        <f t="shared" si="7"/>
        <v>2</v>
      </c>
    </row>
    <row r="118" spans="1:19" x14ac:dyDescent="0.25">
      <c r="A118">
        <v>1990</v>
      </c>
      <c r="B118">
        <v>267</v>
      </c>
      <c r="C118">
        <v>20</v>
      </c>
      <c r="D118">
        <v>32</v>
      </c>
      <c r="E118">
        <v>21</v>
      </c>
      <c r="F118">
        <v>20</v>
      </c>
      <c r="G118">
        <v>2</v>
      </c>
      <c r="H118">
        <v>2</v>
      </c>
      <c r="I118">
        <v>1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f t="shared" si="4"/>
        <v>4</v>
      </c>
      <c r="Q118">
        <f t="shared" si="5"/>
        <v>1</v>
      </c>
      <c r="R118">
        <f t="shared" si="6"/>
        <v>0</v>
      </c>
      <c r="S118">
        <f t="shared" si="7"/>
        <v>1</v>
      </c>
    </row>
    <row r="119" spans="1:19" x14ac:dyDescent="0.25">
      <c r="A119">
        <v>1991</v>
      </c>
      <c r="B119">
        <v>278</v>
      </c>
      <c r="C119">
        <v>27</v>
      </c>
      <c r="D119">
        <v>18</v>
      </c>
      <c r="E119">
        <v>15</v>
      </c>
      <c r="F119">
        <v>19</v>
      </c>
      <c r="G119">
        <v>4</v>
      </c>
      <c r="H119">
        <v>2</v>
      </c>
      <c r="I119">
        <v>1</v>
      </c>
      <c r="J119">
        <v>1</v>
      </c>
      <c r="K119">
        <v>0</v>
      </c>
      <c r="L119">
        <v>0</v>
      </c>
      <c r="M119">
        <v>0</v>
      </c>
      <c r="N119">
        <v>0</v>
      </c>
      <c r="O119">
        <v>0</v>
      </c>
      <c r="P119">
        <f t="shared" si="4"/>
        <v>6</v>
      </c>
      <c r="Q119">
        <f t="shared" si="5"/>
        <v>2</v>
      </c>
      <c r="R119">
        <f t="shared" si="6"/>
        <v>0</v>
      </c>
      <c r="S119">
        <f t="shared" si="7"/>
        <v>2</v>
      </c>
    </row>
    <row r="120" spans="1:19" x14ac:dyDescent="0.25">
      <c r="A120">
        <v>1992</v>
      </c>
      <c r="B120">
        <v>267</v>
      </c>
      <c r="C120">
        <v>29</v>
      </c>
      <c r="D120">
        <v>28</v>
      </c>
      <c r="E120">
        <v>18</v>
      </c>
      <c r="F120">
        <v>15</v>
      </c>
      <c r="G120">
        <v>5</v>
      </c>
      <c r="H120">
        <v>3</v>
      </c>
      <c r="I120">
        <v>1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f t="shared" si="4"/>
        <v>8</v>
      </c>
      <c r="Q120">
        <f t="shared" si="5"/>
        <v>1</v>
      </c>
      <c r="R120">
        <f t="shared" si="6"/>
        <v>0</v>
      </c>
      <c r="S120">
        <f t="shared" si="7"/>
        <v>1</v>
      </c>
    </row>
    <row r="121" spans="1:19" x14ac:dyDescent="0.25">
      <c r="A121">
        <v>1993</v>
      </c>
      <c r="B121">
        <v>276</v>
      </c>
      <c r="C121">
        <v>26</v>
      </c>
      <c r="D121">
        <v>21</v>
      </c>
      <c r="E121">
        <v>18</v>
      </c>
      <c r="F121">
        <v>16</v>
      </c>
      <c r="G121">
        <v>6</v>
      </c>
      <c r="H121">
        <v>0</v>
      </c>
      <c r="I121">
        <v>0</v>
      </c>
      <c r="J121">
        <v>0</v>
      </c>
      <c r="K121">
        <v>2</v>
      </c>
      <c r="L121">
        <v>0</v>
      </c>
      <c r="M121">
        <v>0</v>
      </c>
      <c r="N121">
        <v>0</v>
      </c>
      <c r="O121">
        <v>0</v>
      </c>
      <c r="P121">
        <f t="shared" si="4"/>
        <v>6</v>
      </c>
      <c r="Q121">
        <f t="shared" si="5"/>
        <v>2</v>
      </c>
      <c r="R121">
        <f t="shared" si="6"/>
        <v>0</v>
      </c>
      <c r="S121">
        <f t="shared" si="7"/>
        <v>2</v>
      </c>
    </row>
    <row r="122" spans="1:19" x14ac:dyDescent="0.25">
      <c r="A122">
        <v>1994</v>
      </c>
      <c r="B122">
        <v>272</v>
      </c>
      <c r="C122">
        <v>20</v>
      </c>
      <c r="D122">
        <v>28</v>
      </c>
      <c r="E122">
        <v>20</v>
      </c>
      <c r="F122">
        <v>11</v>
      </c>
      <c r="G122">
        <v>13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f t="shared" si="4"/>
        <v>14</v>
      </c>
      <c r="Q122">
        <f t="shared" si="5"/>
        <v>0</v>
      </c>
      <c r="R122">
        <f t="shared" si="6"/>
        <v>0</v>
      </c>
      <c r="S122">
        <f t="shared" si="7"/>
        <v>0</v>
      </c>
    </row>
    <row r="123" spans="1:19" x14ac:dyDescent="0.25">
      <c r="A123">
        <v>1995</v>
      </c>
      <c r="B123">
        <v>287</v>
      </c>
      <c r="C123">
        <v>16</v>
      </c>
      <c r="D123">
        <v>17</v>
      </c>
      <c r="E123">
        <v>20</v>
      </c>
      <c r="F123">
        <v>18</v>
      </c>
      <c r="G123">
        <v>3</v>
      </c>
      <c r="H123">
        <v>2</v>
      </c>
      <c r="I123">
        <v>2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f t="shared" si="4"/>
        <v>5</v>
      </c>
      <c r="Q123">
        <f t="shared" si="5"/>
        <v>2</v>
      </c>
      <c r="R123">
        <f t="shared" si="6"/>
        <v>0</v>
      </c>
      <c r="S123">
        <f t="shared" si="7"/>
        <v>2</v>
      </c>
    </row>
    <row r="124" spans="1:19" x14ac:dyDescent="0.25">
      <c r="A124">
        <v>1996</v>
      </c>
      <c r="B124">
        <v>261</v>
      </c>
      <c r="C124">
        <v>26</v>
      </c>
      <c r="D124">
        <v>24</v>
      </c>
      <c r="E124">
        <v>26</v>
      </c>
      <c r="F124">
        <v>18</v>
      </c>
      <c r="G124">
        <v>7</v>
      </c>
      <c r="H124">
        <v>0</v>
      </c>
      <c r="I124">
        <v>3</v>
      </c>
      <c r="J124">
        <v>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f t="shared" si="4"/>
        <v>7</v>
      </c>
      <c r="Q124">
        <f t="shared" si="5"/>
        <v>4</v>
      </c>
      <c r="R124">
        <f t="shared" si="6"/>
        <v>0</v>
      </c>
      <c r="S124">
        <f t="shared" si="7"/>
        <v>4</v>
      </c>
    </row>
    <row r="125" spans="1:19" x14ac:dyDescent="0.25">
      <c r="A125">
        <v>1997</v>
      </c>
      <c r="B125">
        <v>264</v>
      </c>
      <c r="C125">
        <v>25</v>
      </c>
      <c r="D125">
        <v>28</v>
      </c>
      <c r="E125">
        <v>22</v>
      </c>
      <c r="F125">
        <v>20</v>
      </c>
      <c r="G125">
        <v>2</v>
      </c>
      <c r="H125">
        <v>2</v>
      </c>
      <c r="I125">
        <v>0</v>
      </c>
      <c r="J125">
        <v>1</v>
      </c>
      <c r="K125">
        <v>0</v>
      </c>
      <c r="L125">
        <v>0</v>
      </c>
      <c r="M125">
        <v>0</v>
      </c>
      <c r="N125">
        <v>1</v>
      </c>
      <c r="O125">
        <v>0</v>
      </c>
      <c r="P125">
        <f t="shared" si="4"/>
        <v>4</v>
      </c>
      <c r="Q125">
        <f t="shared" si="5"/>
        <v>1</v>
      </c>
      <c r="R125">
        <f t="shared" si="6"/>
        <v>1</v>
      </c>
      <c r="S125">
        <f t="shared" si="7"/>
        <v>2</v>
      </c>
    </row>
    <row r="126" spans="1:19" x14ac:dyDescent="0.25">
      <c r="A126">
        <v>1998</v>
      </c>
      <c r="B126">
        <v>278</v>
      </c>
      <c r="C126">
        <v>20</v>
      </c>
      <c r="D126">
        <v>16</v>
      </c>
      <c r="E126">
        <v>20</v>
      </c>
      <c r="F126">
        <v>20</v>
      </c>
      <c r="G126">
        <v>9</v>
      </c>
      <c r="H126">
        <v>0</v>
      </c>
      <c r="I126">
        <v>1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f t="shared" si="4"/>
        <v>9</v>
      </c>
      <c r="Q126">
        <f t="shared" si="5"/>
        <v>2</v>
      </c>
      <c r="R126">
        <f t="shared" si="6"/>
        <v>0</v>
      </c>
      <c r="S126">
        <f t="shared" si="7"/>
        <v>2</v>
      </c>
    </row>
    <row r="127" spans="1:19" x14ac:dyDescent="0.25">
      <c r="A127">
        <v>1999</v>
      </c>
      <c r="B127">
        <v>274</v>
      </c>
      <c r="C127">
        <v>27</v>
      </c>
      <c r="D127">
        <v>22</v>
      </c>
      <c r="E127">
        <v>14</v>
      </c>
      <c r="F127">
        <v>17</v>
      </c>
      <c r="G127">
        <v>8</v>
      </c>
      <c r="H127">
        <v>1</v>
      </c>
      <c r="I127">
        <v>2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f t="shared" si="4"/>
        <v>9</v>
      </c>
      <c r="Q127">
        <f t="shared" si="5"/>
        <v>2</v>
      </c>
      <c r="R127">
        <f t="shared" si="6"/>
        <v>0</v>
      </c>
      <c r="S127">
        <f t="shared" si="7"/>
        <v>2</v>
      </c>
    </row>
    <row r="128" spans="1:19" x14ac:dyDescent="0.25">
      <c r="A128">
        <v>2000</v>
      </c>
      <c r="B128">
        <v>283</v>
      </c>
      <c r="C128">
        <v>22</v>
      </c>
      <c r="D128">
        <v>18</v>
      </c>
      <c r="E128">
        <v>16</v>
      </c>
      <c r="F128">
        <v>11</v>
      </c>
      <c r="G128">
        <v>8</v>
      </c>
      <c r="H128">
        <v>4</v>
      </c>
      <c r="I128">
        <v>2</v>
      </c>
      <c r="J128">
        <v>1</v>
      </c>
      <c r="K128">
        <v>0</v>
      </c>
      <c r="L128">
        <v>0</v>
      </c>
      <c r="M128">
        <v>1</v>
      </c>
      <c r="N128">
        <v>0</v>
      </c>
      <c r="O128">
        <v>0</v>
      </c>
      <c r="P128">
        <f t="shared" si="4"/>
        <v>12</v>
      </c>
      <c r="Q128">
        <f t="shared" si="5"/>
        <v>3</v>
      </c>
      <c r="R128">
        <f t="shared" si="6"/>
        <v>1</v>
      </c>
      <c r="S128">
        <f t="shared" si="7"/>
        <v>4</v>
      </c>
    </row>
    <row r="129" spans="1:24" x14ac:dyDescent="0.25">
      <c r="A129">
        <v>2001</v>
      </c>
      <c r="B129">
        <v>298</v>
      </c>
      <c r="C129">
        <v>19</v>
      </c>
      <c r="D129">
        <v>15</v>
      </c>
      <c r="E129">
        <v>20</v>
      </c>
      <c r="F129">
        <v>9</v>
      </c>
      <c r="G129">
        <v>2</v>
      </c>
      <c r="H129">
        <v>1</v>
      </c>
      <c r="I129">
        <v>0</v>
      </c>
      <c r="J129">
        <v>0</v>
      </c>
      <c r="K129">
        <v>1</v>
      </c>
      <c r="L129">
        <v>0</v>
      </c>
      <c r="M129">
        <v>0</v>
      </c>
      <c r="N129">
        <v>0</v>
      </c>
      <c r="O129">
        <v>0</v>
      </c>
      <c r="P129">
        <f t="shared" si="4"/>
        <v>3</v>
      </c>
      <c r="Q129">
        <f t="shared" si="5"/>
        <v>1</v>
      </c>
      <c r="R129">
        <f t="shared" si="6"/>
        <v>0</v>
      </c>
      <c r="S129">
        <f t="shared" si="7"/>
        <v>1</v>
      </c>
    </row>
    <row r="130" spans="1:24" x14ac:dyDescent="0.25">
      <c r="A130">
        <v>2002</v>
      </c>
      <c r="B130">
        <v>277</v>
      </c>
      <c r="C130">
        <v>26</v>
      </c>
      <c r="D130">
        <v>16</v>
      </c>
      <c r="E130">
        <v>17</v>
      </c>
      <c r="F130">
        <v>18</v>
      </c>
      <c r="G130">
        <v>6</v>
      </c>
      <c r="H130">
        <v>2</v>
      </c>
      <c r="I130">
        <v>1</v>
      </c>
      <c r="J130">
        <v>0</v>
      </c>
      <c r="K130">
        <v>2</v>
      </c>
      <c r="L130">
        <v>0</v>
      </c>
      <c r="M130">
        <v>0</v>
      </c>
      <c r="N130">
        <v>0</v>
      </c>
      <c r="O130">
        <v>0</v>
      </c>
      <c r="P130">
        <f t="shared" si="4"/>
        <v>8</v>
      </c>
      <c r="Q130">
        <f t="shared" si="5"/>
        <v>3</v>
      </c>
      <c r="R130">
        <f t="shared" si="6"/>
        <v>0</v>
      </c>
      <c r="S130">
        <f t="shared" si="7"/>
        <v>3</v>
      </c>
    </row>
    <row r="131" spans="1:24" ht="18.75" x14ac:dyDescent="0.3">
      <c r="A131">
        <v>2003</v>
      </c>
      <c r="B131">
        <v>264</v>
      </c>
      <c r="C131">
        <v>29</v>
      </c>
      <c r="D131">
        <v>23</v>
      </c>
      <c r="E131">
        <v>19</v>
      </c>
      <c r="F131">
        <v>20</v>
      </c>
      <c r="G131">
        <v>4</v>
      </c>
      <c r="H131">
        <v>5</v>
      </c>
      <c r="I131">
        <v>1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f t="shared" ref="P131:P145" si="8">SUM(G131:H131)</f>
        <v>9</v>
      </c>
      <c r="Q131">
        <f t="shared" ref="Q131:Q145" si="9">SUM(I131:K131)</f>
        <v>1</v>
      </c>
      <c r="R131">
        <f t="shared" ref="R131:R145" si="10">SUM(L131:O131)</f>
        <v>0</v>
      </c>
      <c r="S131">
        <f t="shared" ref="S131:S145" si="11">SUM(Q131:R131)</f>
        <v>1</v>
      </c>
      <c r="W131" s="7" t="s">
        <v>15</v>
      </c>
      <c r="X131" s="7"/>
    </row>
    <row r="132" spans="1:24" ht="18.75" x14ac:dyDescent="0.3">
      <c r="A132">
        <v>2004</v>
      </c>
      <c r="B132">
        <v>270</v>
      </c>
      <c r="C132">
        <v>34</v>
      </c>
      <c r="D132">
        <v>20</v>
      </c>
      <c r="E132">
        <v>19</v>
      </c>
      <c r="F132">
        <v>10</v>
      </c>
      <c r="G132">
        <v>10</v>
      </c>
      <c r="H132">
        <v>1</v>
      </c>
      <c r="I132">
        <v>1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f t="shared" si="8"/>
        <v>11</v>
      </c>
      <c r="Q132">
        <f t="shared" si="9"/>
        <v>2</v>
      </c>
      <c r="R132">
        <f t="shared" si="10"/>
        <v>0</v>
      </c>
      <c r="S132">
        <f t="shared" si="11"/>
        <v>2</v>
      </c>
      <c r="W132" s="7" t="s">
        <v>16</v>
      </c>
      <c r="X132" s="7" t="s">
        <v>17</v>
      </c>
    </row>
    <row r="133" spans="1:24" ht="18.75" x14ac:dyDescent="0.3">
      <c r="A133">
        <v>2005</v>
      </c>
      <c r="B133">
        <v>276</v>
      </c>
      <c r="C133">
        <v>27</v>
      </c>
      <c r="D133">
        <v>20</v>
      </c>
      <c r="E133">
        <v>7</v>
      </c>
      <c r="F133">
        <v>20</v>
      </c>
      <c r="G133">
        <v>11</v>
      </c>
      <c r="H133">
        <v>3</v>
      </c>
      <c r="I133">
        <v>1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f t="shared" si="8"/>
        <v>14</v>
      </c>
      <c r="Q133">
        <f t="shared" si="9"/>
        <v>1</v>
      </c>
      <c r="R133">
        <f t="shared" si="10"/>
        <v>0</v>
      </c>
      <c r="S133">
        <f t="shared" si="11"/>
        <v>1</v>
      </c>
      <c r="W133" s="7" t="s">
        <v>0</v>
      </c>
      <c r="X133" s="7" t="s">
        <v>18</v>
      </c>
    </row>
    <row r="134" spans="1:24" ht="18.75" x14ac:dyDescent="0.3">
      <c r="A134">
        <v>2006</v>
      </c>
      <c r="B134">
        <v>280</v>
      </c>
      <c r="C134">
        <v>27</v>
      </c>
      <c r="D134">
        <v>16</v>
      </c>
      <c r="E134">
        <v>13</v>
      </c>
      <c r="F134">
        <v>13</v>
      </c>
      <c r="G134">
        <v>9</v>
      </c>
      <c r="H134">
        <v>6</v>
      </c>
      <c r="I134">
        <v>1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f t="shared" si="8"/>
        <v>15</v>
      </c>
      <c r="Q134">
        <f t="shared" si="9"/>
        <v>1</v>
      </c>
      <c r="R134">
        <f t="shared" si="10"/>
        <v>0</v>
      </c>
      <c r="S134">
        <f t="shared" si="11"/>
        <v>1</v>
      </c>
      <c r="W134" s="7" t="s">
        <v>1</v>
      </c>
      <c r="X134" s="7" t="s">
        <v>19</v>
      </c>
    </row>
    <row r="135" spans="1:24" ht="18.75" x14ac:dyDescent="0.3">
      <c r="A135">
        <v>2007</v>
      </c>
      <c r="B135">
        <v>269</v>
      </c>
      <c r="C135">
        <v>30</v>
      </c>
      <c r="D135">
        <v>23</v>
      </c>
      <c r="E135">
        <v>15</v>
      </c>
      <c r="F135">
        <v>15</v>
      </c>
      <c r="G135">
        <v>6</v>
      </c>
      <c r="H135">
        <v>4</v>
      </c>
      <c r="I135">
        <v>3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f t="shared" si="8"/>
        <v>10</v>
      </c>
      <c r="Q135">
        <f t="shared" si="9"/>
        <v>3</v>
      </c>
      <c r="R135">
        <f t="shared" si="10"/>
        <v>0</v>
      </c>
      <c r="S135">
        <f t="shared" si="11"/>
        <v>3</v>
      </c>
      <c r="W135" s="7" t="s">
        <v>2</v>
      </c>
      <c r="X135" s="7" t="s">
        <v>20</v>
      </c>
    </row>
    <row r="136" spans="1:24" ht="18.75" x14ac:dyDescent="0.3">
      <c r="A136">
        <v>2008</v>
      </c>
      <c r="B136">
        <v>275</v>
      </c>
      <c r="C136">
        <v>27</v>
      </c>
      <c r="D136">
        <v>17</v>
      </c>
      <c r="E136">
        <v>16</v>
      </c>
      <c r="F136">
        <v>17</v>
      </c>
      <c r="G136">
        <v>9</v>
      </c>
      <c r="H136">
        <v>3</v>
      </c>
      <c r="I136">
        <v>1</v>
      </c>
      <c r="J136">
        <v>0</v>
      </c>
      <c r="K136">
        <v>0</v>
      </c>
      <c r="L136">
        <v>1</v>
      </c>
      <c r="M136">
        <v>0</v>
      </c>
      <c r="N136">
        <v>0</v>
      </c>
      <c r="O136">
        <v>0</v>
      </c>
      <c r="P136">
        <f t="shared" si="8"/>
        <v>12</v>
      </c>
      <c r="Q136">
        <f t="shared" si="9"/>
        <v>1</v>
      </c>
      <c r="R136">
        <f t="shared" si="10"/>
        <v>1</v>
      </c>
      <c r="S136">
        <f t="shared" si="11"/>
        <v>2</v>
      </c>
      <c r="W136" s="7" t="s">
        <v>3</v>
      </c>
      <c r="X136" s="7" t="s">
        <v>21</v>
      </c>
    </row>
    <row r="137" spans="1:24" ht="18.75" x14ac:dyDescent="0.3">
      <c r="A137">
        <v>2009</v>
      </c>
      <c r="B137">
        <v>253</v>
      </c>
      <c r="C137">
        <v>34</v>
      </c>
      <c r="D137">
        <v>18</v>
      </c>
      <c r="E137">
        <v>20</v>
      </c>
      <c r="F137">
        <v>18</v>
      </c>
      <c r="G137">
        <v>13</v>
      </c>
      <c r="H137">
        <v>3</v>
      </c>
      <c r="I137">
        <v>2</v>
      </c>
      <c r="J137">
        <v>3</v>
      </c>
      <c r="K137">
        <v>1</v>
      </c>
      <c r="L137">
        <v>0</v>
      </c>
      <c r="M137">
        <v>0</v>
      </c>
      <c r="N137">
        <v>0</v>
      </c>
      <c r="O137">
        <v>0</v>
      </c>
      <c r="P137">
        <f t="shared" si="8"/>
        <v>16</v>
      </c>
      <c r="Q137">
        <f t="shared" si="9"/>
        <v>6</v>
      </c>
      <c r="R137">
        <f t="shared" si="10"/>
        <v>0</v>
      </c>
      <c r="S137">
        <f t="shared" si="11"/>
        <v>6</v>
      </c>
      <c r="W137" s="7" t="s">
        <v>4</v>
      </c>
      <c r="X137" s="7" t="s">
        <v>22</v>
      </c>
    </row>
    <row r="138" spans="1:24" ht="18.75" x14ac:dyDescent="0.3">
      <c r="A138">
        <v>2010</v>
      </c>
      <c r="B138">
        <v>278</v>
      </c>
      <c r="C138">
        <v>28</v>
      </c>
      <c r="D138">
        <v>16</v>
      </c>
      <c r="E138">
        <v>13</v>
      </c>
      <c r="F138">
        <v>14</v>
      </c>
      <c r="G138">
        <v>8</v>
      </c>
      <c r="H138">
        <v>5</v>
      </c>
      <c r="I138">
        <v>1</v>
      </c>
      <c r="J138">
        <v>2</v>
      </c>
      <c r="K138">
        <v>0</v>
      </c>
      <c r="L138">
        <v>0</v>
      </c>
      <c r="M138">
        <v>0</v>
      </c>
      <c r="N138">
        <v>0</v>
      </c>
      <c r="O138">
        <v>0</v>
      </c>
      <c r="P138">
        <f t="shared" si="8"/>
        <v>13</v>
      </c>
      <c r="Q138">
        <f t="shared" si="9"/>
        <v>3</v>
      </c>
      <c r="R138">
        <f t="shared" si="10"/>
        <v>0</v>
      </c>
      <c r="S138">
        <f t="shared" si="11"/>
        <v>3</v>
      </c>
      <c r="W138" s="7" t="s">
        <v>23</v>
      </c>
      <c r="X138" s="7" t="s">
        <v>37</v>
      </c>
    </row>
    <row r="139" spans="1:24" ht="18.75" x14ac:dyDescent="0.3">
      <c r="A139">
        <v>2011</v>
      </c>
      <c r="B139">
        <v>269</v>
      </c>
      <c r="C139">
        <v>25</v>
      </c>
      <c r="D139">
        <v>19</v>
      </c>
      <c r="E139">
        <v>18</v>
      </c>
      <c r="F139">
        <v>25</v>
      </c>
      <c r="G139">
        <v>5</v>
      </c>
      <c r="H139">
        <v>2</v>
      </c>
      <c r="I139">
        <v>1</v>
      </c>
      <c r="J139">
        <v>0</v>
      </c>
      <c r="K139">
        <v>0</v>
      </c>
      <c r="L139">
        <v>1</v>
      </c>
      <c r="M139">
        <v>0</v>
      </c>
      <c r="N139">
        <v>0</v>
      </c>
      <c r="O139">
        <v>0</v>
      </c>
      <c r="P139">
        <f t="shared" si="8"/>
        <v>7</v>
      </c>
      <c r="Q139">
        <f t="shared" si="9"/>
        <v>1</v>
      </c>
      <c r="R139">
        <f t="shared" si="10"/>
        <v>1</v>
      </c>
      <c r="S139">
        <f t="shared" si="11"/>
        <v>2</v>
      </c>
      <c r="W139" s="7" t="s">
        <v>25</v>
      </c>
      <c r="X139" s="7" t="s">
        <v>38</v>
      </c>
    </row>
    <row r="140" spans="1:24" x14ac:dyDescent="0.25">
      <c r="A140">
        <v>2012</v>
      </c>
      <c r="B140">
        <v>271</v>
      </c>
      <c r="C140">
        <v>25</v>
      </c>
      <c r="D140">
        <v>24</v>
      </c>
      <c r="E140">
        <v>17</v>
      </c>
      <c r="F140">
        <v>15</v>
      </c>
      <c r="G140">
        <v>7</v>
      </c>
      <c r="H140">
        <v>4</v>
      </c>
      <c r="I140">
        <v>2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1</v>
      </c>
      <c r="P140">
        <f t="shared" si="8"/>
        <v>11</v>
      </c>
      <c r="Q140">
        <f t="shared" si="9"/>
        <v>2</v>
      </c>
      <c r="R140">
        <f t="shared" si="10"/>
        <v>1</v>
      </c>
      <c r="S140">
        <f t="shared" si="11"/>
        <v>3</v>
      </c>
    </row>
    <row r="141" spans="1:24" x14ac:dyDescent="0.25">
      <c r="A141">
        <v>2013</v>
      </c>
      <c r="B141">
        <v>266</v>
      </c>
      <c r="C141">
        <v>33</v>
      </c>
      <c r="D141">
        <v>19</v>
      </c>
      <c r="E141">
        <v>21</v>
      </c>
      <c r="F141">
        <v>11</v>
      </c>
      <c r="G141">
        <v>11</v>
      </c>
      <c r="H141">
        <v>1</v>
      </c>
      <c r="I141">
        <v>2</v>
      </c>
      <c r="J141">
        <v>1</v>
      </c>
      <c r="K141">
        <v>0</v>
      </c>
      <c r="L141">
        <v>0</v>
      </c>
      <c r="M141">
        <v>0</v>
      </c>
      <c r="N141">
        <v>0</v>
      </c>
      <c r="O141">
        <v>0</v>
      </c>
      <c r="P141">
        <f t="shared" si="8"/>
        <v>12</v>
      </c>
      <c r="Q141">
        <f t="shared" si="9"/>
        <v>3</v>
      </c>
      <c r="R141">
        <f t="shared" si="10"/>
        <v>0</v>
      </c>
      <c r="S141">
        <f t="shared" si="11"/>
        <v>3</v>
      </c>
    </row>
    <row r="142" spans="1:24" x14ac:dyDescent="0.25">
      <c r="A142">
        <v>2014</v>
      </c>
      <c r="B142">
        <v>270</v>
      </c>
      <c r="C142">
        <v>28</v>
      </c>
      <c r="D142">
        <v>25</v>
      </c>
      <c r="E142">
        <v>13</v>
      </c>
      <c r="F142">
        <v>11</v>
      </c>
      <c r="G142">
        <v>10</v>
      </c>
      <c r="H142">
        <v>3</v>
      </c>
      <c r="I142">
        <v>3</v>
      </c>
      <c r="J142">
        <v>1</v>
      </c>
      <c r="K142">
        <v>1</v>
      </c>
      <c r="L142">
        <v>0</v>
      </c>
      <c r="M142">
        <v>0</v>
      </c>
      <c r="N142">
        <v>0</v>
      </c>
      <c r="O142">
        <v>0</v>
      </c>
      <c r="P142">
        <f t="shared" si="8"/>
        <v>13</v>
      </c>
      <c r="Q142">
        <f t="shared" si="9"/>
        <v>5</v>
      </c>
      <c r="R142">
        <f t="shared" si="10"/>
        <v>0</v>
      </c>
      <c r="S142">
        <f t="shared" si="11"/>
        <v>5</v>
      </c>
    </row>
    <row r="143" spans="1:24" x14ac:dyDescent="0.25">
      <c r="A143">
        <v>2015</v>
      </c>
      <c r="B143">
        <v>279</v>
      </c>
      <c r="C143">
        <v>24</v>
      </c>
      <c r="D143">
        <v>16</v>
      </c>
      <c r="E143">
        <v>17</v>
      </c>
      <c r="F143">
        <v>19</v>
      </c>
      <c r="G143">
        <v>6</v>
      </c>
      <c r="H143">
        <v>1</v>
      </c>
      <c r="I143">
        <v>2</v>
      </c>
      <c r="J143">
        <v>1</v>
      </c>
      <c r="K143">
        <v>0</v>
      </c>
      <c r="L143">
        <v>0</v>
      </c>
      <c r="M143">
        <v>0</v>
      </c>
      <c r="N143">
        <v>0</v>
      </c>
      <c r="O143">
        <v>0</v>
      </c>
      <c r="P143">
        <f t="shared" si="8"/>
        <v>7</v>
      </c>
      <c r="Q143">
        <f t="shared" si="9"/>
        <v>3</v>
      </c>
      <c r="R143">
        <f t="shared" si="10"/>
        <v>0</v>
      </c>
      <c r="S143">
        <f t="shared" si="11"/>
        <v>3</v>
      </c>
    </row>
    <row r="144" spans="1:24" x14ac:dyDescent="0.25">
      <c r="A144">
        <v>2016</v>
      </c>
      <c r="B144">
        <v>267</v>
      </c>
      <c r="C144">
        <v>26</v>
      </c>
      <c r="D144">
        <v>24</v>
      </c>
      <c r="E144">
        <v>23</v>
      </c>
      <c r="F144">
        <v>17</v>
      </c>
      <c r="G144">
        <v>5</v>
      </c>
      <c r="H144">
        <v>1</v>
      </c>
      <c r="I144">
        <v>1</v>
      </c>
      <c r="J144">
        <v>1</v>
      </c>
      <c r="K144">
        <v>0</v>
      </c>
      <c r="L144">
        <v>1</v>
      </c>
      <c r="M144">
        <v>0</v>
      </c>
      <c r="N144">
        <v>0</v>
      </c>
      <c r="O144">
        <v>0</v>
      </c>
      <c r="P144">
        <f t="shared" si="8"/>
        <v>6</v>
      </c>
      <c r="Q144">
        <f t="shared" si="9"/>
        <v>2</v>
      </c>
      <c r="R144">
        <f t="shared" si="10"/>
        <v>1</v>
      </c>
      <c r="S144">
        <f t="shared" si="11"/>
        <v>3</v>
      </c>
    </row>
    <row r="145" spans="1:19" x14ac:dyDescent="0.25">
      <c r="A145">
        <v>2017</v>
      </c>
      <c r="B145">
        <v>274</v>
      </c>
      <c r="C145">
        <v>29</v>
      </c>
      <c r="D145">
        <v>19</v>
      </c>
      <c r="E145">
        <v>18</v>
      </c>
      <c r="F145">
        <v>9</v>
      </c>
      <c r="G145">
        <v>8</v>
      </c>
      <c r="H145">
        <v>4</v>
      </c>
      <c r="I145">
        <v>0</v>
      </c>
      <c r="J145">
        <v>2</v>
      </c>
      <c r="K145">
        <v>2</v>
      </c>
      <c r="L145">
        <v>0</v>
      </c>
      <c r="M145">
        <v>0</v>
      </c>
      <c r="N145">
        <v>0</v>
      </c>
      <c r="O145">
        <v>0</v>
      </c>
      <c r="P145">
        <f t="shared" si="8"/>
        <v>12</v>
      </c>
      <c r="Q145">
        <f t="shared" si="9"/>
        <v>4</v>
      </c>
      <c r="R145">
        <f t="shared" si="10"/>
        <v>0</v>
      </c>
      <c r="S145">
        <f t="shared" si="11"/>
        <v>4</v>
      </c>
    </row>
    <row r="147" spans="1:19" x14ac:dyDescent="0.25">
      <c r="A147" s="28" t="s">
        <v>58</v>
      </c>
      <c r="B147" s="21">
        <f>AVERAGE(B109:B138)</f>
        <v>277.06666666666666</v>
      </c>
      <c r="C147" s="21">
        <f>AVERAGE(C116:C145)</f>
        <v>25.166666666666668</v>
      </c>
      <c r="D147" s="21">
        <f t="shared" ref="D147:S147" si="12">AVERAGE(D116:D145)</f>
        <v>20.233333333333334</v>
      </c>
      <c r="E147" s="21">
        <f t="shared" si="12"/>
        <v>17.066666666666666</v>
      </c>
      <c r="F147" s="21">
        <f t="shared" si="12"/>
        <v>15.566666666666666</v>
      </c>
      <c r="G147" s="21">
        <f t="shared" si="12"/>
        <v>6.833333333333333</v>
      </c>
      <c r="H147" s="21">
        <f t="shared" si="12"/>
        <v>2.2666666666666666</v>
      </c>
      <c r="I147" s="21">
        <f t="shared" si="12"/>
        <v>1.2333333333333334</v>
      </c>
      <c r="J147" s="21">
        <f t="shared" si="12"/>
        <v>0.53333333333333333</v>
      </c>
      <c r="K147" s="21">
        <f t="shared" si="12"/>
        <v>0.36666666666666664</v>
      </c>
      <c r="L147" s="21">
        <f t="shared" si="12"/>
        <v>0.1</v>
      </c>
      <c r="M147" s="21">
        <f t="shared" si="12"/>
        <v>3.3333333333333333E-2</v>
      </c>
      <c r="N147" s="21">
        <f t="shared" si="12"/>
        <v>3.3333333333333333E-2</v>
      </c>
      <c r="O147" s="21">
        <f t="shared" si="12"/>
        <v>3.3333333333333333E-2</v>
      </c>
      <c r="P147" s="21">
        <f t="shared" si="12"/>
        <v>9.1</v>
      </c>
      <c r="Q147" s="21">
        <f t="shared" si="12"/>
        <v>2.1333333333333333</v>
      </c>
      <c r="R147" s="21">
        <f t="shared" si="12"/>
        <v>0.2</v>
      </c>
      <c r="S147" s="21">
        <f t="shared" si="12"/>
        <v>2.3333333333333335</v>
      </c>
    </row>
    <row r="148" spans="1:19" x14ac:dyDescent="0.25">
      <c r="A148" s="28" t="s">
        <v>59</v>
      </c>
      <c r="B148" s="21">
        <f>AVERAGE(B2:B145)</f>
        <v>267.80555555555554</v>
      </c>
      <c r="C148" s="21">
        <f>AVERAGE(C2:C115)</f>
        <v>29.403508771929825</v>
      </c>
      <c r="D148" s="21">
        <f t="shared" ref="D148:S148" si="13">AVERAGE(D2:D115)</f>
        <v>23.578947368421051</v>
      </c>
      <c r="E148" s="21">
        <f t="shared" si="13"/>
        <v>20.403508771929825</v>
      </c>
      <c r="F148" s="21">
        <f t="shared" si="13"/>
        <v>17.140350877192983</v>
      </c>
      <c r="G148" s="21">
        <f t="shared" si="13"/>
        <v>5.5175438596491224</v>
      </c>
      <c r="H148" s="21">
        <f t="shared" si="13"/>
        <v>1.8421052631578947</v>
      </c>
      <c r="I148" s="21">
        <f t="shared" si="13"/>
        <v>0.79824561403508776</v>
      </c>
      <c r="J148" s="21">
        <f t="shared" si="13"/>
        <v>0.35964912280701755</v>
      </c>
      <c r="K148" s="21">
        <f t="shared" si="13"/>
        <v>0.28947368421052633</v>
      </c>
      <c r="L148" s="21">
        <f t="shared" si="13"/>
        <v>8.771929824561403E-2</v>
      </c>
      <c r="M148" s="21">
        <f t="shared" si="13"/>
        <v>3.5087719298245612E-2</v>
      </c>
      <c r="N148" s="21">
        <f t="shared" si="13"/>
        <v>2.6315789473684209E-2</v>
      </c>
      <c r="O148" s="21">
        <f t="shared" si="13"/>
        <v>5.2631578947368418E-2</v>
      </c>
      <c r="P148" s="21">
        <f t="shared" si="13"/>
        <v>7.3596491228070171</v>
      </c>
      <c r="Q148" s="21">
        <f t="shared" si="13"/>
        <v>1.4473684210526316</v>
      </c>
      <c r="R148" s="21">
        <f t="shared" si="13"/>
        <v>0.20175438596491227</v>
      </c>
      <c r="S148" s="21">
        <f t="shared" si="13"/>
        <v>1.6491228070175439</v>
      </c>
    </row>
  </sheetData>
  <mergeCells count="3">
    <mergeCell ref="Y9:Y10"/>
    <mergeCell ref="Y11:Y13"/>
    <mergeCell ref="Y14:Y1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49"/>
  <sheetViews>
    <sheetView zoomScale="70" zoomScaleNormal="70" workbookViewId="0">
      <pane ySplit="1" topLeftCell="A100" activePane="bottomLeft" state="frozen"/>
      <selection activeCell="E180" sqref="E180"/>
      <selection pane="bottomLeft" activeCell="U116" sqref="U116:V145"/>
    </sheetView>
  </sheetViews>
  <sheetFormatPr defaultRowHeight="15" x14ac:dyDescent="0.25"/>
  <cols>
    <col min="1" max="1" width="15.7109375" bestFit="1" customWidth="1"/>
    <col min="2" max="2" width="0" hidden="1" customWidth="1"/>
    <col min="7" max="8" width="0" style="13" hidden="1" customWidth="1"/>
    <col min="9" max="11" width="0" style="14" hidden="1" customWidth="1"/>
    <col min="12" max="15" width="0" style="15" hidden="1" customWidth="1"/>
    <col min="17" max="18" width="0" hidden="1" customWidth="1"/>
    <col min="21" max="21" width="20.28515625" customWidth="1"/>
    <col min="22" max="22" width="18.5703125" bestFit="1" customWidth="1"/>
    <col min="23" max="23" width="4.42578125" hidden="1" customWidth="1"/>
    <col min="28" max="36" width="0" hidden="1" customWidth="1"/>
    <col min="38" max="39" width="0" hidden="1" customWidth="1"/>
    <col min="42" max="42" width="18.5703125" bestFit="1" customWidth="1"/>
    <col min="43" max="43" width="17" bestFit="1" customWidth="1"/>
  </cols>
  <sheetData>
    <row r="1" spans="1:43" ht="18.75" x14ac:dyDescent="0.3">
      <c r="A1" s="8"/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10" t="s">
        <v>5</v>
      </c>
      <c r="H1" s="10" t="s">
        <v>6</v>
      </c>
      <c r="I1" s="11" t="s">
        <v>7</v>
      </c>
      <c r="J1" s="11" t="s">
        <v>8</v>
      </c>
      <c r="K1" s="11" t="s">
        <v>9</v>
      </c>
      <c r="L1" s="12" t="s">
        <v>10</v>
      </c>
      <c r="M1" s="12" t="s">
        <v>11</v>
      </c>
      <c r="N1" s="12" t="s">
        <v>12</v>
      </c>
      <c r="O1" s="12" t="s">
        <v>13</v>
      </c>
      <c r="P1" s="8" t="s">
        <v>23</v>
      </c>
      <c r="Q1" s="8" t="s">
        <v>24</v>
      </c>
      <c r="R1" s="8" t="s">
        <v>29</v>
      </c>
      <c r="S1" s="8" t="s">
        <v>25</v>
      </c>
      <c r="T1" s="8"/>
      <c r="U1" s="8" t="s">
        <v>30</v>
      </c>
      <c r="V1" s="8" t="s">
        <v>36</v>
      </c>
      <c r="W1" s="8"/>
      <c r="X1" s="8" t="s">
        <v>1</v>
      </c>
      <c r="Y1" s="8" t="s">
        <v>2</v>
      </c>
      <c r="Z1" s="8" t="s">
        <v>3</v>
      </c>
      <c r="AA1" s="8" t="s">
        <v>4</v>
      </c>
      <c r="AB1" s="8" t="s">
        <v>5</v>
      </c>
      <c r="AC1" s="8" t="s">
        <v>6</v>
      </c>
      <c r="AD1" s="8" t="s">
        <v>7</v>
      </c>
      <c r="AE1" s="8" t="s">
        <v>8</v>
      </c>
      <c r="AF1" s="8" t="s">
        <v>9</v>
      </c>
      <c r="AG1" s="8" t="s">
        <v>10</v>
      </c>
      <c r="AH1" s="8" t="s">
        <v>11</v>
      </c>
      <c r="AI1" s="8" t="s">
        <v>12</v>
      </c>
      <c r="AJ1" s="8" t="s">
        <v>13</v>
      </c>
      <c r="AK1" s="8" t="s">
        <v>23</v>
      </c>
      <c r="AL1" s="8" t="s">
        <v>24</v>
      </c>
      <c r="AM1" s="8" t="s">
        <v>29</v>
      </c>
      <c r="AN1" s="8" t="s">
        <v>25</v>
      </c>
      <c r="AP1" s="7" t="s">
        <v>15</v>
      </c>
      <c r="AQ1" s="7"/>
    </row>
    <row r="2" spans="1:43" ht="18.75" x14ac:dyDescent="0.3">
      <c r="A2">
        <v>1874</v>
      </c>
      <c r="B2">
        <v>0</v>
      </c>
      <c r="C2">
        <v>2.14</v>
      </c>
      <c r="D2">
        <v>1.94999999999999</v>
      </c>
      <c r="E2">
        <v>6.5199999999999898</v>
      </c>
      <c r="F2">
        <v>11.99</v>
      </c>
      <c r="G2" s="13">
        <v>6.08</v>
      </c>
      <c r="H2" s="13">
        <v>5.1899999999999897</v>
      </c>
      <c r="I2" s="14">
        <v>0</v>
      </c>
      <c r="J2" s="14">
        <v>0</v>
      </c>
      <c r="K2" s="14">
        <v>0</v>
      </c>
      <c r="L2" s="15">
        <v>0</v>
      </c>
      <c r="M2" s="15">
        <v>0</v>
      </c>
      <c r="N2" s="15">
        <v>0</v>
      </c>
      <c r="O2" s="15">
        <v>0</v>
      </c>
      <c r="P2">
        <f>SUM(G2:H2)</f>
        <v>11.269999999999989</v>
      </c>
      <c r="Q2">
        <f>SUM(I2:K2)</f>
        <v>0</v>
      </c>
      <c r="R2">
        <f>SUM(L2:O2)</f>
        <v>0</v>
      </c>
      <c r="S2">
        <f>SUM(Q2:R2)</f>
        <v>0</v>
      </c>
      <c r="U2">
        <v>1874</v>
      </c>
      <c r="V2">
        <v>34.090000000000003</v>
      </c>
      <c r="X2" s="17">
        <f>(C2/$V2)</f>
        <v>6.2775007333528893E-2</v>
      </c>
      <c r="Y2" s="17">
        <f>(D2/$V2)</f>
        <v>5.7201525374009674E-2</v>
      </c>
      <c r="Z2" s="17">
        <f t="shared" ref="Z2:AN2" si="0">(E2/$V2)</f>
        <v>0.19125843355822791</v>
      </c>
      <c r="AA2" s="17">
        <f t="shared" si="0"/>
        <v>0.35171604576122029</v>
      </c>
      <c r="AB2" s="17">
        <f t="shared" si="0"/>
        <v>0.17835142270460544</v>
      </c>
      <c r="AC2" s="17">
        <f t="shared" si="0"/>
        <v>0.15224405984159545</v>
      </c>
      <c r="AD2" s="17">
        <f t="shared" si="0"/>
        <v>0</v>
      </c>
      <c r="AE2" s="17">
        <f t="shared" si="0"/>
        <v>0</v>
      </c>
      <c r="AF2" s="17">
        <f t="shared" si="0"/>
        <v>0</v>
      </c>
      <c r="AG2" s="17">
        <f t="shared" si="0"/>
        <v>0</v>
      </c>
      <c r="AH2" s="17">
        <f t="shared" si="0"/>
        <v>0</v>
      </c>
      <c r="AI2" s="17">
        <f t="shared" si="0"/>
        <v>0</v>
      </c>
      <c r="AJ2" s="17">
        <f t="shared" si="0"/>
        <v>0</v>
      </c>
      <c r="AK2" s="17">
        <f t="shared" si="0"/>
        <v>0.33059548254620086</v>
      </c>
      <c r="AL2" s="17">
        <f t="shared" si="0"/>
        <v>0</v>
      </c>
      <c r="AM2" s="17">
        <f t="shared" si="0"/>
        <v>0</v>
      </c>
      <c r="AN2" s="17">
        <f t="shared" si="0"/>
        <v>0</v>
      </c>
      <c r="AP2" s="7" t="s">
        <v>16</v>
      </c>
      <c r="AQ2" s="7" t="s">
        <v>17</v>
      </c>
    </row>
    <row r="3" spans="1:43" ht="18.75" x14ac:dyDescent="0.3">
      <c r="A3">
        <v>1875</v>
      </c>
      <c r="B3">
        <v>0</v>
      </c>
      <c r="C3">
        <v>1.87</v>
      </c>
      <c r="D3">
        <v>4.8099999999999996</v>
      </c>
      <c r="E3">
        <v>10.61</v>
      </c>
      <c r="F3">
        <v>14.0099999999999</v>
      </c>
      <c r="G3" s="13">
        <v>3.66</v>
      </c>
      <c r="H3" s="13">
        <v>1.52</v>
      </c>
      <c r="I3" s="14">
        <v>0</v>
      </c>
      <c r="J3" s="14">
        <v>0</v>
      </c>
      <c r="K3" s="14">
        <v>3.15</v>
      </c>
      <c r="L3" s="15">
        <v>0</v>
      </c>
      <c r="M3" s="15">
        <v>0</v>
      </c>
      <c r="N3" s="15">
        <v>0</v>
      </c>
      <c r="O3" s="15">
        <v>0</v>
      </c>
      <c r="P3">
        <f t="shared" ref="P3:P66" si="1">SUM(G3:H3)</f>
        <v>5.18</v>
      </c>
      <c r="Q3">
        <f t="shared" ref="Q3:Q66" si="2">SUM(I3:K3)</f>
        <v>3.15</v>
      </c>
      <c r="R3">
        <f t="shared" ref="R3:R66" si="3">SUM(L3:O3)</f>
        <v>0</v>
      </c>
      <c r="S3">
        <f t="shared" ref="S3:S66" si="4">SUM(Q3:R3)</f>
        <v>3.15</v>
      </c>
      <c r="U3">
        <v>1875</v>
      </c>
      <c r="V3">
        <v>39.950000000000003</v>
      </c>
      <c r="X3" s="17">
        <f t="shared" ref="X3:X66" si="5">(C3/$V3)</f>
        <v>4.6808510638297871E-2</v>
      </c>
      <c r="Y3" s="17">
        <f t="shared" ref="Y3:Y66" si="6">(D3/$V3)</f>
        <v>0.12040050062578221</v>
      </c>
      <c r="Z3" s="17">
        <f t="shared" ref="Z3:Z66" si="7">(E3/$V3)</f>
        <v>0.26558197747183976</v>
      </c>
      <c r="AA3" s="17">
        <f t="shared" ref="AA3:AA66" si="8">(F3/$V3)</f>
        <v>0.35068836045056068</v>
      </c>
      <c r="AB3" s="17">
        <f t="shared" ref="AB3:AB66" si="9">(G3/$V3)</f>
        <v>9.1614518147684607E-2</v>
      </c>
      <c r="AC3" s="17">
        <f t="shared" ref="AC3:AC66" si="10">(H3/$V3)</f>
        <v>3.8047559449311638E-2</v>
      </c>
      <c r="AD3" s="17">
        <f t="shared" ref="AD3:AD66" si="11">(I3/$V3)</f>
        <v>0</v>
      </c>
      <c r="AE3" s="17">
        <f t="shared" ref="AE3:AE66" si="12">(J3/$V3)</f>
        <v>0</v>
      </c>
      <c r="AF3" s="17">
        <f t="shared" ref="AF3:AF66" si="13">(K3/$V3)</f>
        <v>7.8848560700876091E-2</v>
      </c>
      <c r="AG3" s="17">
        <f t="shared" ref="AG3:AG66" si="14">(L3/$V3)</f>
        <v>0</v>
      </c>
      <c r="AH3" s="17">
        <f t="shared" ref="AH3:AH66" si="15">(M3/$V3)</f>
        <v>0</v>
      </c>
      <c r="AI3" s="17">
        <f t="shared" ref="AI3:AI66" si="16">(N3/$V3)</f>
        <v>0</v>
      </c>
      <c r="AJ3" s="17">
        <f t="shared" ref="AJ3:AJ66" si="17">(O3/$V3)</f>
        <v>0</v>
      </c>
      <c r="AK3" s="17">
        <f t="shared" ref="AK3:AK66" si="18">(P3/$V3)</f>
        <v>0.12966207759699622</v>
      </c>
      <c r="AL3" s="17">
        <f t="shared" ref="AL3:AL66" si="19">(Q3/$V3)</f>
        <v>7.8848560700876091E-2</v>
      </c>
      <c r="AM3" s="17">
        <f t="shared" ref="AM3:AM66" si="20">(R3/$V3)</f>
        <v>0</v>
      </c>
      <c r="AN3" s="17">
        <f t="shared" ref="AN3:AN66" si="21">(S3/$V3)</f>
        <v>7.8848560700876091E-2</v>
      </c>
      <c r="AP3" s="7" t="s">
        <v>0</v>
      </c>
      <c r="AQ3" s="7" t="s">
        <v>18</v>
      </c>
    </row>
    <row r="4" spans="1:43" ht="18.75" x14ac:dyDescent="0.3">
      <c r="A4">
        <v>1876</v>
      </c>
      <c r="B4">
        <v>0</v>
      </c>
      <c r="C4">
        <v>2.5499999999999998</v>
      </c>
      <c r="D4">
        <v>3.42</v>
      </c>
      <c r="E4">
        <v>7.35</v>
      </c>
      <c r="F4">
        <v>10.46</v>
      </c>
      <c r="G4" s="13">
        <v>1.43</v>
      </c>
      <c r="H4" s="13">
        <v>1.71</v>
      </c>
      <c r="I4" s="14">
        <v>8.6999999999999993</v>
      </c>
      <c r="J4" s="14">
        <v>0</v>
      </c>
      <c r="K4" s="14">
        <v>0</v>
      </c>
      <c r="L4" s="15">
        <v>0</v>
      </c>
      <c r="M4" s="15">
        <v>0</v>
      </c>
      <c r="N4" s="15">
        <v>0</v>
      </c>
      <c r="O4" s="15">
        <v>0</v>
      </c>
      <c r="P4">
        <f t="shared" si="1"/>
        <v>3.1399999999999997</v>
      </c>
      <c r="Q4">
        <f t="shared" si="2"/>
        <v>8.6999999999999993</v>
      </c>
      <c r="R4">
        <f t="shared" si="3"/>
        <v>0</v>
      </c>
      <c r="S4">
        <f t="shared" si="4"/>
        <v>8.6999999999999993</v>
      </c>
      <c r="U4">
        <v>1876</v>
      </c>
      <c r="V4">
        <v>35.99</v>
      </c>
      <c r="X4" s="17">
        <f t="shared" si="5"/>
        <v>7.0853014726312849E-2</v>
      </c>
      <c r="Y4" s="17">
        <f t="shared" si="6"/>
        <v>9.5026396221172538E-2</v>
      </c>
      <c r="Z4" s="17">
        <f t="shared" si="7"/>
        <v>0.20422339538760764</v>
      </c>
      <c r="AA4" s="17">
        <f t="shared" si="8"/>
        <v>0.29063628785773826</v>
      </c>
      <c r="AB4" s="17">
        <f t="shared" si="9"/>
        <v>3.9733259238677404E-2</v>
      </c>
      <c r="AC4" s="17">
        <f t="shared" si="10"/>
        <v>4.7513198110586269E-2</v>
      </c>
      <c r="AD4" s="17">
        <f t="shared" si="11"/>
        <v>0.2417338149485968</v>
      </c>
      <c r="AE4" s="17">
        <f t="shared" si="12"/>
        <v>0</v>
      </c>
      <c r="AF4" s="17">
        <f t="shared" si="13"/>
        <v>0</v>
      </c>
      <c r="AG4" s="17">
        <f t="shared" si="14"/>
        <v>0</v>
      </c>
      <c r="AH4" s="17">
        <f t="shared" si="15"/>
        <v>0</v>
      </c>
      <c r="AI4" s="17">
        <f t="shared" si="16"/>
        <v>0</v>
      </c>
      <c r="AJ4" s="17">
        <f t="shared" si="17"/>
        <v>0</v>
      </c>
      <c r="AK4" s="17">
        <f t="shared" si="18"/>
        <v>8.7246457349263673E-2</v>
      </c>
      <c r="AL4" s="17">
        <f t="shared" si="19"/>
        <v>0.2417338149485968</v>
      </c>
      <c r="AM4" s="17">
        <f t="shared" si="20"/>
        <v>0</v>
      </c>
      <c r="AN4" s="17">
        <f t="shared" si="21"/>
        <v>0.2417338149485968</v>
      </c>
      <c r="AP4" s="7" t="s">
        <v>1</v>
      </c>
      <c r="AQ4" s="7" t="s">
        <v>19</v>
      </c>
    </row>
    <row r="5" spans="1:43" ht="18.75" x14ac:dyDescent="0.3">
      <c r="A5">
        <v>1877</v>
      </c>
      <c r="B5">
        <v>0</v>
      </c>
      <c r="C5">
        <v>1.58</v>
      </c>
      <c r="D5">
        <v>4.33</v>
      </c>
      <c r="E5">
        <v>9.02</v>
      </c>
      <c r="F5">
        <v>8.93</v>
      </c>
      <c r="G5" s="13">
        <v>3.96999999999999</v>
      </c>
      <c r="H5" s="13">
        <v>3.06</v>
      </c>
      <c r="I5" s="14">
        <v>2.14</v>
      </c>
      <c r="J5" s="14">
        <v>0</v>
      </c>
      <c r="K5" s="14">
        <v>3.09</v>
      </c>
      <c r="L5" s="15">
        <v>0</v>
      </c>
      <c r="M5" s="15">
        <v>0</v>
      </c>
      <c r="N5" s="15">
        <v>0</v>
      </c>
      <c r="O5" s="15">
        <v>0</v>
      </c>
      <c r="P5">
        <f t="shared" si="1"/>
        <v>7.0299999999999905</v>
      </c>
      <c r="Q5">
        <f t="shared" si="2"/>
        <v>5.23</v>
      </c>
      <c r="R5">
        <f t="shared" si="3"/>
        <v>0</v>
      </c>
      <c r="S5">
        <f t="shared" si="4"/>
        <v>5.23</v>
      </c>
      <c r="U5">
        <v>1877</v>
      </c>
      <c r="V5">
        <v>36.380000000000003</v>
      </c>
      <c r="X5" s="17">
        <f t="shared" si="5"/>
        <v>4.3430456294667401E-2</v>
      </c>
      <c r="Y5" s="17">
        <f t="shared" si="6"/>
        <v>0.11902144035184166</v>
      </c>
      <c r="Z5" s="17">
        <f t="shared" si="7"/>
        <v>0.24793842770753158</v>
      </c>
      <c r="AA5" s="17">
        <f t="shared" si="8"/>
        <v>0.24546454095656953</v>
      </c>
      <c r="AB5" s="17">
        <f t="shared" si="9"/>
        <v>0.10912589334799312</v>
      </c>
      <c r="AC5" s="17">
        <f t="shared" si="10"/>
        <v>8.4112149532710276E-2</v>
      </c>
      <c r="AD5" s="17">
        <f t="shared" si="11"/>
        <v>5.8823529411764705E-2</v>
      </c>
      <c r="AE5" s="17">
        <f t="shared" si="12"/>
        <v>0</v>
      </c>
      <c r="AF5" s="17">
        <f t="shared" si="13"/>
        <v>8.4936778449697631E-2</v>
      </c>
      <c r="AG5" s="17">
        <f t="shared" si="14"/>
        <v>0</v>
      </c>
      <c r="AH5" s="17">
        <f t="shared" si="15"/>
        <v>0</v>
      </c>
      <c r="AI5" s="17">
        <f t="shared" si="16"/>
        <v>0</v>
      </c>
      <c r="AJ5" s="17">
        <f t="shared" si="17"/>
        <v>0</v>
      </c>
      <c r="AK5" s="17">
        <f t="shared" si="18"/>
        <v>0.1932380428807034</v>
      </c>
      <c r="AL5" s="17">
        <f t="shared" si="19"/>
        <v>0.14376030786146235</v>
      </c>
      <c r="AM5" s="17">
        <f t="shared" si="20"/>
        <v>0</v>
      </c>
      <c r="AN5" s="17">
        <f t="shared" si="21"/>
        <v>0.14376030786146235</v>
      </c>
      <c r="AP5" s="7" t="s">
        <v>2</v>
      </c>
      <c r="AQ5" s="7" t="s">
        <v>20</v>
      </c>
    </row>
    <row r="6" spans="1:43" ht="18.75" x14ac:dyDescent="0.3">
      <c r="A6">
        <v>1878</v>
      </c>
      <c r="B6">
        <v>0</v>
      </c>
      <c r="C6">
        <v>2.08</v>
      </c>
      <c r="D6">
        <v>4.6199999999999903</v>
      </c>
      <c r="E6">
        <v>9.27</v>
      </c>
      <c r="F6">
        <v>11.08</v>
      </c>
      <c r="G6" s="13">
        <v>10.069999999999901</v>
      </c>
      <c r="H6" s="13">
        <v>0</v>
      </c>
      <c r="I6" s="14">
        <v>4.71</v>
      </c>
      <c r="J6" s="14">
        <v>0</v>
      </c>
      <c r="K6" s="14">
        <v>0</v>
      </c>
      <c r="L6" s="15">
        <v>0</v>
      </c>
      <c r="M6" s="15">
        <v>0</v>
      </c>
      <c r="N6" s="15">
        <v>0</v>
      </c>
      <c r="O6" s="15">
        <v>0</v>
      </c>
      <c r="P6">
        <f t="shared" si="1"/>
        <v>10.069999999999901</v>
      </c>
      <c r="Q6">
        <f t="shared" si="2"/>
        <v>4.71</v>
      </c>
      <c r="R6">
        <f t="shared" si="3"/>
        <v>0</v>
      </c>
      <c r="S6">
        <f t="shared" si="4"/>
        <v>4.71</v>
      </c>
      <c r="U6">
        <v>1878</v>
      </c>
      <c r="V6">
        <v>42.13</v>
      </c>
      <c r="X6" s="17">
        <f t="shared" si="5"/>
        <v>4.9370994540707334E-2</v>
      </c>
      <c r="Y6" s="17">
        <f t="shared" si="6"/>
        <v>0.10966057441253241</v>
      </c>
      <c r="Z6" s="17">
        <f t="shared" si="7"/>
        <v>0.22003323047709469</v>
      </c>
      <c r="AA6" s="17">
        <f t="shared" si="8"/>
        <v>0.26299549014953716</v>
      </c>
      <c r="AB6" s="17">
        <f t="shared" si="9"/>
        <v>0.23902207453121055</v>
      </c>
      <c r="AC6" s="17">
        <f t="shared" si="10"/>
        <v>0</v>
      </c>
      <c r="AD6" s="17">
        <f t="shared" si="11"/>
        <v>0.11179681936862093</v>
      </c>
      <c r="AE6" s="17">
        <f t="shared" si="12"/>
        <v>0</v>
      </c>
      <c r="AF6" s="17">
        <f t="shared" si="13"/>
        <v>0</v>
      </c>
      <c r="AG6" s="17">
        <f t="shared" si="14"/>
        <v>0</v>
      </c>
      <c r="AH6" s="17">
        <f t="shared" si="15"/>
        <v>0</v>
      </c>
      <c r="AI6" s="17">
        <f t="shared" si="16"/>
        <v>0</v>
      </c>
      <c r="AJ6" s="17">
        <f t="shared" si="17"/>
        <v>0</v>
      </c>
      <c r="AK6" s="17">
        <f t="shared" si="18"/>
        <v>0.23902207453121055</v>
      </c>
      <c r="AL6" s="17">
        <f t="shared" si="19"/>
        <v>0.11179681936862093</v>
      </c>
      <c r="AM6" s="17">
        <f t="shared" si="20"/>
        <v>0</v>
      </c>
      <c r="AN6" s="17">
        <f t="shared" si="21"/>
        <v>0.11179681936862093</v>
      </c>
      <c r="AP6" s="7" t="s">
        <v>3</v>
      </c>
      <c r="AQ6" s="7" t="s">
        <v>21</v>
      </c>
    </row>
    <row r="7" spans="1:43" ht="18.75" x14ac:dyDescent="0.3">
      <c r="A7">
        <v>1879</v>
      </c>
      <c r="B7">
        <v>0</v>
      </c>
      <c r="C7">
        <v>2.44</v>
      </c>
      <c r="D7">
        <v>4</v>
      </c>
      <c r="E7">
        <v>6.9099999999999904</v>
      </c>
      <c r="F7">
        <v>13.549999999999899</v>
      </c>
      <c r="G7" s="13">
        <v>5.61</v>
      </c>
      <c r="H7" s="13">
        <v>3.58</v>
      </c>
      <c r="I7" s="14">
        <v>2.08</v>
      </c>
      <c r="J7" s="14">
        <v>0</v>
      </c>
      <c r="K7" s="14">
        <v>0</v>
      </c>
      <c r="L7" s="15">
        <v>0</v>
      </c>
      <c r="M7" s="15">
        <v>0</v>
      </c>
      <c r="N7" s="15">
        <v>0</v>
      </c>
      <c r="O7" s="15">
        <v>8.9700000000000006</v>
      </c>
      <c r="P7">
        <f t="shared" si="1"/>
        <v>9.1900000000000013</v>
      </c>
      <c r="Q7">
        <f t="shared" si="2"/>
        <v>2.08</v>
      </c>
      <c r="R7">
        <f t="shared" si="3"/>
        <v>8.9700000000000006</v>
      </c>
      <c r="S7">
        <f t="shared" si="4"/>
        <v>11.05</v>
      </c>
      <c r="U7">
        <v>1879</v>
      </c>
      <c r="V7">
        <v>47.48</v>
      </c>
      <c r="X7" s="17">
        <f t="shared" si="5"/>
        <v>5.1390058972198824E-2</v>
      </c>
      <c r="Y7" s="17">
        <f t="shared" si="6"/>
        <v>8.4245998315080034E-2</v>
      </c>
      <c r="Z7" s="17">
        <f t="shared" si="7"/>
        <v>0.14553496208930056</v>
      </c>
      <c r="AA7" s="17">
        <f t="shared" si="8"/>
        <v>0.28538331929233152</v>
      </c>
      <c r="AB7" s="17">
        <f t="shared" si="9"/>
        <v>0.11815501263689976</v>
      </c>
      <c r="AC7" s="17">
        <f t="shared" si="10"/>
        <v>7.5400168491996641E-2</v>
      </c>
      <c r="AD7" s="17">
        <f t="shared" si="11"/>
        <v>4.3807919123841625E-2</v>
      </c>
      <c r="AE7" s="17">
        <f t="shared" si="12"/>
        <v>0</v>
      </c>
      <c r="AF7" s="17">
        <f t="shared" si="13"/>
        <v>0</v>
      </c>
      <c r="AG7" s="17">
        <f t="shared" si="14"/>
        <v>0</v>
      </c>
      <c r="AH7" s="17">
        <f t="shared" si="15"/>
        <v>0</v>
      </c>
      <c r="AI7" s="17">
        <f t="shared" si="16"/>
        <v>0</v>
      </c>
      <c r="AJ7" s="17">
        <f t="shared" si="17"/>
        <v>0.18892165122156701</v>
      </c>
      <c r="AK7" s="17">
        <f t="shared" si="18"/>
        <v>0.19355518112889641</v>
      </c>
      <c r="AL7" s="17">
        <f t="shared" si="19"/>
        <v>4.3807919123841625E-2</v>
      </c>
      <c r="AM7" s="17">
        <f t="shared" si="20"/>
        <v>0.18892165122156701</v>
      </c>
      <c r="AN7" s="17">
        <f t="shared" si="21"/>
        <v>0.23272957034540862</v>
      </c>
      <c r="AP7" s="7" t="s">
        <v>4</v>
      </c>
      <c r="AQ7" s="7" t="s">
        <v>22</v>
      </c>
    </row>
    <row r="8" spans="1:43" ht="18.75" x14ac:dyDescent="0.3">
      <c r="A8">
        <v>1880</v>
      </c>
      <c r="B8">
        <v>0</v>
      </c>
      <c r="C8">
        <v>2.16</v>
      </c>
      <c r="D8">
        <v>4.12</v>
      </c>
      <c r="E8">
        <v>6.71</v>
      </c>
      <c r="F8">
        <v>11.049999999999899</v>
      </c>
      <c r="G8" s="13">
        <v>7.65</v>
      </c>
      <c r="H8" s="13">
        <v>8</v>
      </c>
      <c r="I8" s="14">
        <v>6.0799999999999903</v>
      </c>
      <c r="J8" s="14">
        <v>0</v>
      </c>
      <c r="K8" s="14">
        <v>0</v>
      </c>
      <c r="L8" s="15">
        <v>0</v>
      </c>
      <c r="M8" s="15">
        <v>0</v>
      </c>
      <c r="N8" s="15">
        <v>0</v>
      </c>
      <c r="O8" s="15">
        <v>0</v>
      </c>
      <c r="P8">
        <f t="shared" si="1"/>
        <v>15.65</v>
      </c>
      <c r="Q8">
        <f t="shared" si="2"/>
        <v>6.0799999999999903</v>
      </c>
      <c r="R8">
        <f t="shared" si="3"/>
        <v>0</v>
      </c>
      <c r="S8">
        <f t="shared" si="4"/>
        <v>6.0799999999999903</v>
      </c>
      <c r="U8">
        <v>1880</v>
      </c>
      <c r="V8">
        <v>46.25</v>
      </c>
      <c r="X8" s="17">
        <f t="shared" si="5"/>
        <v>4.6702702702702707E-2</v>
      </c>
      <c r="Y8" s="17">
        <f t="shared" si="6"/>
        <v>8.9081081081081079E-2</v>
      </c>
      <c r="Z8" s="17">
        <f t="shared" si="7"/>
        <v>0.14508108108108109</v>
      </c>
      <c r="AA8" s="17">
        <f t="shared" si="8"/>
        <v>0.23891891891891676</v>
      </c>
      <c r="AB8" s="17">
        <f t="shared" si="9"/>
        <v>0.16540540540540541</v>
      </c>
      <c r="AC8" s="17">
        <f t="shared" si="10"/>
        <v>0.17297297297297298</v>
      </c>
      <c r="AD8" s="17">
        <f t="shared" si="11"/>
        <v>0.13145945945945925</v>
      </c>
      <c r="AE8" s="17">
        <f t="shared" si="12"/>
        <v>0</v>
      </c>
      <c r="AF8" s="17">
        <f t="shared" si="13"/>
        <v>0</v>
      </c>
      <c r="AG8" s="17">
        <f t="shared" si="14"/>
        <v>0</v>
      </c>
      <c r="AH8" s="17">
        <f t="shared" si="15"/>
        <v>0</v>
      </c>
      <c r="AI8" s="17">
        <f t="shared" si="16"/>
        <v>0</v>
      </c>
      <c r="AJ8" s="17">
        <f t="shared" si="17"/>
        <v>0</v>
      </c>
      <c r="AK8" s="17">
        <f t="shared" si="18"/>
        <v>0.33837837837837836</v>
      </c>
      <c r="AL8" s="17">
        <f t="shared" si="19"/>
        <v>0.13145945945945925</v>
      </c>
      <c r="AM8" s="17">
        <f t="shared" si="20"/>
        <v>0</v>
      </c>
      <c r="AN8" s="17">
        <f t="shared" si="21"/>
        <v>0.13145945945945925</v>
      </c>
      <c r="AP8" s="7" t="s">
        <v>23</v>
      </c>
      <c r="AQ8" s="7" t="s">
        <v>37</v>
      </c>
    </row>
    <row r="9" spans="1:43" ht="18.75" x14ac:dyDescent="0.3">
      <c r="A9">
        <v>1881</v>
      </c>
      <c r="B9">
        <v>0</v>
      </c>
      <c r="C9">
        <v>1.78</v>
      </c>
      <c r="D9">
        <v>4.9000000000000004</v>
      </c>
      <c r="E9">
        <v>7.46</v>
      </c>
      <c r="F9">
        <v>12.7</v>
      </c>
      <c r="G9" s="13">
        <v>7.08</v>
      </c>
      <c r="H9" s="13">
        <v>3.52</v>
      </c>
      <c r="I9" s="14">
        <v>2.31</v>
      </c>
      <c r="J9" s="14">
        <v>0</v>
      </c>
      <c r="K9" s="14">
        <v>0</v>
      </c>
      <c r="L9" s="15">
        <v>0</v>
      </c>
      <c r="M9" s="15">
        <v>0</v>
      </c>
      <c r="N9" s="15">
        <v>0</v>
      </c>
      <c r="O9" s="15">
        <v>0</v>
      </c>
      <c r="P9">
        <f t="shared" si="1"/>
        <v>10.6</v>
      </c>
      <c r="Q9">
        <f t="shared" si="2"/>
        <v>2.31</v>
      </c>
      <c r="R9">
        <f t="shared" si="3"/>
        <v>0</v>
      </c>
      <c r="S9">
        <f t="shared" si="4"/>
        <v>2.31</v>
      </c>
      <c r="U9">
        <v>1881</v>
      </c>
      <c r="V9">
        <v>40.08</v>
      </c>
      <c r="X9" s="17">
        <f t="shared" si="5"/>
        <v>4.441117764471058E-2</v>
      </c>
      <c r="Y9" s="17">
        <f t="shared" si="6"/>
        <v>0.1222554890219561</v>
      </c>
      <c r="Z9" s="17">
        <f t="shared" si="7"/>
        <v>0.18612774451097805</v>
      </c>
      <c r="AA9" s="17">
        <f t="shared" si="8"/>
        <v>0.31686626746506985</v>
      </c>
      <c r="AB9" s="17">
        <f t="shared" si="9"/>
        <v>0.17664670658682635</v>
      </c>
      <c r="AC9" s="17">
        <f t="shared" si="10"/>
        <v>8.7824351297405193E-2</v>
      </c>
      <c r="AD9" s="17">
        <f t="shared" si="11"/>
        <v>5.7634730538922159E-2</v>
      </c>
      <c r="AE9" s="17">
        <f t="shared" si="12"/>
        <v>0</v>
      </c>
      <c r="AF9" s="17">
        <f t="shared" si="13"/>
        <v>0</v>
      </c>
      <c r="AG9" s="17">
        <f t="shared" si="14"/>
        <v>0</v>
      </c>
      <c r="AH9" s="17">
        <f t="shared" si="15"/>
        <v>0</v>
      </c>
      <c r="AI9" s="17">
        <f t="shared" si="16"/>
        <v>0</v>
      </c>
      <c r="AJ9" s="17">
        <f t="shared" si="17"/>
        <v>0</v>
      </c>
      <c r="AK9" s="17">
        <f t="shared" si="18"/>
        <v>0.26447105788423153</v>
      </c>
      <c r="AL9" s="17">
        <f t="shared" si="19"/>
        <v>5.7634730538922159E-2</v>
      </c>
      <c r="AM9" s="17">
        <f t="shared" si="20"/>
        <v>0</v>
      </c>
      <c r="AN9" s="17">
        <f t="shared" si="21"/>
        <v>5.7634730538922159E-2</v>
      </c>
      <c r="AP9" s="7" t="s">
        <v>25</v>
      </c>
      <c r="AQ9" s="7" t="s">
        <v>38</v>
      </c>
    </row>
    <row r="10" spans="1:43" ht="18.75" x14ac:dyDescent="0.3">
      <c r="A10">
        <v>1882</v>
      </c>
      <c r="B10">
        <v>0</v>
      </c>
      <c r="C10">
        <v>2.2799999999999998</v>
      </c>
      <c r="D10">
        <v>4.43</v>
      </c>
      <c r="E10">
        <v>7.4299999999999899</v>
      </c>
      <c r="F10">
        <v>19.319999999999901</v>
      </c>
      <c r="G10" s="13">
        <v>4.59</v>
      </c>
      <c r="H10" s="13">
        <v>1.7</v>
      </c>
      <c r="I10" s="14">
        <v>2.09</v>
      </c>
      <c r="J10" s="14">
        <v>0</v>
      </c>
      <c r="K10" s="14">
        <v>3.21</v>
      </c>
      <c r="L10" s="15">
        <v>4.79</v>
      </c>
      <c r="M10" s="15">
        <v>5.16</v>
      </c>
      <c r="N10" s="15">
        <v>0</v>
      </c>
      <c r="O10" s="15">
        <v>0</v>
      </c>
      <c r="P10">
        <f t="shared" si="1"/>
        <v>6.29</v>
      </c>
      <c r="Q10">
        <f t="shared" si="2"/>
        <v>5.3</v>
      </c>
      <c r="R10">
        <f t="shared" si="3"/>
        <v>9.9499999999999993</v>
      </c>
      <c r="S10">
        <f t="shared" si="4"/>
        <v>15.25</v>
      </c>
      <c r="U10">
        <v>1882</v>
      </c>
      <c r="V10">
        <v>55.29</v>
      </c>
      <c r="X10" s="17">
        <f t="shared" si="5"/>
        <v>4.1237113402061855E-2</v>
      </c>
      <c r="Y10" s="17">
        <f t="shared" si="6"/>
        <v>8.0122987882076321E-2</v>
      </c>
      <c r="Z10" s="17">
        <f t="shared" si="7"/>
        <v>0.13438234762163123</v>
      </c>
      <c r="AA10" s="17">
        <f t="shared" si="8"/>
        <v>0.34943027672273286</v>
      </c>
      <c r="AB10" s="17">
        <f t="shared" si="9"/>
        <v>8.3016820401519267E-2</v>
      </c>
      <c r="AC10" s="17">
        <f t="shared" si="10"/>
        <v>3.0746970519081207E-2</v>
      </c>
      <c r="AD10" s="17">
        <f t="shared" si="11"/>
        <v>3.7800687285223365E-2</v>
      </c>
      <c r="AE10" s="17">
        <f t="shared" si="12"/>
        <v>0</v>
      </c>
      <c r="AF10" s="17">
        <f t="shared" si="13"/>
        <v>5.8057514921323931E-2</v>
      </c>
      <c r="AG10" s="17">
        <f t="shared" si="14"/>
        <v>8.6634111050822929E-2</v>
      </c>
      <c r="AH10" s="17">
        <f t="shared" si="15"/>
        <v>9.3326098752034736E-2</v>
      </c>
      <c r="AI10" s="17">
        <f t="shared" si="16"/>
        <v>0</v>
      </c>
      <c r="AJ10" s="17">
        <f t="shared" si="17"/>
        <v>0</v>
      </c>
      <c r="AK10" s="17">
        <f t="shared" si="18"/>
        <v>0.11376379092060047</v>
      </c>
      <c r="AL10" s="17">
        <f t="shared" si="19"/>
        <v>9.5858202206547297E-2</v>
      </c>
      <c r="AM10" s="17">
        <f t="shared" si="20"/>
        <v>0.17996020980285765</v>
      </c>
      <c r="AN10" s="17">
        <f t="shared" si="21"/>
        <v>0.27581841200940493</v>
      </c>
      <c r="AP10" s="7"/>
      <c r="AQ10" s="7"/>
    </row>
    <row r="11" spans="1:43" ht="18.75" x14ac:dyDescent="0.3">
      <c r="A11">
        <v>1883</v>
      </c>
      <c r="B11">
        <v>0</v>
      </c>
      <c r="C11">
        <v>2.44</v>
      </c>
      <c r="D11">
        <v>5.12</v>
      </c>
      <c r="E11">
        <v>6.87</v>
      </c>
      <c r="F11">
        <v>12.55</v>
      </c>
      <c r="G11" s="13">
        <v>6.76</v>
      </c>
      <c r="H11" s="13">
        <v>4.84</v>
      </c>
      <c r="I11" s="14">
        <v>0</v>
      </c>
      <c r="J11" s="14">
        <v>2.59</v>
      </c>
      <c r="K11" s="14">
        <v>3.11</v>
      </c>
      <c r="L11" s="15">
        <v>0</v>
      </c>
      <c r="M11" s="15">
        <v>0</v>
      </c>
      <c r="N11" s="15">
        <v>0</v>
      </c>
      <c r="O11" s="15">
        <v>0</v>
      </c>
      <c r="P11">
        <f t="shared" si="1"/>
        <v>11.6</v>
      </c>
      <c r="Q11">
        <f t="shared" si="2"/>
        <v>5.6999999999999993</v>
      </c>
      <c r="R11">
        <f t="shared" si="3"/>
        <v>0</v>
      </c>
      <c r="S11">
        <f t="shared" si="4"/>
        <v>5.6999999999999993</v>
      </c>
      <c r="U11">
        <v>1883</v>
      </c>
      <c r="V11">
        <v>44.64</v>
      </c>
      <c r="X11" s="17">
        <f t="shared" si="5"/>
        <v>5.46594982078853E-2</v>
      </c>
      <c r="Y11" s="17">
        <f t="shared" si="6"/>
        <v>0.11469534050179211</v>
      </c>
      <c r="Z11" s="17">
        <f t="shared" si="7"/>
        <v>0.15389784946236559</v>
      </c>
      <c r="AA11" s="17">
        <f t="shared" si="8"/>
        <v>0.28113799283154123</v>
      </c>
      <c r="AB11" s="17">
        <f t="shared" si="9"/>
        <v>0.15143369175627239</v>
      </c>
      <c r="AC11" s="17">
        <f t="shared" si="10"/>
        <v>0.10842293906810035</v>
      </c>
      <c r="AD11" s="17">
        <f t="shared" si="11"/>
        <v>0</v>
      </c>
      <c r="AE11" s="17">
        <f t="shared" si="12"/>
        <v>5.8019713261648745E-2</v>
      </c>
      <c r="AF11" s="17">
        <f t="shared" si="13"/>
        <v>6.9668458781362005E-2</v>
      </c>
      <c r="AG11" s="17">
        <f t="shared" si="14"/>
        <v>0</v>
      </c>
      <c r="AH11" s="17">
        <f t="shared" si="15"/>
        <v>0</v>
      </c>
      <c r="AI11" s="17">
        <f t="shared" si="16"/>
        <v>0</v>
      </c>
      <c r="AJ11" s="17">
        <f t="shared" si="17"/>
        <v>0</v>
      </c>
      <c r="AK11" s="17">
        <f t="shared" si="18"/>
        <v>0.25985663082437277</v>
      </c>
      <c r="AL11" s="17">
        <f t="shared" si="19"/>
        <v>0.12768817204301072</v>
      </c>
      <c r="AM11" s="17">
        <f t="shared" si="20"/>
        <v>0</v>
      </c>
      <c r="AN11" s="17">
        <f t="shared" si="21"/>
        <v>0.12768817204301072</v>
      </c>
      <c r="AP11" s="7"/>
      <c r="AQ11" s="7"/>
    </row>
    <row r="12" spans="1:43" ht="18.75" x14ac:dyDescent="0.3">
      <c r="A12">
        <v>1884</v>
      </c>
      <c r="B12">
        <v>0</v>
      </c>
      <c r="C12">
        <v>2.0499999999999998</v>
      </c>
      <c r="D12">
        <v>4.03</v>
      </c>
      <c r="E12">
        <v>7.12</v>
      </c>
      <c r="F12">
        <v>16.3</v>
      </c>
      <c r="G12" s="13">
        <v>16.059999999999999</v>
      </c>
      <c r="H12" s="13">
        <v>3.52</v>
      </c>
      <c r="I12" s="14">
        <v>4.32</v>
      </c>
      <c r="J12" s="14">
        <v>0</v>
      </c>
      <c r="K12" s="14">
        <v>0</v>
      </c>
      <c r="L12" s="15">
        <v>0</v>
      </c>
      <c r="M12" s="15">
        <v>0</v>
      </c>
      <c r="N12" s="15">
        <v>0</v>
      </c>
      <c r="O12" s="15">
        <v>0</v>
      </c>
      <c r="P12">
        <f t="shared" si="1"/>
        <v>19.579999999999998</v>
      </c>
      <c r="Q12">
        <f t="shared" si="2"/>
        <v>4.32</v>
      </c>
      <c r="R12">
        <f t="shared" si="3"/>
        <v>0</v>
      </c>
      <c r="S12">
        <f t="shared" si="4"/>
        <v>4.32</v>
      </c>
      <c r="U12">
        <v>1884</v>
      </c>
      <c r="V12">
        <v>53.7</v>
      </c>
      <c r="X12" s="17">
        <f t="shared" si="5"/>
        <v>3.8175046554934818E-2</v>
      </c>
      <c r="Y12" s="17">
        <f t="shared" si="6"/>
        <v>7.5046554934823095E-2</v>
      </c>
      <c r="Z12" s="17">
        <f t="shared" si="7"/>
        <v>0.13258845437616387</v>
      </c>
      <c r="AA12" s="17">
        <f t="shared" si="8"/>
        <v>0.30353817504655495</v>
      </c>
      <c r="AB12" s="17">
        <f t="shared" si="9"/>
        <v>0.29906890130353814</v>
      </c>
      <c r="AC12" s="17">
        <f t="shared" si="10"/>
        <v>6.5549348230912477E-2</v>
      </c>
      <c r="AD12" s="17">
        <f t="shared" si="11"/>
        <v>8.0446927374301674E-2</v>
      </c>
      <c r="AE12" s="17">
        <f t="shared" si="12"/>
        <v>0</v>
      </c>
      <c r="AF12" s="17">
        <f t="shared" si="13"/>
        <v>0</v>
      </c>
      <c r="AG12" s="17">
        <f t="shared" si="14"/>
        <v>0</v>
      </c>
      <c r="AH12" s="17">
        <f t="shared" si="15"/>
        <v>0</v>
      </c>
      <c r="AI12" s="17">
        <f t="shared" si="16"/>
        <v>0</v>
      </c>
      <c r="AJ12" s="17">
        <f t="shared" si="17"/>
        <v>0</v>
      </c>
      <c r="AK12" s="17">
        <f t="shared" si="18"/>
        <v>0.3646182495344506</v>
      </c>
      <c r="AL12" s="17">
        <f t="shared" si="19"/>
        <v>8.0446927374301674E-2</v>
      </c>
      <c r="AM12" s="17">
        <f t="shared" si="20"/>
        <v>0</v>
      </c>
      <c r="AN12" s="17">
        <f t="shared" si="21"/>
        <v>8.0446927374301674E-2</v>
      </c>
      <c r="AP12" s="7"/>
      <c r="AQ12" s="7"/>
    </row>
    <row r="13" spans="1:43" ht="18.75" x14ac:dyDescent="0.3">
      <c r="A13">
        <v>1885</v>
      </c>
      <c r="B13">
        <v>0</v>
      </c>
      <c r="C13">
        <v>1.69</v>
      </c>
      <c r="D13">
        <v>3.44</v>
      </c>
      <c r="E13">
        <v>9.39</v>
      </c>
      <c r="F13">
        <v>7.43</v>
      </c>
      <c r="G13" s="13">
        <v>7.06</v>
      </c>
      <c r="H13" s="13">
        <v>5.4799999999999898</v>
      </c>
      <c r="I13" s="14">
        <v>0</v>
      </c>
      <c r="J13" s="14">
        <v>0</v>
      </c>
      <c r="K13" s="14">
        <v>3.6</v>
      </c>
      <c r="L13" s="15">
        <v>0</v>
      </c>
      <c r="M13" s="15">
        <v>0</v>
      </c>
      <c r="N13" s="15">
        <v>0</v>
      </c>
      <c r="O13" s="15">
        <v>0</v>
      </c>
      <c r="P13">
        <f t="shared" si="1"/>
        <v>12.539999999999988</v>
      </c>
      <c r="Q13">
        <f t="shared" si="2"/>
        <v>3.6</v>
      </c>
      <c r="R13">
        <f t="shared" si="3"/>
        <v>0</v>
      </c>
      <c r="S13">
        <f t="shared" si="4"/>
        <v>3.6</v>
      </c>
      <c r="U13">
        <v>1885</v>
      </c>
      <c r="V13">
        <v>38.450000000000003</v>
      </c>
      <c r="X13" s="17">
        <f t="shared" si="5"/>
        <v>4.3953185955786733E-2</v>
      </c>
      <c r="Y13" s="17">
        <f t="shared" si="6"/>
        <v>8.9466840052015592E-2</v>
      </c>
      <c r="Z13" s="17">
        <f t="shared" si="7"/>
        <v>0.24421326397919377</v>
      </c>
      <c r="AA13" s="17">
        <f t="shared" si="8"/>
        <v>0.19323797139141741</v>
      </c>
      <c r="AB13" s="17">
        <f t="shared" si="9"/>
        <v>0.18361508452535757</v>
      </c>
      <c r="AC13" s="17">
        <f t="shared" si="10"/>
        <v>0.14252275682704785</v>
      </c>
      <c r="AD13" s="17">
        <f t="shared" si="11"/>
        <v>0</v>
      </c>
      <c r="AE13" s="17">
        <f t="shared" si="12"/>
        <v>0</v>
      </c>
      <c r="AF13" s="17">
        <f t="shared" si="13"/>
        <v>9.362808842652795E-2</v>
      </c>
      <c r="AG13" s="17">
        <f t="shared" si="14"/>
        <v>0</v>
      </c>
      <c r="AH13" s="17">
        <f t="shared" si="15"/>
        <v>0</v>
      </c>
      <c r="AI13" s="17">
        <f t="shared" si="16"/>
        <v>0</v>
      </c>
      <c r="AJ13" s="17">
        <f t="shared" si="17"/>
        <v>0</v>
      </c>
      <c r="AK13" s="17">
        <f t="shared" si="18"/>
        <v>0.32613784135240542</v>
      </c>
      <c r="AL13" s="17">
        <f t="shared" si="19"/>
        <v>9.362808842652795E-2</v>
      </c>
      <c r="AM13" s="17">
        <f t="shared" si="20"/>
        <v>0</v>
      </c>
      <c r="AN13" s="17">
        <f t="shared" si="21"/>
        <v>9.362808842652795E-2</v>
      </c>
      <c r="AP13" s="7"/>
      <c r="AQ13" s="7"/>
    </row>
    <row r="14" spans="1:43" ht="18.75" x14ac:dyDescent="0.3">
      <c r="A14">
        <v>1886</v>
      </c>
      <c r="B14">
        <v>0</v>
      </c>
      <c r="C14">
        <v>1.89</v>
      </c>
      <c r="D14">
        <v>3.9999999999999898</v>
      </c>
      <c r="E14">
        <v>6.2699999999999898</v>
      </c>
      <c r="F14">
        <v>15.8599999999999</v>
      </c>
      <c r="G14" s="13">
        <v>4.58</v>
      </c>
      <c r="H14" s="13">
        <v>3.34</v>
      </c>
      <c r="I14" s="14">
        <v>2.48</v>
      </c>
      <c r="J14" s="14">
        <v>0</v>
      </c>
      <c r="K14" s="14">
        <v>0</v>
      </c>
      <c r="L14" s="15">
        <v>0</v>
      </c>
      <c r="M14" s="15">
        <v>0</v>
      </c>
      <c r="N14" s="15">
        <v>6.02</v>
      </c>
      <c r="O14" s="15">
        <v>0</v>
      </c>
      <c r="P14">
        <f t="shared" si="1"/>
        <v>7.92</v>
      </c>
      <c r="Q14">
        <f t="shared" si="2"/>
        <v>2.48</v>
      </c>
      <c r="R14">
        <f t="shared" si="3"/>
        <v>6.02</v>
      </c>
      <c r="S14">
        <f t="shared" si="4"/>
        <v>8.5</v>
      </c>
      <c r="U14">
        <v>1886</v>
      </c>
      <c r="V14">
        <v>44.81</v>
      </c>
      <c r="X14" s="17">
        <f t="shared" si="5"/>
        <v>4.2178085248828386E-2</v>
      </c>
      <c r="Y14" s="17">
        <f t="shared" si="6"/>
        <v>8.9265788886409056E-2</v>
      </c>
      <c r="Z14" s="17">
        <f t="shared" si="7"/>
        <v>0.13992412407944632</v>
      </c>
      <c r="AA14" s="17">
        <f t="shared" si="8"/>
        <v>0.35393885293461058</v>
      </c>
      <c r="AB14" s="17">
        <f t="shared" si="9"/>
        <v>0.10220932827493863</v>
      </c>
      <c r="AC14" s="17">
        <f t="shared" si="10"/>
        <v>7.4536933720151743E-2</v>
      </c>
      <c r="AD14" s="17">
        <f t="shared" si="11"/>
        <v>5.5344789109573751E-2</v>
      </c>
      <c r="AE14" s="17">
        <f t="shared" si="12"/>
        <v>0</v>
      </c>
      <c r="AF14" s="17">
        <f t="shared" si="13"/>
        <v>0</v>
      </c>
      <c r="AG14" s="17">
        <f t="shared" si="14"/>
        <v>0</v>
      </c>
      <c r="AH14" s="17">
        <f t="shared" si="15"/>
        <v>0</v>
      </c>
      <c r="AI14" s="17">
        <f t="shared" si="16"/>
        <v>0.13434501227404597</v>
      </c>
      <c r="AJ14" s="17">
        <f t="shared" si="17"/>
        <v>0</v>
      </c>
      <c r="AK14" s="17">
        <f t="shared" si="18"/>
        <v>0.17674626199509036</v>
      </c>
      <c r="AL14" s="17">
        <f t="shared" si="19"/>
        <v>5.5344789109573751E-2</v>
      </c>
      <c r="AM14" s="17">
        <f t="shared" si="20"/>
        <v>0.13434501227404597</v>
      </c>
      <c r="AN14" s="17">
        <f t="shared" si="21"/>
        <v>0.18968980138361971</v>
      </c>
      <c r="AP14" s="7"/>
      <c r="AQ14" s="7"/>
    </row>
    <row r="15" spans="1:43" ht="18.75" x14ac:dyDescent="0.3">
      <c r="A15">
        <v>1887</v>
      </c>
      <c r="B15">
        <v>0</v>
      </c>
      <c r="C15">
        <v>1.56</v>
      </c>
      <c r="D15">
        <v>5.96999999999999</v>
      </c>
      <c r="E15">
        <v>7.6</v>
      </c>
      <c r="F15">
        <v>12.08</v>
      </c>
      <c r="G15" s="13">
        <v>8.43</v>
      </c>
      <c r="H15" s="13">
        <v>1.72</v>
      </c>
      <c r="I15" s="14">
        <v>0</v>
      </c>
      <c r="J15" s="14">
        <v>0</v>
      </c>
      <c r="K15" s="14">
        <v>0</v>
      </c>
      <c r="L15" s="15">
        <v>0</v>
      </c>
      <c r="M15" s="15">
        <v>0</v>
      </c>
      <c r="N15" s="15">
        <v>0</v>
      </c>
      <c r="O15" s="15">
        <v>0</v>
      </c>
      <c r="P15">
        <f t="shared" si="1"/>
        <v>10.15</v>
      </c>
      <c r="Q15">
        <f t="shared" si="2"/>
        <v>0</v>
      </c>
      <c r="R15">
        <f t="shared" si="3"/>
        <v>0</v>
      </c>
      <c r="S15">
        <f t="shared" si="4"/>
        <v>0</v>
      </c>
      <c r="U15">
        <v>1887</v>
      </c>
      <c r="V15">
        <v>37.909999999999997</v>
      </c>
      <c r="X15" s="17">
        <f t="shared" si="5"/>
        <v>4.1150092323925094E-2</v>
      </c>
      <c r="Y15" s="17">
        <f t="shared" si="6"/>
        <v>0.15747823793194382</v>
      </c>
      <c r="Z15" s="17">
        <f t="shared" si="7"/>
        <v>0.20047480875758375</v>
      </c>
      <c r="AA15" s="17">
        <f t="shared" si="8"/>
        <v>0.31864943286731734</v>
      </c>
      <c r="AB15" s="17">
        <f t="shared" si="9"/>
        <v>0.22236876813505674</v>
      </c>
      <c r="AC15" s="17">
        <f t="shared" si="10"/>
        <v>4.537061461355843E-2</v>
      </c>
      <c r="AD15" s="17">
        <f t="shared" si="11"/>
        <v>0</v>
      </c>
      <c r="AE15" s="17">
        <f t="shared" si="12"/>
        <v>0</v>
      </c>
      <c r="AF15" s="17">
        <f t="shared" si="13"/>
        <v>0</v>
      </c>
      <c r="AG15" s="17">
        <f t="shared" si="14"/>
        <v>0</v>
      </c>
      <c r="AH15" s="17">
        <f t="shared" si="15"/>
        <v>0</v>
      </c>
      <c r="AI15" s="17">
        <f t="shared" si="16"/>
        <v>0</v>
      </c>
      <c r="AJ15" s="17">
        <f t="shared" si="17"/>
        <v>0</v>
      </c>
      <c r="AK15" s="17">
        <f t="shared" si="18"/>
        <v>0.2677393827486152</v>
      </c>
      <c r="AL15" s="17">
        <f t="shared" si="19"/>
        <v>0</v>
      </c>
      <c r="AM15" s="17">
        <f t="shared" si="20"/>
        <v>0</v>
      </c>
      <c r="AN15" s="17">
        <f t="shared" si="21"/>
        <v>0</v>
      </c>
      <c r="AP15" s="7"/>
      <c r="AQ15" s="7"/>
    </row>
    <row r="16" spans="1:43" ht="18.75" x14ac:dyDescent="0.3">
      <c r="A16">
        <v>1888</v>
      </c>
      <c r="B16">
        <v>0</v>
      </c>
      <c r="C16">
        <v>2.0299999999999998</v>
      </c>
      <c r="D16">
        <v>3.24</v>
      </c>
      <c r="E16">
        <v>8.0499999999999901</v>
      </c>
      <c r="F16">
        <v>18.599999999999898</v>
      </c>
      <c r="G16" s="13">
        <v>7.39</v>
      </c>
      <c r="H16" s="13">
        <v>1.63</v>
      </c>
      <c r="I16" s="14">
        <v>0</v>
      </c>
      <c r="J16" s="14">
        <v>2.72</v>
      </c>
      <c r="K16" s="14">
        <v>0</v>
      </c>
      <c r="L16" s="15">
        <v>0</v>
      </c>
      <c r="M16" s="15">
        <v>0</v>
      </c>
      <c r="N16" s="15">
        <v>0</v>
      </c>
      <c r="O16" s="15">
        <v>0</v>
      </c>
      <c r="P16">
        <f t="shared" si="1"/>
        <v>9.02</v>
      </c>
      <c r="Q16">
        <f t="shared" si="2"/>
        <v>2.72</v>
      </c>
      <c r="R16">
        <f t="shared" si="3"/>
        <v>0</v>
      </c>
      <c r="S16">
        <f t="shared" si="4"/>
        <v>2.72</v>
      </c>
      <c r="U16">
        <v>1888</v>
      </c>
      <c r="V16">
        <v>44.14</v>
      </c>
      <c r="X16" s="17">
        <f t="shared" si="5"/>
        <v>4.5990031717263249E-2</v>
      </c>
      <c r="Y16" s="17">
        <f t="shared" si="6"/>
        <v>7.3402809243316727E-2</v>
      </c>
      <c r="Z16" s="17">
        <f t="shared" si="7"/>
        <v>0.18237426370638854</v>
      </c>
      <c r="AA16" s="17">
        <f t="shared" si="8"/>
        <v>0.421386497507927</v>
      </c>
      <c r="AB16" s="17">
        <f t="shared" si="9"/>
        <v>0.16742183960126869</v>
      </c>
      <c r="AC16" s="17">
        <f t="shared" si="10"/>
        <v>3.6927956502038964E-2</v>
      </c>
      <c r="AD16" s="17">
        <f t="shared" si="11"/>
        <v>0</v>
      </c>
      <c r="AE16" s="17">
        <f t="shared" si="12"/>
        <v>6.1622111463525149E-2</v>
      </c>
      <c r="AF16" s="17">
        <f t="shared" si="13"/>
        <v>0</v>
      </c>
      <c r="AG16" s="17">
        <f t="shared" si="14"/>
        <v>0</v>
      </c>
      <c r="AH16" s="17">
        <f t="shared" si="15"/>
        <v>0</v>
      </c>
      <c r="AI16" s="17">
        <f t="shared" si="16"/>
        <v>0</v>
      </c>
      <c r="AJ16" s="17">
        <f t="shared" si="17"/>
        <v>0</v>
      </c>
      <c r="AK16" s="17">
        <f t="shared" si="18"/>
        <v>0.20434979610330764</v>
      </c>
      <c r="AL16" s="17">
        <f t="shared" si="19"/>
        <v>6.1622111463525149E-2</v>
      </c>
      <c r="AM16" s="17">
        <f t="shared" si="20"/>
        <v>0</v>
      </c>
      <c r="AN16" s="17">
        <f t="shared" si="21"/>
        <v>6.1622111463525149E-2</v>
      </c>
      <c r="AP16" s="7"/>
      <c r="AQ16" s="7"/>
    </row>
    <row r="17" spans="1:40" x14ac:dyDescent="0.25">
      <c r="A17">
        <v>1889</v>
      </c>
      <c r="B17">
        <v>0</v>
      </c>
      <c r="C17">
        <v>2.25</v>
      </c>
      <c r="D17">
        <v>5.28</v>
      </c>
      <c r="E17">
        <v>6.8</v>
      </c>
      <c r="F17">
        <v>13.11</v>
      </c>
      <c r="G17" s="13">
        <v>6.99</v>
      </c>
      <c r="H17" s="13">
        <v>1.82</v>
      </c>
      <c r="I17" s="14">
        <v>2.15</v>
      </c>
      <c r="J17" s="14">
        <v>0</v>
      </c>
      <c r="K17" s="14">
        <v>0</v>
      </c>
      <c r="L17" s="15">
        <v>0</v>
      </c>
      <c r="M17" s="15">
        <v>0</v>
      </c>
      <c r="N17" s="15">
        <v>0</v>
      </c>
      <c r="O17" s="15">
        <v>0</v>
      </c>
      <c r="P17">
        <f t="shared" si="1"/>
        <v>8.81</v>
      </c>
      <c r="Q17">
        <f t="shared" si="2"/>
        <v>2.15</v>
      </c>
      <c r="R17">
        <f t="shared" si="3"/>
        <v>0</v>
      </c>
      <c r="S17">
        <f t="shared" si="4"/>
        <v>2.15</v>
      </c>
      <c r="U17">
        <v>1889</v>
      </c>
      <c r="V17">
        <v>38.83</v>
      </c>
      <c r="X17" s="17">
        <f t="shared" si="5"/>
        <v>5.7944887973216591E-2</v>
      </c>
      <c r="Y17" s="17">
        <f t="shared" si="6"/>
        <v>0.1359773371104816</v>
      </c>
      <c r="Z17" s="17">
        <f t="shared" si="7"/>
        <v>0.17512232809683234</v>
      </c>
      <c r="AA17" s="17">
        <f t="shared" si="8"/>
        <v>0.33762554725727528</v>
      </c>
      <c r="AB17" s="17">
        <f t="shared" si="9"/>
        <v>0.18001545197012619</v>
      </c>
      <c r="AC17" s="17">
        <f t="shared" si="10"/>
        <v>4.687097604944631E-2</v>
      </c>
      <c r="AD17" s="17">
        <f t="shared" si="11"/>
        <v>5.5369559618851406E-2</v>
      </c>
      <c r="AE17" s="17">
        <f t="shared" si="12"/>
        <v>0</v>
      </c>
      <c r="AF17" s="17">
        <f t="shared" si="13"/>
        <v>0</v>
      </c>
      <c r="AG17" s="17">
        <f t="shared" si="14"/>
        <v>0</v>
      </c>
      <c r="AH17" s="17">
        <f t="shared" si="15"/>
        <v>0</v>
      </c>
      <c r="AI17" s="17">
        <f t="shared" si="16"/>
        <v>0</v>
      </c>
      <c r="AJ17" s="17">
        <f t="shared" si="17"/>
        <v>0</v>
      </c>
      <c r="AK17" s="17">
        <f t="shared" si="18"/>
        <v>0.22688642801957251</v>
      </c>
      <c r="AL17" s="17">
        <f t="shared" si="19"/>
        <v>5.5369559618851406E-2</v>
      </c>
      <c r="AM17" s="17">
        <f t="shared" si="20"/>
        <v>0</v>
      </c>
      <c r="AN17" s="17">
        <f t="shared" si="21"/>
        <v>5.5369559618851406E-2</v>
      </c>
    </row>
    <row r="18" spans="1:40" x14ac:dyDescent="0.25">
      <c r="A18">
        <v>1890</v>
      </c>
      <c r="B18">
        <v>0</v>
      </c>
      <c r="C18">
        <v>1.93</v>
      </c>
      <c r="D18">
        <v>4.49</v>
      </c>
      <c r="E18">
        <v>9.69</v>
      </c>
      <c r="F18">
        <v>16.68</v>
      </c>
      <c r="G18" s="13">
        <v>7.3999999999999897</v>
      </c>
      <c r="H18" s="13">
        <v>1.96</v>
      </c>
      <c r="I18" s="14">
        <v>2.08</v>
      </c>
      <c r="J18" s="14">
        <v>2.76</v>
      </c>
      <c r="K18" s="14">
        <v>0</v>
      </c>
      <c r="L18" s="15">
        <v>0</v>
      </c>
      <c r="M18" s="15">
        <v>0</v>
      </c>
      <c r="N18" s="15">
        <v>0</v>
      </c>
      <c r="O18" s="15">
        <v>0</v>
      </c>
      <c r="P18">
        <f t="shared" si="1"/>
        <v>9.3599999999999888</v>
      </c>
      <c r="Q18">
        <f t="shared" si="2"/>
        <v>4.84</v>
      </c>
      <c r="R18">
        <f t="shared" si="3"/>
        <v>0</v>
      </c>
      <c r="S18">
        <f t="shared" si="4"/>
        <v>4.84</v>
      </c>
      <c r="U18">
        <v>1890</v>
      </c>
      <c r="V18">
        <v>47.3</v>
      </c>
      <c r="X18" s="17">
        <f t="shared" si="5"/>
        <v>4.0803382663847781E-2</v>
      </c>
      <c r="Y18" s="17">
        <f t="shared" si="6"/>
        <v>9.4926004228329822E-2</v>
      </c>
      <c r="Z18" s="17">
        <f t="shared" si="7"/>
        <v>0.20486257928118393</v>
      </c>
      <c r="AA18" s="17">
        <f t="shared" si="8"/>
        <v>0.35264270613107823</v>
      </c>
      <c r="AB18" s="17">
        <f t="shared" si="9"/>
        <v>0.15644820295983067</v>
      </c>
      <c r="AC18" s="17">
        <f t="shared" si="10"/>
        <v>4.1437632135306553E-2</v>
      </c>
      <c r="AD18" s="17">
        <f t="shared" si="11"/>
        <v>4.3974630021141652E-2</v>
      </c>
      <c r="AE18" s="17">
        <f t="shared" si="12"/>
        <v>5.8350951374207184E-2</v>
      </c>
      <c r="AF18" s="17">
        <f t="shared" si="13"/>
        <v>0</v>
      </c>
      <c r="AG18" s="17">
        <f t="shared" si="14"/>
        <v>0</v>
      </c>
      <c r="AH18" s="17">
        <f t="shared" si="15"/>
        <v>0</v>
      </c>
      <c r="AI18" s="17">
        <f t="shared" si="16"/>
        <v>0</v>
      </c>
      <c r="AJ18" s="17">
        <f t="shared" si="17"/>
        <v>0</v>
      </c>
      <c r="AK18" s="17">
        <f t="shared" si="18"/>
        <v>0.19788583509513719</v>
      </c>
      <c r="AL18" s="17">
        <f t="shared" si="19"/>
        <v>0.10232558139534884</v>
      </c>
      <c r="AM18" s="17">
        <f t="shared" si="20"/>
        <v>0</v>
      </c>
      <c r="AN18" s="17">
        <f t="shared" si="21"/>
        <v>0.10232558139534884</v>
      </c>
    </row>
    <row r="19" spans="1:40" x14ac:dyDescent="0.25">
      <c r="A19">
        <v>1891</v>
      </c>
      <c r="B19">
        <v>0</v>
      </c>
      <c r="C19">
        <v>1.84</v>
      </c>
      <c r="D19">
        <v>4.6500000000000004</v>
      </c>
      <c r="E19">
        <v>8.6199999999999992</v>
      </c>
      <c r="F19">
        <v>15.96</v>
      </c>
      <c r="G19" s="13">
        <v>10.219999999999899</v>
      </c>
      <c r="H19" s="13">
        <v>1.54</v>
      </c>
      <c r="I19" s="14">
        <v>0</v>
      </c>
      <c r="J19" s="14">
        <v>0</v>
      </c>
      <c r="K19" s="14">
        <v>0</v>
      </c>
      <c r="L19" s="15">
        <v>0</v>
      </c>
      <c r="M19" s="15">
        <v>0</v>
      </c>
      <c r="N19" s="15">
        <v>0</v>
      </c>
      <c r="O19" s="15">
        <v>0</v>
      </c>
      <c r="P19">
        <f t="shared" si="1"/>
        <v>11.759999999999899</v>
      </c>
      <c r="Q19">
        <f t="shared" si="2"/>
        <v>0</v>
      </c>
      <c r="R19">
        <f t="shared" si="3"/>
        <v>0</v>
      </c>
      <c r="S19">
        <f t="shared" si="4"/>
        <v>0</v>
      </c>
      <c r="U19">
        <v>1891</v>
      </c>
      <c r="V19">
        <v>43.14</v>
      </c>
      <c r="X19" s="17">
        <f t="shared" si="5"/>
        <v>4.2651831247102458E-2</v>
      </c>
      <c r="Y19" s="17">
        <f t="shared" si="6"/>
        <v>0.10778859527121003</v>
      </c>
      <c r="Z19" s="17">
        <f t="shared" si="7"/>
        <v>0.19981455725544736</v>
      </c>
      <c r="AA19" s="17">
        <f t="shared" si="8"/>
        <v>0.36995827538247567</v>
      </c>
      <c r="AB19" s="17">
        <f t="shared" si="9"/>
        <v>0.23690310616596891</v>
      </c>
      <c r="AC19" s="17">
        <f t="shared" si="10"/>
        <v>3.5697728326379234E-2</v>
      </c>
      <c r="AD19" s="17">
        <f t="shared" si="11"/>
        <v>0</v>
      </c>
      <c r="AE19" s="17">
        <f t="shared" si="12"/>
        <v>0</v>
      </c>
      <c r="AF19" s="17">
        <f t="shared" si="13"/>
        <v>0</v>
      </c>
      <c r="AG19" s="17">
        <f t="shared" si="14"/>
        <v>0</v>
      </c>
      <c r="AH19" s="17">
        <f t="shared" si="15"/>
        <v>0</v>
      </c>
      <c r="AI19" s="17">
        <f t="shared" si="16"/>
        <v>0</v>
      </c>
      <c r="AJ19" s="17">
        <f t="shared" si="17"/>
        <v>0</v>
      </c>
      <c r="AK19" s="17">
        <f t="shared" si="18"/>
        <v>0.27260083449234812</v>
      </c>
      <c r="AL19" s="17">
        <f t="shared" si="19"/>
        <v>0</v>
      </c>
      <c r="AM19" s="17">
        <f t="shared" si="20"/>
        <v>0</v>
      </c>
      <c r="AN19" s="17">
        <f t="shared" si="21"/>
        <v>0</v>
      </c>
    </row>
    <row r="20" spans="1:40" x14ac:dyDescent="0.25">
      <c r="A20">
        <v>1892</v>
      </c>
      <c r="B20">
        <v>0</v>
      </c>
      <c r="C20">
        <v>2.04</v>
      </c>
      <c r="D20">
        <v>4.12</v>
      </c>
      <c r="E20">
        <v>6.1899999999999897</v>
      </c>
      <c r="F20">
        <v>10.76</v>
      </c>
      <c r="G20" s="13">
        <v>4.67</v>
      </c>
      <c r="H20" s="13">
        <v>3.87</v>
      </c>
      <c r="I20" s="14">
        <v>0</v>
      </c>
      <c r="J20" s="14">
        <v>5.31</v>
      </c>
      <c r="K20" s="14">
        <v>0</v>
      </c>
      <c r="L20" s="15">
        <v>0</v>
      </c>
      <c r="M20" s="15">
        <v>0</v>
      </c>
      <c r="N20" s="15">
        <v>0</v>
      </c>
      <c r="O20" s="15">
        <v>0</v>
      </c>
      <c r="P20">
        <f t="shared" si="1"/>
        <v>8.5399999999999991</v>
      </c>
      <c r="Q20">
        <f t="shared" si="2"/>
        <v>5.31</v>
      </c>
      <c r="R20">
        <f t="shared" si="3"/>
        <v>0</v>
      </c>
      <c r="S20">
        <f t="shared" si="4"/>
        <v>5.31</v>
      </c>
      <c r="U20">
        <v>1892</v>
      </c>
      <c r="V20">
        <v>37.270000000000003</v>
      </c>
      <c r="X20" s="17">
        <f t="shared" si="5"/>
        <v>5.4735712369197741E-2</v>
      </c>
      <c r="Y20" s="17">
        <f t="shared" si="6"/>
        <v>0.11054467400053662</v>
      </c>
      <c r="Z20" s="17">
        <f t="shared" si="7"/>
        <v>0.16608532331633993</v>
      </c>
      <c r="AA20" s="17">
        <f t="shared" si="8"/>
        <v>0.28870405151596457</v>
      </c>
      <c r="AB20" s="17">
        <f t="shared" si="9"/>
        <v>0.12530185135497718</v>
      </c>
      <c r="AC20" s="17">
        <f t="shared" si="10"/>
        <v>0.10383686611215454</v>
      </c>
      <c r="AD20" s="17">
        <f t="shared" si="11"/>
        <v>0</v>
      </c>
      <c r="AE20" s="17">
        <f t="shared" si="12"/>
        <v>0.14247383954923529</v>
      </c>
      <c r="AF20" s="17">
        <f t="shared" si="13"/>
        <v>0</v>
      </c>
      <c r="AG20" s="17">
        <f t="shared" si="14"/>
        <v>0</v>
      </c>
      <c r="AH20" s="17">
        <f t="shared" si="15"/>
        <v>0</v>
      </c>
      <c r="AI20" s="17">
        <f t="shared" si="16"/>
        <v>0</v>
      </c>
      <c r="AJ20" s="17">
        <f t="shared" si="17"/>
        <v>0</v>
      </c>
      <c r="AK20" s="17">
        <f t="shared" si="18"/>
        <v>0.22913871746713169</v>
      </c>
      <c r="AL20" s="17">
        <f t="shared" si="19"/>
        <v>0.14247383954923529</v>
      </c>
      <c r="AM20" s="17">
        <f t="shared" si="20"/>
        <v>0</v>
      </c>
      <c r="AN20" s="17">
        <f t="shared" si="21"/>
        <v>0.14247383954923529</v>
      </c>
    </row>
    <row r="21" spans="1:40" x14ac:dyDescent="0.25">
      <c r="A21">
        <v>1893</v>
      </c>
      <c r="B21">
        <v>0</v>
      </c>
      <c r="C21">
        <v>1.87</v>
      </c>
      <c r="D21">
        <v>4.1100000000000003</v>
      </c>
      <c r="E21">
        <v>7.43</v>
      </c>
      <c r="F21">
        <v>16.89</v>
      </c>
      <c r="G21" s="13">
        <v>4.97</v>
      </c>
      <c r="H21" s="13">
        <v>1.58</v>
      </c>
      <c r="I21" s="14">
        <v>0</v>
      </c>
      <c r="J21" s="14">
        <v>0</v>
      </c>
      <c r="K21" s="14">
        <v>0</v>
      </c>
      <c r="L21" s="15">
        <v>0</v>
      </c>
      <c r="M21" s="15">
        <v>0</v>
      </c>
      <c r="N21" s="15">
        <v>0</v>
      </c>
      <c r="O21" s="15">
        <v>0</v>
      </c>
      <c r="P21">
        <f t="shared" si="1"/>
        <v>6.55</v>
      </c>
      <c r="Q21">
        <f t="shared" si="2"/>
        <v>0</v>
      </c>
      <c r="R21">
        <f t="shared" si="3"/>
        <v>0</v>
      </c>
      <c r="S21">
        <f t="shared" si="4"/>
        <v>0</v>
      </c>
      <c r="U21">
        <v>1893</v>
      </c>
      <c r="V21">
        <v>37.159999999999997</v>
      </c>
      <c r="X21" s="17">
        <f t="shared" si="5"/>
        <v>5.0322927879440267E-2</v>
      </c>
      <c r="Y21" s="17">
        <f t="shared" si="6"/>
        <v>0.1106027987082885</v>
      </c>
      <c r="Z21" s="17">
        <f t="shared" si="7"/>
        <v>0.19994617868675996</v>
      </c>
      <c r="AA21" s="17">
        <f t="shared" si="8"/>
        <v>0.4545209903121637</v>
      </c>
      <c r="AB21" s="17">
        <f t="shared" si="9"/>
        <v>0.13374596340150699</v>
      </c>
      <c r="AC21" s="17">
        <f t="shared" si="10"/>
        <v>4.2518837459634022E-2</v>
      </c>
      <c r="AD21" s="17">
        <f t="shared" si="11"/>
        <v>0</v>
      </c>
      <c r="AE21" s="17">
        <f t="shared" si="12"/>
        <v>0</v>
      </c>
      <c r="AF21" s="17">
        <f t="shared" si="13"/>
        <v>0</v>
      </c>
      <c r="AG21" s="17">
        <f t="shared" si="14"/>
        <v>0</v>
      </c>
      <c r="AH21" s="17">
        <f t="shared" si="15"/>
        <v>0</v>
      </c>
      <c r="AI21" s="17">
        <f t="shared" si="16"/>
        <v>0</v>
      </c>
      <c r="AJ21" s="17">
        <f t="shared" si="17"/>
        <v>0</v>
      </c>
      <c r="AK21" s="17">
        <f t="shared" si="18"/>
        <v>0.17626480086114102</v>
      </c>
      <c r="AL21" s="17">
        <f t="shared" si="19"/>
        <v>0</v>
      </c>
      <c r="AM21" s="17">
        <f t="shared" si="20"/>
        <v>0</v>
      </c>
      <c r="AN21" s="17">
        <f t="shared" si="21"/>
        <v>0</v>
      </c>
    </row>
    <row r="22" spans="1:40" x14ac:dyDescent="0.25">
      <c r="A22">
        <v>1894</v>
      </c>
      <c r="B22">
        <v>0</v>
      </c>
      <c r="C22">
        <v>2.77999999999999</v>
      </c>
      <c r="D22">
        <v>3.84</v>
      </c>
      <c r="E22">
        <v>8.85</v>
      </c>
      <c r="F22">
        <v>10.329999999999901</v>
      </c>
      <c r="G22" s="13">
        <v>3.31</v>
      </c>
      <c r="H22" s="13">
        <v>1.64</v>
      </c>
      <c r="I22" s="14">
        <v>2.08</v>
      </c>
      <c r="J22" s="14">
        <v>0</v>
      </c>
      <c r="K22" s="14">
        <v>0</v>
      </c>
      <c r="L22" s="15">
        <v>0</v>
      </c>
      <c r="M22" s="15">
        <v>0</v>
      </c>
      <c r="N22" s="15">
        <v>0</v>
      </c>
      <c r="O22" s="15">
        <v>0</v>
      </c>
      <c r="P22">
        <f t="shared" si="1"/>
        <v>4.95</v>
      </c>
      <c r="Q22">
        <f t="shared" si="2"/>
        <v>2.08</v>
      </c>
      <c r="R22">
        <f t="shared" si="3"/>
        <v>0</v>
      </c>
      <c r="S22">
        <f t="shared" si="4"/>
        <v>2.08</v>
      </c>
      <c r="U22">
        <v>1894</v>
      </c>
      <c r="V22">
        <v>33.21</v>
      </c>
      <c r="X22" s="17">
        <f t="shared" si="5"/>
        <v>8.3709725986148453E-2</v>
      </c>
      <c r="Y22" s="17">
        <f t="shared" si="6"/>
        <v>0.11562782294489611</v>
      </c>
      <c r="Z22" s="17">
        <f t="shared" si="7"/>
        <v>0.26648599819331525</v>
      </c>
      <c r="AA22" s="17">
        <f t="shared" si="8"/>
        <v>0.31105088828665767</v>
      </c>
      <c r="AB22" s="17">
        <f t="shared" si="9"/>
        <v>9.9668774465522428E-2</v>
      </c>
      <c r="AC22" s="17">
        <f t="shared" si="10"/>
        <v>4.9382716049382713E-2</v>
      </c>
      <c r="AD22" s="17">
        <f t="shared" si="11"/>
        <v>6.2631737428485393E-2</v>
      </c>
      <c r="AE22" s="17">
        <f t="shared" si="12"/>
        <v>0</v>
      </c>
      <c r="AF22" s="17">
        <f t="shared" si="13"/>
        <v>0</v>
      </c>
      <c r="AG22" s="17">
        <f t="shared" si="14"/>
        <v>0</v>
      </c>
      <c r="AH22" s="17">
        <f t="shared" si="15"/>
        <v>0</v>
      </c>
      <c r="AI22" s="17">
        <f t="shared" si="16"/>
        <v>0</v>
      </c>
      <c r="AJ22" s="17">
        <f t="shared" si="17"/>
        <v>0</v>
      </c>
      <c r="AK22" s="17">
        <f t="shared" si="18"/>
        <v>0.14905149051490515</v>
      </c>
      <c r="AL22" s="17">
        <f t="shared" si="19"/>
        <v>6.2631737428485393E-2</v>
      </c>
      <c r="AM22" s="17">
        <f t="shared" si="20"/>
        <v>0</v>
      </c>
      <c r="AN22" s="17">
        <f t="shared" si="21"/>
        <v>6.2631737428485393E-2</v>
      </c>
    </row>
    <row r="23" spans="1:40" x14ac:dyDescent="0.25">
      <c r="A23">
        <v>1895</v>
      </c>
      <c r="B23">
        <v>0</v>
      </c>
      <c r="C23">
        <v>2.27</v>
      </c>
      <c r="D23">
        <v>2.79</v>
      </c>
      <c r="E23">
        <v>8.8799999999999901</v>
      </c>
      <c r="F23">
        <v>9.4099999999999895</v>
      </c>
      <c r="G23" s="13">
        <v>2.44</v>
      </c>
      <c r="H23" s="13">
        <v>0</v>
      </c>
      <c r="I23" s="14">
        <v>2.21</v>
      </c>
      <c r="J23" s="14">
        <v>0</v>
      </c>
      <c r="K23" s="14">
        <v>0</v>
      </c>
      <c r="L23" s="15">
        <v>0</v>
      </c>
      <c r="M23" s="15">
        <v>0</v>
      </c>
      <c r="N23" s="15">
        <v>0</v>
      </c>
      <c r="O23" s="15">
        <v>0</v>
      </c>
      <c r="P23">
        <f t="shared" si="1"/>
        <v>2.44</v>
      </c>
      <c r="Q23">
        <f t="shared" si="2"/>
        <v>2.21</v>
      </c>
      <c r="R23">
        <f t="shared" si="3"/>
        <v>0</v>
      </c>
      <c r="S23">
        <f t="shared" si="4"/>
        <v>2.21</v>
      </c>
      <c r="U23">
        <v>1895</v>
      </c>
      <c r="V23">
        <v>28.41</v>
      </c>
      <c r="X23" s="17">
        <f t="shared" si="5"/>
        <v>7.9901443153819071E-2</v>
      </c>
      <c r="Y23" s="17">
        <f t="shared" si="6"/>
        <v>9.8204857444561769E-2</v>
      </c>
      <c r="Z23" s="17">
        <f t="shared" si="7"/>
        <v>0.31256599788806722</v>
      </c>
      <c r="AA23" s="17">
        <f t="shared" si="8"/>
        <v>0.33122140091517033</v>
      </c>
      <c r="AB23" s="17">
        <f t="shared" si="9"/>
        <v>8.5885251671946494E-2</v>
      </c>
      <c r="AC23" s="17">
        <f t="shared" si="10"/>
        <v>0</v>
      </c>
      <c r="AD23" s="17">
        <f t="shared" si="11"/>
        <v>7.7789510735656459E-2</v>
      </c>
      <c r="AE23" s="17">
        <f t="shared" si="12"/>
        <v>0</v>
      </c>
      <c r="AF23" s="17">
        <f t="shared" si="13"/>
        <v>0</v>
      </c>
      <c r="AG23" s="17">
        <f t="shared" si="14"/>
        <v>0</v>
      </c>
      <c r="AH23" s="17">
        <f t="shared" si="15"/>
        <v>0</v>
      </c>
      <c r="AI23" s="17">
        <f t="shared" si="16"/>
        <v>0</v>
      </c>
      <c r="AJ23" s="17">
        <f t="shared" si="17"/>
        <v>0</v>
      </c>
      <c r="AK23" s="17">
        <f t="shared" si="18"/>
        <v>8.5885251671946494E-2</v>
      </c>
      <c r="AL23" s="17">
        <f t="shared" si="19"/>
        <v>7.7789510735656459E-2</v>
      </c>
      <c r="AM23" s="17">
        <f t="shared" si="20"/>
        <v>0</v>
      </c>
      <c r="AN23" s="17">
        <f t="shared" si="21"/>
        <v>7.7789510735656459E-2</v>
      </c>
    </row>
    <row r="24" spans="1:40" x14ac:dyDescent="0.25">
      <c r="A24">
        <v>1896</v>
      </c>
      <c r="B24">
        <v>0</v>
      </c>
      <c r="C24">
        <v>2.4300000000000002</v>
      </c>
      <c r="D24">
        <v>4.63</v>
      </c>
      <c r="E24">
        <v>7.0799999999999903</v>
      </c>
      <c r="F24">
        <v>5.0199999999999996</v>
      </c>
      <c r="G24" s="13">
        <v>5.67</v>
      </c>
      <c r="H24" s="13">
        <v>1.85</v>
      </c>
      <c r="I24" s="14">
        <v>0</v>
      </c>
      <c r="J24" s="14">
        <v>5.48</v>
      </c>
      <c r="K24" s="14">
        <v>0</v>
      </c>
      <c r="L24" s="15">
        <v>0</v>
      </c>
      <c r="M24" s="15">
        <v>0</v>
      </c>
      <c r="N24" s="15">
        <v>0</v>
      </c>
      <c r="O24" s="15">
        <v>0</v>
      </c>
      <c r="P24">
        <f t="shared" si="1"/>
        <v>7.52</v>
      </c>
      <c r="Q24">
        <f t="shared" si="2"/>
        <v>5.48</v>
      </c>
      <c r="R24">
        <f t="shared" si="3"/>
        <v>0</v>
      </c>
      <c r="S24">
        <f t="shared" si="4"/>
        <v>5.48</v>
      </c>
      <c r="U24">
        <v>1896</v>
      </c>
      <c r="V24">
        <v>32.409999999999997</v>
      </c>
      <c r="X24" s="17">
        <f t="shared" si="5"/>
        <v>7.4976858994137627E-2</v>
      </c>
      <c r="Y24" s="17">
        <f t="shared" si="6"/>
        <v>0.14285714285714288</v>
      </c>
      <c r="Z24" s="17">
        <f t="shared" si="7"/>
        <v>0.21845109534094387</v>
      </c>
      <c r="AA24" s="17">
        <f t="shared" si="8"/>
        <v>0.1548904659055847</v>
      </c>
      <c r="AB24" s="17">
        <f t="shared" si="9"/>
        <v>0.17494600431965443</v>
      </c>
      <c r="AC24" s="17">
        <f t="shared" si="10"/>
        <v>5.7081147793890785E-2</v>
      </c>
      <c r="AD24" s="17">
        <f t="shared" si="11"/>
        <v>0</v>
      </c>
      <c r="AE24" s="17">
        <f t="shared" si="12"/>
        <v>0.16908361616784945</v>
      </c>
      <c r="AF24" s="17">
        <f t="shared" si="13"/>
        <v>0</v>
      </c>
      <c r="AG24" s="17">
        <f t="shared" si="14"/>
        <v>0</v>
      </c>
      <c r="AH24" s="17">
        <f t="shared" si="15"/>
        <v>0</v>
      </c>
      <c r="AI24" s="17">
        <f t="shared" si="16"/>
        <v>0</v>
      </c>
      <c r="AJ24" s="17">
        <f t="shared" si="17"/>
        <v>0</v>
      </c>
      <c r="AK24" s="17">
        <f t="shared" si="18"/>
        <v>0.23202715211354522</v>
      </c>
      <c r="AL24" s="17">
        <f t="shared" si="19"/>
        <v>0.16908361616784945</v>
      </c>
      <c r="AM24" s="17">
        <f t="shared" si="20"/>
        <v>0</v>
      </c>
      <c r="AN24" s="17">
        <f t="shared" si="21"/>
        <v>0.16908361616784945</v>
      </c>
    </row>
    <row r="25" spans="1:40" x14ac:dyDescent="0.25">
      <c r="A25">
        <v>1897</v>
      </c>
      <c r="B25">
        <v>0</v>
      </c>
      <c r="C25">
        <v>2.09</v>
      </c>
      <c r="D25">
        <v>5.0399999999999903</v>
      </c>
      <c r="E25">
        <v>8.9700000000000006</v>
      </c>
      <c r="F25">
        <v>8.6699999999999893</v>
      </c>
      <c r="G25" s="13">
        <v>5.67</v>
      </c>
      <c r="H25" s="13">
        <v>1.52</v>
      </c>
      <c r="I25" s="14">
        <v>0</v>
      </c>
      <c r="J25" s="14">
        <v>0</v>
      </c>
      <c r="K25" s="14">
        <v>3.47</v>
      </c>
      <c r="L25" s="15">
        <v>0</v>
      </c>
      <c r="M25" s="15">
        <v>0</v>
      </c>
      <c r="N25" s="15">
        <v>0</v>
      </c>
      <c r="O25" s="15">
        <v>0</v>
      </c>
      <c r="P25">
        <f t="shared" si="1"/>
        <v>7.1899999999999995</v>
      </c>
      <c r="Q25">
        <f t="shared" si="2"/>
        <v>3.47</v>
      </c>
      <c r="R25">
        <f t="shared" si="3"/>
        <v>0</v>
      </c>
      <c r="S25">
        <f t="shared" si="4"/>
        <v>3.47</v>
      </c>
      <c r="U25">
        <v>1897</v>
      </c>
      <c r="V25">
        <v>35.65</v>
      </c>
      <c r="X25" s="17">
        <f t="shared" si="5"/>
        <v>5.8625525946704067E-2</v>
      </c>
      <c r="Y25" s="17">
        <f t="shared" si="6"/>
        <v>0.14137447405329567</v>
      </c>
      <c r="Z25" s="17">
        <f t="shared" si="7"/>
        <v>0.25161290322580648</v>
      </c>
      <c r="AA25" s="17">
        <f t="shared" si="8"/>
        <v>0.24319775596072901</v>
      </c>
      <c r="AB25" s="17">
        <f t="shared" si="9"/>
        <v>0.15904628330995793</v>
      </c>
      <c r="AC25" s="17">
        <f t="shared" si="10"/>
        <v>4.2636746143057506E-2</v>
      </c>
      <c r="AD25" s="17">
        <f t="shared" si="11"/>
        <v>0</v>
      </c>
      <c r="AE25" s="17">
        <f t="shared" si="12"/>
        <v>0</v>
      </c>
      <c r="AF25" s="17">
        <f t="shared" si="13"/>
        <v>9.7335203366058914E-2</v>
      </c>
      <c r="AG25" s="17">
        <f t="shared" si="14"/>
        <v>0</v>
      </c>
      <c r="AH25" s="17">
        <f t="shared" si="15"/>
        <v>0</v>
      </c>
      <c r="AI25" s="17">
        <f t="shared" si="16"/>
        <v>0</v>
      </c>
      <c r="AJ25" s="17">
        <f t="shared" si="17"/>
        <v>0</v>
      </c>
      <c r="AK25" s="17">
        <f t="shared" si="18"/>
        <v>0.20168302945301542</v>
      </c>
      <c r="AL25" s="17">
        <f t="shared" si="19"/>
        <v>9.7335203366058914E-2</v>
      </c>
      <c r="AM25" s="17">
        <f t="shared" si="20"/>
        <v>0</v>
      </c>
      <c r="AN25" s="17">
        <f t="shared" si="21"/>
        <v>9.7335203366058914E-2</v>
      </c>
    </row>
    <row r="26" spans="1:40" x14ac:dyDescent="0.25">
      <c r="A26">
        <v>1898</v>
      </c>
      <c r="B26">
        <v>0</v>
      </c>
      <c r="C26">
        <v>2.11</v>
      </c>
      <c r="D26">
        <v>4.46</v>
      </c>
      <c r="E26">
        <v>7.6999999999999904</v>
      </c>
      <c r="F26">
        <v>16.03</v>
      </c>
      <c r="G26" s="13">
        <v>6.7</v>
      </c>
      <c r="H26" s="13">
        <v>1.51</v>
      </c>
      <c r="I26" s="14">
        <v>0</v>
      </c>
      <c r="J26" s="14">
        <v>0</v>
      </c>
      <c r="K26" s="14">
        <v>0</v>
      </c>
      <c r="L26" s="15">
        <v>0</v>
      </c>
      <c r="M26" s="15">
        <v>0</v>
      </c>
      <c r="N26" s="15">
        <v>0</v>
      </c>
      <c r="O26" s="15">
        <v>0</v>
      </c>
      <c r="P26">
        <f t="shared" si="1"/>
        <v>8.2100000000000009</v>
      </c>
      <c r="Q26">
        <f t="shared" si="2"/>
        <v>0</v>
      </c>
      <c r="R26">
        <f t="shared" si="3"/>
        <v>0</v>
      </c>
      <c r="S26">
        <f t="shared" si="4"/>
        <v>0</v>
      </c>
      <c r="U26">
        <v>1898</v>
      </c>
      <c r="V26">
        <v>38.68</v>
      </c>
      <c r="X26" s="17">
        <f t="shared" si="5"/>
        <v>5.4550155118924505E-2</v>
      </c>
      <c r="Y26" s="17">
        <f t="shared" si="6"/>
        <v>0.11530506721820062</v>
      </c>
      <c r="Z26" s="17">
        <f t="shared" si="7"/>
        <v>0.19906928645294703</v>
      </c>
      <c r="AA26" s="17">
        <f t="shared" si="8"/>
        <v>0.41442605997931753</v>
      </c>
      <c r="AB26" s="17">
        <f t="shared" si="9"/>
        <v>0.17321613236814892</v>
      </c>
      <c r="AC26" s="17">
        <f t="shared" si="10"/>
        <v>3.9038262668045505E-2</v>
      </c>
      <c r="AD26" s="17">
        <f t="shared" si="11"/>
        <v>0</v>
      </c>
      <c r="AE26" s="17">
        <f t="shared" si="12"/>
        <v>0</v>
      </c>
      <c r="AF26" s="17">
        <f t="shared" si="13"/>
        <v>0</v>
      </c>
      <c r="AG26" s="17">
        <f t="shared" si="14"/>
        <v>0</v>
      </c>
      <c r="AH26" s="17">
        <f t="shared" si="15"/>
        <v>0</v>
      </c>
      <c r="AI26" s="17">
        <f t="shared" si="16"/>
        <v>0</v>
      </c>
      <c r="AJ26" s="17">
        <f t="shared" si="17"/>
        <v>0</v>
      </c>
      <c r="AK26" s="17">
        <f t="shared" si="18"/>
        <v>0.21225439503619445</v>
      </c>
      <c r="AL26" s="17">
        <f t="shared" si="19"/>
        <v>0</v>
      </c>
      <c r="AM26" s="17">
        <f t="shared" si="20"/>
        <v>0</v>
      </c>
      <c r="AN26" s="17">
        <f t="shared" si="21"/>
        <v>0</v>
      </c>
    </row>
    <row r="27" spans="1:40" x14ac:dyDescent="0.25">
      <c r="A27">
        <v>1899</v>
      </c>
      <c r="B27">
        <v>0</v>
      </c>
      <c r="C27">
        <v>2.02</v>
      </c>
      <c r="D27">
        <v>3.64</v>
      </c>
      <c r="E27">
        <v>7.92</v>
      </c>
      <c r="F27">
        <v>9.07</v>
      </c>
      <c r="G27" s="13">
        <v>1.46</v>
      </c>
      <c r="H27" s="13">
        <v>1.88</v>
      </c>
      <c r="I27" s="14">
        <v>2.1</v>
      </c>
      <c r="J27" s="14">
        <v>2.87</v>
      </c>
      <c r="K27" s="14">
        <v>6.76</v>
      </c>
      <c r="L27" s="15">
        <v>0</v>
      </c>
      <c r="M27" s="15">
        <v>0</v>
      </c>
      <c r="N27" s="15">
        <v>0</v>
      </c>
      <c r="O27" s="15">
        <v>0</v>
      </c>
      <c r="P27">
        <f t="shared" si="1"/>
        <v>3.34</v>
      </c>
      <c r="Q27">
        <f t="shared" si="2"/>
        <v>11.73</v>
      </c>
      <c r="R27">
        <f t="shared" si="3"/>
        <v>0</v>
      </c>
      <c r="S27">
        <f t="shared" si="4"/>
        <v>11.73</v>
      </c>
      <c r="U27">
        <v>1899</v>
      </c>
      <c r="V27">
        <v>37.840000000000003</v>
      </c>
      <c r="X27" s="17">
        <f t="shared" si="5"/>
        <v>5.3382663847780121E-2</v>
      </c>
      <c r="Y27" s="17">
        <f t="shared" si="6"/>
        <v>9.619450317124735E-2</v>
      </c>
      <c r="Z27" s="17">
        <f t="shared" si="7"/>
        <v>0.20930232558139533</v>
      </c>
      <c r="AA27" s="17">
        <f t="shared" si="8"/>
        <v>0.23969344608879492</v>
      </c>
      <c r="AB27" s="17">
        <f t="shared" si="9"/>
        <v>3.8583509513742065E-2</v>
      </c>
      <c r="AC27" s="17">
        <f t="shared" si="10"/>
        <v>4.9682875264270607E-2</v>
      </c>
      <c r="AD27" s="17">
        <f t="shared" si="11"/>
        <v>5.5496828752642703E-2</v>
      </c>
      <c r="AE27" s="17">
        <f t="shared" si="12"/>
        <v>7.584566596194503E-2</v>
      </c>
      <c r="AF27" s="17">
        <f t="shared" si="13"/>
        <v>0.17864693446088792</v>
      </c>
      <c r="AG27" s="17">
        <f t="shared" si="14"/>
        <v>0</v>
      </c>
      <c r="AH27" s="17">
        <f t="shared" si="15"/>
        <v>0</v>
      </c>
      <c r="AI27" s="17">
        <f t="shared" si="16"/>
        <v>0</v>
      </c>
      <c r="AJ27" s="17">
        <f t="shared" si="17"/>
        <v>0</v>
      </c>
      <c r="AK27" s="17">
        <f t="shared" si="18"/>
        <v>8.8266384778012671E-2</v>
      </c>
      <c r="AL27" s="17">
        <f t="shared" si="19"/>
        <v>0.30998942917547567</v>
      </c>
      <c r="AM27" s="17">
        <f t="shared" si="20"/>
        <v>0</v>
      </c>
      <c r="AN27" s="17">
        <f t="shared" si="21"/>
        <v>0.30998942917547567</v>
      </c>
    </row>
    <row r="28" spans="1:40" x14ac:dyDescent="0.25">
      <c r="A28">
        <v>1900</v>
      </c>
      <c r="B28">
        <v>0</v>
      </c>
      <c r="C28">
        <v>1.22</v>
      </c>
      <c r="D28">
        <v>4.26</v>
      </c>
      <c r="E28">
        <v>5.59</v>
      </c>
      <c r="F28">
        <v>9.98</v>
      </c>
      <c r="G28" s="13">
        <v>5.0299999999999896</v>
      </c>
      <c r="H28" s="13">
        <v>1.75</v>
      </c>
      <c r="I28" s="14">
        <v>0</v>
      </c>
      <c r="J28" s="14">
        <v>0</v>
      </c>
      <c r="K28" s="14">
        <v>0</v>
      </c>
      <c r="L28" s="15">
        <v>0</v>
      </c>
      <c r="M28" s="15">
        <v>0</v>
      </c>
      <c r="N28" s="15">
        <v>0</v>
      </c>
      <c r="O28" s="15">
        <v>0</v>
      </c>
      <c r="P28">
        <f t="shared" si="1"/>
        <v>6.7799999999999896</v>
      </c>
      <c r="Q28">
        <f t="shared" si="2"/>
        <v>0</v>
      </c>
      <c r="R28">
        <f t="shared" si="3"/>
        <v>0</v>
      </c>
      <c r="S28">
        <f t="shared" si="4"/>
        <v>0</v>
      </c>
      <c r="U28">
        <v>1900</v>
      </c>
      <c r="V28">
        <v>28.13</v>
      </c>
      <c r="X28" s="17">
        <f t="shared" si="5"/>
        <v>4.3370067543547816E-2</v>
      </c>
      <c r="Y28" s="17">
        <f t="shared" si="6"/>
        <v>0.15143974404550303</v>
      </c>
      <c r="Z28" s="17">
        <f t="shared" si="7"/>
        <v>0.19872022751510843</v>
      </c>
      <c r="AA28" s="17">
        <f t="shared" si="8"/>
        <v>0.35478137220049771</v>
      </c>
      <c r="AB28" s="17">
        <f t="shared" si="9"/>
        <v>0.17881265552790579</v>
      </c>
      <c r="AC28" s="17">
        <f t="shared" si="10"/>
        <v>6.2211162460007109E-2</v>
      </c>
      <c r="AD28" s="17">
        <f t="shared" si="11"/>
        <v>0</v>
      </c>
      <c r="AE28" s="17">
        <f t="shared" si="12"/>
        <v>0</v>
      </c>
      <c r="AF28" s="17">
        <f t="shared" si="13"/>
        <v>0</v>
      </c>
      <c r="AG28" s="17">
        <f t="shared" si="14"/>
        <v>0</v>
      </c>
      <c r="AH28" s="17">
        <f t="shared" si="15"/>
        <v>0</v>
      </c>
      <c r="AI28" s="17">
        <f t="shared" si="16"/>
        <v>0</v>
      </c>
      <c r="AJ28" s="17">
        <f t="shared" si="17"/>
        <v>0</v>
      </c>
      <c r="AK28" s="17">
        <f t="shared" si="18"/>
        <v>0.24102381798791289</v>
      </c>
      <c r="AL28" s="17">
        <f t="shared" si="19"/>
        <v>0</v>
      </c>
      <c r="AM28" s="17">
        <f t="shared" si="20"/>
        <v>0</v>
      </c>
      <c r="AN28" s="17">
        <f t="shared" si="21"/>
        <v>0</v>
      </c>
    </row>
    <row r="29" spans="1:40" x14ac:dyDescent="0.25">
      <c r="A29">
        <v>1901</v>
      </c>
      <c r="B29">
        <v>0</v>
      </c>
      <c r="C29">
        <v>1.27</v>
      </c>
      <c r="D29">
        <v>3.89</v>
      </c>
      <c r="E29">
        <v>6.41</v>
      </c>
      <c r="F29">
        <v>13.9599999999999</v>
      </c>
      <c r="G29" s="13">
        <v>5.4499999999999904</v>
      </c>
      <c r="H29" s="13">
        <v>1.89</v>
      </c>
      <c r="I29" s="14">
        <v>0</v>
      </c>
      <c r="J29" s="14">
        <v>0</v>
      </c>
      <c r="K29" s="14">
        <v>3.13</v>
      </c>
      <c r="L29" s="15">
        <v>0</v>
      </c>
      <c r="M29" s="15">
        <v>0</v>
      </c>
      <c r="N29" s="15">
        <v>0</v>
      </c>
      <c r="O29" s="15">
        <v>0</v>
      </c>
      <c r="P29">
        <f t="shared" si="1"/>
        <v>7.3399999999999901</v>
      </c>
      <c r="Q29">
        <f t="shared" si="2"/>
        <v>3.13</v>
      </c>
      <c r="R29">
        <f t="shared" si="3"/>
        <v>0</v>
      </c>
      <c r="S29">
        <f t="shared" si="4"/>
        <v>3.13</v>
      </c>
      <c r="U29">
        <v>1901</v>
      </c>
      <c r="V29">
        <v>36.33</v>
      </c>
      <c r="X29" s="17">
        <f t="shared" si="5"/>
        <v>3.4957335535370219E-2</v>
      </c>
      <c r="Y29" s="17">
        <f t="shared" si="6"/>
        <v>0.10707404349022848</v>
      </c>
      <c r="Z29" s="17">
        <f t="shared" si="7"/>
        <v>0.17643820533993945</v>
      </c>
      <c r="AA29" s="17">
        <f t="shared" si="8"/>
        <v>0.38425543627855491</v>
      </c>
      <c r="AB29" s="17">
        <f t="shared" si="9"/>
        <v>0.15001376273052547</v>
      </c>
      <c r="AC29" s="17">
        <f t="shared" si="10"/>
        <v>5.2023121387283239E-2</v>
      </c>
      <c r="AD29" s="17">
        <f t="shared" si="11"/>
        <v>0</v>
      </c>
      <c r="AE29" s="17">
        <f t="shared" si="12"/>
        <v>0</v>
      </c>
      <c r="AF29" s="17">
        <f t="shared" si="13"/>
        <v>8.6154693091109277E-2</v>
      </c>
      <c r="AG29" s="17">
        <f t="shared" si="14"/>
        <v>0</v>
      </c>
      <c r="AH29" s="17">
        <f t="shared" si="15"/>
        <v>0</v>
      </c>
      <c r="AI29" s="17">
        <f t="shared" si="16"/>
        <v>0</v>
      </c>
      <c r="AJ29" s="17">
        <f t="shared" si="17"/>
        <v>0</v>
      </c>
      <c r="AK29" s="17">
        <f t="shared" si="18"/>
        <v>0.20203688411780871</v>
      </c>
      <c r="AL29" s="17">
        <f t="shared" si="19"/>
        <v>8.6154693091109277E-2</v>
      </c>
      <c r="AM29" s="17">
        <f t="shared" si="20"/>
        <v>0</v>
      </c>
      <c r="AN29" s="17">
        <f t="shared" si="21"/>
        <v>8.6154693091109277E-2</v>
      </c>
    </row>
    <row r="30" spans="1:40" x14ac:dyDescent="0.25">
      <c r="A30">
        <v>1902</v>
      </c>
      <c r="B30">
        <v>0</v>
      </c>
      <c r="C30">
        <v>1.66</v>
      </c>
      <c r="D30">
        <v>2.95</v>
      </c>
      <c r="E30">
        <v>9.66</v>
      </c>
      <c r="F30">
        <v>14.17</v>
      </c>
      <c r="G30" s="13">
        <v>11.219999999999899</v>
      </c>
      <c r="H30" s="13">
        <v>6.49</v>
      </c>
      <c r="I30" s="14">
        <v>4.07</v>
      </c>
      <c r="J30" s="14">
        <v>0</v>
      </c>
      <c r="K30" s="14">
        <v>0</v>
      </c>
      <c r="L30" s="15">
        <v>0</v>
      </c>
      <c r="M30" s="15">
        <v>0</v>
      </c>
      <c r="N30" s="15">
        <v>0</v>
      </c>
      <c r="O30" s="15">
        <v>0</v>
      </c>
      <c r="P30">
        <f t="shared" si="1"/>
        <v>17.709999999999901</v>
      </c>
      <c r="Q30">
        <f t="shared" si="2"/>
        <v>4.07</v>
      </c>
      <c r="R30">
        <f t="shared" si="3"/>
        <v>0</v>
      </c>
      <c r="S30">
        <f t="shared" si="4"/>
        <v>4.07</v>
      </c>
      <c r="U30">
        <v>1902</v>
      </c>
      <c r="V30">
        <v>50.58</v>
      </c>
      <c r="X30" s="17">
        <f t="shared" si="5"/>
        <v>3.281929616449189E-2</v>
      </c>
      <c r="Y30" s="17">
        <f t="shared" si="6"/>
        <v>5.832344800316331E-2</v>
      </c>
      <c r="Z30" s="17">
        <f t="shared" si="7"/>
        <v>0.19098457888493475</v>
      </c>
      <c r="AA30" s="17">
        <f t="shared" si="8"/>
        <v>0.28015025701858443</v>
      </c>
      <c r="AB30" s="17">
        <f t="shared" si="9"/>
        <v>0.22182680901541912</v>
      </c>
      <c r="AC30" s="17">
        <f t="shared" si="10"/>
        <v>0.12831158560695929</v>
      </c>
      <c r="AD30" s="17">
        <f t="shared" si="11"/>
        <v>8.046658758402532E-2</v>
      </c>
      <c r="AE30" s="17">
        <f t="shared" si="12"/>
        <v>0</v>
      </c>
      <c r="AF30" s="17">
        <f t="shared" si="13"/>
        <v>0</v>
      </c>
      <c r="AG30" s="17">
        <f t="shared" si="14"/>
        <v>0</v>
      </c>
      <c r="AH30" s="17">
        <f t="shared" si="15"/>
        <v>0</v>
      </c>
      <c r="AI30" s="17">
        <f t="shared" si="16"/>
        <v>0</v>
      </c>
      <c r="AJ30" s="17">
        <f t="shared" si="17"/>
        <v>0</v>
      </c>
      <c r="AK30" s="17">
        <f t="shared" si="18"/>
        <v>0.35013839462237845</v>
      </c>
      <c r="AL30" s="17">
        <f t="shared" si="19"/>
        <v>8.046658758402532E-2</v>
      </c>
      <c r="AM30" s="17">
        <f t="shared" si="20"/>
        <v>0</v>
      </c>
      <c r="AN30" s="17">
        <f t="shared" si="21"/>
        <v>8.046658758402532E-2</v>
      </c>
    </row>
    <row r="31" spans="1:40" x14ac:dyDescent="0.25">
      <c r="A31">
        <v>1903</v>
      </c>
      <c r="B31">
        <v>0</v>
      </c>
      <c r="C31">
        <v>1.51</v>
      </c>
      <c r="D31">
        <v>3.25</v>
      </c>
      <c r="E31">
        <v>7.15</v>
      </c>
      <c r="F31">
        <v>15.59</v>
      </c>
      <c r="G31" s="13">
        <v>16.23</v>
      </c>
      <c r="H31" s="13">
        <v>4.83</v>
      </c>
      <c r="I31" s="14">
        <v>0</v>
      </c>
      <c r="J31" s="14">
        <v>0</v>
      </c>
      <c r="K31" s="14">
        <v>0</v>
      </c>
      <c r="L31" s="15">
        <v>4.17</v>
      </c>
      <c r="M31" s="15">
        <v>0</v>
      </c>
      <c r="N31" s="15">
        <v>0</v>
      </c>
      <c r="O31" s="15">
        <v>8.16</v>
      </c>
      <c r="P31">
        <f t="shared" si="1"/>
        <v>21.060000000000002</v>
      </c>
      <c r="Q31">
        <f t="shared" si="2"/>
        <v>0</v>
      </c>
      <c r="R31">
        <f t="shared" si="3"/>
        <v>12.33</v>
      </c>
      <c r="S31">
        <f t="shared" si="4"/>
        <v>12.33</v>
      </c>
      <c r="U31">
        <v>1903</v>
      </c>
      <c r="V31">
        <v>61.11</v>
      </c>
      <c r="X31" s="17">
        <f t="shared" si="5"/>
        <v>2.4709540173457698E-2</v>
      </c>
      <c r="Y31" s="17">
        <f t="shared" si="6"/>
        <v>5.3182785141548027E-2</v>
      </c>
      <c r="Z31" s="17">
        <f t="shared" si="7"/>
        <v>0.11700212731140566</v>
      </c>
      <c r="AA31" s="17">
        <f t="shared" si="8"/>
        <v>0.25511372934053345</v>
      </c>
      <c r="AB31" s="17">
        <f t="shared" si="9"/>
        <v>0.265586647029946</v>
      </c>
      <c r="AC31" s="17">
        <f t="shared" si="10"/>
        <v>7.903780068728522E-2</v>
      </c>
      <c r="AD31" s="17">
        <f t="shared" si="11"/>
        <v>0</v>
      </c>
      <c r="AE31" s="17">
        <f t="shared" si="12"/>
        <v>0</v>
      </c>
      <c r="AF31" s="17">
        <f t="shared" si="13"/>
        <v>0</v>
      </c>
      <c r="AG31" s="17">
        <f t="shared" si="14"/>
        <v>6.823760432007854E-2</v>
      </c>
      <c r="AH31" s="17">
        <f t="shared" si="15"/>
        <v>0</v>
      </c>
      <c r="AI31" s="17">
        <f t="shared" si="16"/>
        <v>0</v>
      </c>
      <c r="AJ31" s="17">
        <f t="shared" si="17"/>
        <v>0.13352970054000982</v>
      </c>
      <c r="AK31" s="17">
        <f t="shared" si="18"/>
        <v>0.34462444771723127</v>
      </c>
      <c r="AL31" s="17">
        <f t="shared" si="19"/>
        <v>0</v>
      </c>
      <c r="AM31" s="17">
        <f t="shared" si="20"/>
        <v>0.20176730486008837</v>
      </c>
      <c r="AN31" s="17">
        <f t="shared" si="21"/>
        <v>0.20176730486008837</v>
      </c>
    </row>
    <row r="32" spans="1:40" x14ac:dyDescent="0.25">
      <c r="A32">
        <v>1904</v>
      </c>
      <c r="B32">
        <v>0</v>
      </c>
      <c r="C32">
        <v>1.72</v>
      </c>
      <c r="D32">
        <v>4.47</v>
      </c>
      <c r="E32">
        <v>9.02</v>
      </c>
      <c r="F32">
        <v>6.69</v>
      </c>
      <c r="G32" s="13">
        <v>3.78</v>
      </c>
      <c r="H32" s="13">
        <v>1.68</v>
      </c>
      <c r="I32" s="14">
        <v>2.4900000000000002</v>
      </c>
      <c r="J32" s="14">
        <v>0</v>
      </c>
      <c r="K32" s="14">
        <v>0</v>
      </c>
      <c r="L32" s="15">
        <v>0</v>
      </c>
      <c r="M32" s="15">
        <v>0</v>
      </c>
      <c r="N32" s="15">
        <v>0</v>
      </c>
      <c r="O32" s="15">
        <v>0</v>
      </c>
      <c r="P32">
        <f t="shared" si="1"/>
        <v>5.46</v>
      </c>
      <c r="Q32">
        <f t="shared" si="2"/>
        <v>2.4900000000000002</v>
      </c>
      <c r="R32">
        <f t="shared" si="3"/>
        <v>0</v>
      </c>
      <c r="S32">
        <f t="shared" si="4"/>
        <v>2.4900000000000002</v>
      </c>
      <c r="U32">
        <v>1904</v>
      </c>
      <c r="V32">
        <v>30.14</v>
      </c>
      <c r="X32" s="17">
        <f t="shared" si="5"/>
        <v>5.7067020570670202E-2</v>
      </c>
      <c r="Y32" s="17">
        <f t="shared" si="6"/>
        <v>0.14830789648307896</v>
      </c>
      <c r="Z32" s="17">
        <f t="shared" si="7"/>
        <v>0.2992700729927007</v>
      </c>
      <c r="AA32" s="17">
        <f t="shared" si="8"/>
        <v>0.22196416721964168</v>
      </c>
      <c r="AB32" s="17">
        <f t="shared" si="9"/>
        <v>0.12541473125414732</v>
      </c>
      <c r="AC32" s="17">
        <f t="shared" si="10"/>
        <v>5.5739880557398799E-2</v>
      </c>
      <c r="AD32" s="17">
        <f t="shared" si="11"/>
        <v>8.2614465826144665E-2</v>
      </c>
      <c r="AE32" s="17">
        <f t="shared" si="12"/>
        <v>0</v>
      </c>
      <c r="AF32" s="17">
        <f t="shared" si="13"/>
        <v>0</v>
      </c>
      <c r="AG32" s="17">
        <f t="shared" si="14"/>
        <v>0</v>
      </c>
      <c r="AH32" s="17">
        <f t="shared" si="15"/>
        <v>0</v>
      </c>
      <c r="AI32" s="17">
        <f t="shared" si="16"/>
        <v>0</v>
      </c>
      <c r="AJ32" s="17">
        <f t="shared" si="17"/>
        <v>0</v>
      </c>
      <c r="AK32" s="17">
        <f t="shared" si="18"/>
        <v>0.1811546118115461</v>
      </c>
      <c r="AL32" s="17">
        <f t="shared" si="19"/>
        <v>8.2614465826144665E-2</v>
      </c>
      <c r="AM32" s="17">
        <f t="shared" si="20"/>
        <v>0</v>
      </c>
      <c r="AN32" s="17">
        <f t="shared" si="21"/>
        <v>8.2614465826144665E-2</v>
      </c>
    </row>
    <row r="33" spans="1:43" x14ac:dyDescent="0.25">
      <c r="A33">
        <v>1905</v>
      </c>
      <c r="B33">
        <v>0</v>
      </c>
      <c r="C33">
        <v>1.79</v>
      </c>
      <c r="D33">
        <v>3.46</v>
      </c>
      <c r="E33">
        <v>11.01</v>
      </c>
      <c r="F33">
        <v>12.18</v>
      </c>
      <c r="G33" s="13">
        <v>3.38</v>
      </c>
      <c r="H33" s="13">
        <v>0</v>
      </c>
      <c r="I33" s="14">
        <v>4.49</v>
      </c>
      <c r="J33" s="14">
        <v>2.68</v>
      </c>
      <c r="K33" s="14">
        <v>0</v>
      </c>
      <c r="L33" s="15">
        <v>0</v>
      </c>
      <c r="M33" s="15">
        <v>0</v>
      </c>
      <c r="N33" s="15">
        <v>0</v>
      </c>
      <c r="O33" s="15">
        <v>0</v>
      </c>
      <c r="P33">
        <f t="shared" si="1"/>
        <v>3.38</v>
      </c>
      <c r="Q33">
        <f t="shared" si="2"/>
        <v>7.17</v>
      </c>
      <c r="R33">
        <f t="shared" si="3"/>
        <v>0</v>
      </c>
      <c r="S33">
        <f t="shared" si="4"/>
        <v>7.17</v>
      </c>
      <c r="U33">
        <v>1905</v>
      </c>
      <c r="V33">
        <v>39.17</v>
      </c>
      <c r="X33" s="17">
        <f t="shared" si="5"/>
        <v>4.5698238447791674E-2</v>
      </c>
      <c r="Y33" s="17">
        <f t="shared" si="6"/>
        <v>8.8332907837630842E-2</v>
      </c>
      <c r="Z33" s="17">
        <f t="shared" si="7"/>
        <v>0.28108246106714319</v>
      </c>
      <c r="AA33" s="17">
        <f t="shared" si="8"/>
        <v>0.31095225938218024</v>
      </c>
      <c r="AB33" s="17">
        <f t="shared" si="9"/>
        <v>8.6290528465662486E-2</v>
      </c>
      <c r="AC33" s="17">
        <f t="shared" si="10"/>
        <v>0</v>
      </c>
      <c r="AD33" s="17">
        <f t="shared" si="11"/>
        <v>0.11462854225172325</v>
      </c>
      <c r="AE33" s="17">
        <f t="shared" si="12"/>
        <v>6.841970896093949E-2</v>
      </c>
      <c r="AF33" s="17">
        <f t="shared" si="13"/>
        <v>0</v>
      </c>
      <c r="AG33" s="17">
        <f t="shared" si="14"/>
        <v>0</v>
      </c>
      <c r="AH33" s="17">
        <f t="shared" si="15"/>
        <v>0</v>
      </c>
      <c r="AI33" s="17">
        <f t="shared" si="16"/>
        <v>0</v>
      </c>
      <c r="AJ33" s="17">
        <f t="shared" si="17"/>
        <v>0</v>
      </c>
      <c r="AK33" s="17">
        <f t="shared" si="18"/>
        <v>8.6290528465662486E-2</v>
      </c>
      <c r="AL33" s="17">
        <f t="shared" si="19"/>
        <v>0.18304825121266274</v>
      </c>
      <c r="AM33" s="17">
        <f t="shared" si="20"/>
        <v>0</v>
      </c>
      <c r="AN33" s="17">
        <f t="shared" si="21"/>
        <v>0.18304825121266274</v>
      </c>
    </row>
    <row r="34" spans="1:43" x14ac:dyDescent="0.25">
      <c r="A34">
        <v>1906</v>
      </c>
      <c r="B34">
        <v>0</v>
      </c>
      <c r="C34">
        <v>2.19</v>
      </c>
      <c r="D34">
        <v>5.19</v>
      </c>
      <c r="E34">
        <v>5.25</v>
      </c>
      <c r="F34">
        <v>13.77</v>
      </c>
      <c r="G34" s="13">
        <v>7.4799999999999898</v>
      </c>
      <c r="H34" s="13">
        <v>3.11</v>
      </c>
      <c r="I34" s="14">
        <v>6.26</v>
      </c>
      <c r="J34" s="14">
        <v>5.2799999999999896</v>
      </c>
      <c r="K34" s="14">
        <v>0</v>
      </c>
      <c r="L34" s="15">
        <v>0</v>
      </c>
      <c r="M34" s="15">
        <v>0</v>
      </c>
      <c r="N34" s="15">
        <v>0</v>
      </c>
      <c r="O34" s="15">
        <v>0</v>
      </c>
      <c r="P34">
        <f t="shared" si="1"/>
        <v>10.589999999999989</v>
      </c>
      <c r="Q34">
        <f t="shared" si="2"/>
        <v>11.539999999999988</v>
      </c>
      <c r="R34">
        <f t="shared" si="3"/>
        <v>0</v>
      </c>
      <c r="S34">
        <f t="shared" si="4"/>
        <v>11.539999999999988</v>
      </c>
      <c r="U34">
        <v>1906</v>
      </c>
      <c r="V34">
        <v>48.8</v>
      </c>
      <c r="X34" s="17">
        <f t="shared" si="5"/>
        <v>4.4877049180327873E-2</v>
      </c>
      <c r="Y34" s="17">
        <f t="shared" si="6"/>
        <v>0.10635245901639345</v>
      </c>
      <c r="Z34" s="17">
        <f t="shared" si="7"/>
        <v>0.10758196721311476</v>
      </c>
      <c r="AA34" s="17">
        <f t="shared" si="8"/>
        <v>0.28217213114754097</v>
      </c>
      <c r="AB34" s="17">
        <f t="shared" si="9"/>
        <v>0.15327868852458995</v>
      </c>
      <c r="AC34" s="17">
        <f t="shared" si="10"/>
        <v>6.372950819672131E-2</v>
      </c>
      <c r="AD34" s="17">
        <f t="shared" si="11"/>
        <v>0.12827868852459018</v>
      </c>
      <c r="AE34" s="17">
        <f t="shared" si="12"/>
        <v>0.1081967213114752</v>
      </c>
      <c r="AF34" s="17">
        <f t="shared" si="13"/>
        <v>0</v>
      </c>
      <c r="AG34" s="17">
        <f t="shared" si="14"/>
        <v>0</v>
      </c>
      <c r="AH34" s="17">
        <f t="shared" si="15"/>
        <v>0</v>
      </c>
      <c r="AI34" s="17">
        <f t="shared" si="16"/>
        <v>0</v>
      </c>
      <c r="AJ34" s="17">
        <f t="shared" si="17"/>
        <v>0</v>
      </c>
      <c r="AK34" s="17">
        <f t="shared" si="18"/>
        <v>0.21700819672131128</v>
      </c>
      <c r="AL34" s="17">
        <f t="shared" si="19"/>
        <v>0.23647540983606535</v>
      </c>
      <c r="AM34" s="17">
        <f t="shared" si="20"/>
        <v>0</v>
      </c>
      <c r="AN34" s="17">
        <f t="shared" si="21"/>
        <v>0.23647540983606535</v>
      </c>
    </row>
    <row r="35" spans="1:43" x14ac:dyDescent="0.25">
      <c r="A35">
        <v>1907</v>
      </c>
      <c r="B35">
        <v>0</v>
      </c>
      <c r="C35">
        <v>1.19</v>
      </c>
      <c r="D35">
        <v>5.19</v>
      </c>
      <c r="E35">
        <v>11.3</v>
      </c>
      <c r="F35">
        <v>15.23</v>
      </c>
      <c r="G35" s="13">
        <v>6.07</v>
      </c>
      <c r="H35" s="13">
        <v>3.4</v>
      </c>
      <c r="I35" s="14">
        <v>2.2799999999999998</v>
      </c>
      <c r="J35" s="14">
        <v>0</v>
      </c>
      <c r="K35" s="14">
        <v>3.52</v>
      </c>
      <c r="L35" s="15">
        <v>0</v>
      </c>
      <c r="M35" s="15">
        <v>0</v>
      </c>
      <c r="N35" s="15">
        <v>0</v>
      </c>
      <c r="O35" s="15">
        <v>0</v>
      </c>
      <c r="P35">
        <f t="shared" si="1"/>
        <v>9.4700000000000006</v>
      </c>
      <c r="Q35">
        <f t="shared" si="2"/>
        <v>5.8</v>
      </c>
      <c r="R35">
        <f t="shared" si="3"/>
        <v>0</v>
      </c>
      <c r="S35">
        <f t="shared" si="4"/>
        <v>5.8</v>
      </c>
      <c r="U35">
        <v>1907</v>
      </c>
      <c r="V35">
        <v>48.54</v>
      </c>
      <c r="X35" s="17">
        <f t="shared" si="5"/>
        <v>2.4515863205603627E-2</v>
      </c>
      <c r="Y35" s="17">
        <f t="shared" si="6"/>
        <v>0.10692212608158221</v>
      </c>
      <c r="Z35" s="17">
        <f t="shared" si="7"/>
        <v>0.23279769262463948</v>
      </c>
      <c r="AA35" s="17">
        <f t="shared" si="8"/>
        <v>0.31376184590028844</v>
      </c>
      <c r="AB35" s="17">
        <f t="shared" si="9"/>
        <v>0.12505150391429751</v>
      </c>
      <c r="AC35" s="17">
        <f t="shared" si="10"/>
        <v>7.0045323444581781E-2</v>
      </c>
      <c r="AD35" s="17">
        <f t="shared" si="11"/>
        <v>4.6971569839307781E-2</v>
      </c>
      <c r="AE35" s="17">
        <f t="shared" si="12"/>
        <v>0</v>
      </c>
      <c r="AF35" s="17">
        <f t="shared" si="13"/>
        <v>7.2517511330861151E-2</v>
      </c>
      <c r="AG35" s="17">
        <f t="shared" si="14"/>
        <v>0</v>
      </c>
      <c r="AH35" s="17">
        <f t="shared" si="15"/>
        <v>0</v>
      </c>
      <c r="AI35" s="17">
        <f t="shared" si="16"/>
        <v>0</v>
      </c>
      <c r="AJ35" s="17">
        <f t="shared" si="17"/>
        <v>0</v>
      </c>
      <c r="AK35" s="17">
        <f t="shared" si="18"/>
        <v>0.19509682735887929</v>
      </c>
      <c r="AL35" s="17">
        <f t="shared" si="19"/>
        <v>0.11948908117016893</v>
      </c>
      <c r="AM35" s="17">
        <f t="shared" si="20"/>
        <v>0</v>
      </c>
      <c r="AN35" s="17">
        <f t="shared" si="21"/>
        <v>0.11948908117016893</v>
      </c>
    </row>
    <row r="36" spans="1:43" x14ac:dyDescent="0.25">
      <c r="A36">
        <v>1908</v>
      </c>
      <c r="B36">
        <v>0</v>
      </c>
      <c r="C36">
        <v>1.35</v>
      </c>
      <c r="D36">
        <v>5.3</v>
      </c>
      <c r="E36">
        <v>5.6099999999999897</v>
      </c>
      <c r="F36">
        <v>9.2099999999999902</v>
      </c>
      <c r="G36" s="13">
        <v>8.77</v>
      </c>
      <c r="H36" s="13">
        <v>1.93</v>
      </c>
      <c r="I36" s="14">
        <v>2.33</v>
      </c>
      <c r="J36" s="14">
        <v>0</v>
      </c>
      <c r="K36" s="14">
        <v>3.15</v>
      </c>
      <c r="L36" s="15">
        <v>0</v>
      </c>
      <c r="M36" s="15">
        <v>0</v>
      </c>
      <c r="N36" s="15">
        <v>0</v>
      </c>
      <c r="O36" s="15">
        <v>0</v>
      </c>
      <c r="P36">
        <f t="shared" si="1"/>
        <v>10.7</v>
      </c>
      <c r="Q36">
        <f t="shared" si="2"/>
        <v>5.48</v>
      </c>
      <c r="R36">
        <f t="shared" si="3"/>
        <v>0</v>
      </c>
      <c r="S36">
        <f t="shared" si="4"/>
        <v>5.48</v>
      </c>
      <c r="U36">
        <v>1908</v>
      </c>
      <c r="V36">
        <v>37.880000000000003</v>
      </c>
      <c r="X36" s="17">
        <f t="shared" si="5"/>
        <v>3.5638859556494193E-2</v>
      </c>
      <c r="Y36" s="17">
        <f t="shared" si="6"/>
        <v>0.13991552270327348</v>
      </c>
      <c r="Z36" s="17">
        <f t="shared" si="7"/>
        <v>0.14809926082365335</v>
      </c>
      <c r="AA36" s="17">
        <f t="shared" si="8"/>
        <v>0.24313621964097121</v>
      </c>
      <c r="AB36" s="17">
        <f t="shared" si="9"/>
        <v>0.23152059134107705</v>
      </c>
      <c r="AC36" s="17">
        <f t="shared" si="10"/>
        <v>5.0950369588173172E-2</v>
      </c>
      <c r="AD36" s="17">
        <f t="shared" si="11"/>
        <v>6.151003167898627E-2</v>
      </c>
      <c r="AE36" s="17">
        <f t="shared" si="12"/>
        <v>0</v>
      </c>
      <c r="AF36" s="17">
        <f t="shared" si="13"/>
        <v>8.3157338965153108E-2</v>
      </c>
      <c r="AG36" s="17">
        <f t="shared" si="14"/>
        <v>0</v>
      </c>
      <c r="AH36" s="17">
        <f t="shared" si="15"/>
        <v>0</v>
      </c>
      <c r="AI36" s="17">
        <f t="shared" si="16"/>
        <v>0</v>
      </c>
      <c r="AJ36" s="17">
        <f t="shared" si="17"/>
        <v>0</v>
      </c>
      <c r="AK36" s="17">
        <f t="shared" si="18"/>
        <v>0.28247096092925023</v>
      </c>
      <c r="AL36" s="17">
        <f t="shared" si="19"/>
        <v>0.1446673706441394</v>
      </c>
      <c r="AM36" s="17">
        <f t="shared" si="20"/>
        <v>0</v>
      </c>
      <c r="AN36" s="17">
        <f t="shared" si="21"/>
        <v>0.1446673706441394</v>
      </c>
    </row>
    <row r="37" spans="1:43" x14ac:dyDescent="0.25">
      <c r="A37">
        <v>1909</v>
      </c>
      <c r="B37">
        <v>0</v>
      </c>
      <c r="C37">
        <v>1.54</v>
      </c>
      <c r="D37">
        <v>4.58</v>
      </c>
      <c r="E37">
        <v>7.22</v>
      </c>
      <c r="F37">
        <v>6.27</v>
      </c>
      <c r="G37" s="13">
        <v>9.0399999999999991</v>
      </c>
      <c r="H37" s="13">
        <v>1.51</v>
      </c>
      <c r="I37" s="14">
        <v>6.87</v>
      </c>
      <c r="J37" s="14">
        <v>0</v>
      </c>
      <c r="K37" s="14">
        <v>0</v>
      </c>
      <c r="L37" s="15">
        <v>0</v>
      </c>
      <c r="M37" s="15">
        <v>0</v>
      </c>
      <c r="N37" s="15">
        <v>0</v>
      </c>
      <c r="O37" s="15">
        <v>0</v>
      </c>
      <c r="P37">
        <f t="shared" si="1"/>
        <v>10.549999999999999</v>
      </c>
      <c r="Q37">
        <f t="shared" si="2"/>
        <v>6.87</v>
      </c>
      <c r="R37">
        <f t="shared" si="3"/>
        <v>0</v>
      </c>
      <c r="S37">
        <f t="shared" si="4"/>
        <v>6.87</v>
      </c>
      <c r="U37">
        <v>1909</v>
      </c>
      <c r="V37">
        <v>37.340000000000003</v>
      </c>
      <c r="X37" s="17">
        <f t="shared" si="5"/>
        <v>4.1242635243706478E-2</v>
      </c>
      <c r="Y37" s="17">
        <f t="shared" si="6"/>
        <v>0.12265666845206212</v>
      </c>
      <c r="Z37" s="17">
        <f t="shared" si="7"/>
        <v>0.19335832886984464</v>
      </c>
      <c r="AA37" s="17">
        <f t="shared" si="8"/>
        <v>0.1679164434922335</v>
      </c>
      <c r="AB37" s="17">
        <f t="shared" si="9"/>
        <v>0.24209962506695229</v>
      </c>
      <c r="AC37" s="17">
        <f t="shared" si="10"/>
        <v>4.0439207284413498E-2</v>
      </c>
      <c r="AD37" s="17">
        <f t="shared" si="11"/>
        <v>0.18398500267809317</v>
      </c>
      <c r="AE37" s="17">
        <f t="shared" si="12"/>
        <v>0</v>
      </c>
      <c r="AF37" s="17">
        <f t="shared" si="13"/>
        <v>0</v>
      </c>
      <c r="AG37" s="17">
        <f t="shared" si="14"/>
        <v>0</v>
      </c>
      <c r="AH37" s="17">
        <f t="shared" si="15"/>
        <v>0</v>
      </c>
      <c r="AI37" s="17">
        <f t="shared" si="16"/>
        <v>0</v>
      </c>
      <c r="AJ37" s="17">
        <f t="shared" si="17"/>
        <v>0</v>
      </c>
      <c r="AK37" s="17">
        <f t="shared" si="18"/>
        <v>0.28253883235136579</v>
      </c>
      <c r="AL37" s="17">
        <f t="shared" si="19"/>
        <v>0.18398500267809317</v>
      </c>
      <c r="AM37" s="17">
        <f t="shared" si="20"/>
        <v>0</v>
      </c>
      <c r="AN37" s="17">
        <f t="shared" si="21"/>
        <v>0.18398500267809317</v>
      </c>
    </row>
    <row r="38" spans="1:43" x14ac:dyDescent="0.25">
      <c r="A38">
        <v>1910</v>
      </c>
      <c r="B38">
        <v>0</v>
      </c>
      <c r="C38">
        <v>2.0499999999999998</v>
      </c>
      <c r="D38">
        <v>4.8</v>
      </c>
      <c r="E38">
        <v>5.75</v>
      </c>
      <c r="F38">
        <v>12.57</v>
      </c>
      <c r="G38" s="13">
        <v>8.9599999999999902</v>
      </c>
      <c r="H38" s="13">
        <v>0</v>
      </c>
      <c r="I38" s="14">
        <v>0</v>
      </c>
      <c r="J38" s="14">
        <v>0</v>
      </c>
      <c r="K38" s="14">
        <v>0</v>
      </c>
      <c r="L38" s="15">
        <v>0</v>
      </c>
      <c r="M38" s="15">
        <v>0</v>
      </c>
      <c r="N38" s="15">
        <v>0</v>
      </c>
      <c r="O38" s="15">
        <v>0</v>
      </c>
      <c r="P38">
        <f t="shared" si="1"/>
        <v>8.9599999999999902</v>
      </c>
      <c r="Q38">
        <f t="shared" si="2"/>
        <v>0</v>
      </c>
      <c r="R38">
        <f t="shared" si="3"/>
        <v>0</v>
      </c>
      <c r="S38">
        <f t="shared" si="4"/>
        <v>0</v>
      </c>
      <c r="U38">
        <v>1910</v>
      </c>
      <c r="V38">
        <v>34.33</v>
      </c>
      <c r="X38" s="17">
        <f t="shared" si="5"/>
        <v>5.971453539178561E-2</v>
      </c>
      <c r="Y38" s="17">
        <f t="shared" si="6"/>
        <v>0.13981939994174192</v>
      </c>
      <c r="Z38" s="17">
        <f t="shared" si="7"/>
        <v>0.16749198951354502</v>
      </c>
      <c r="AA38" s="17">
        <f t="shared" si="8"/>
        <v>0.36615205359743669</v>
      </c>
      <c r="AB38" s="17">
        <f t="shared" si="9"/>
        <v>0.26099621322458466</v>
      </c>
      <c r="AC38" s="17">
        <f t="shared" si="10"/>
        <v>0</v>
      </c>
      <c r="AD38" s="17">
        <f t="shared" si="11"/>
        <v>0</v>
      </c>
      <c r="AE38" s="17">
        <f t="shared" si="12"/>
        <v>0</v>
      </c>
      <c r="AF38" s="17">
        <f t="shared" si="13"/>
        <v>0</v>
      </c>
      <c r="AG38" s="17">
        <f t="shared" si="14"/>
        <v>0</v>
      </c>
      <c r="AH38" s="17">
        <f t="shared" si="15"/>
        <v>0</v>
      </c>
      <c r="AI38" s="17">
        <f t="shared" si="16"/>
        <v>0</v>
      </c>
      <c r="AJ38" s="17">
        <f t="shared" si="17"/>
        <v>0</v>
      </c>
      <c r="AK38" s="17">
        <f t="shared" si="18"/>
        <v>0.26099621322458466</v>
      </c>
      <c r="AL38" s="17">
        <f t="shared" si="19"/>
        <v>0</v>
      </c>
      <c r="AM38" s="17">
        <f t="shared" si="20"/>
        <v>0</v>
      </c>
      <c r="AN38" s="17">
        <f t="shared" si="21"/>
        <v>0</v>
      </c>
    </row>
    <row r="39" spans="1:43" x14ac:dyDescent="0.25">
      <c r="A39">
        <v>1911</v>
      </c>
      <c r="B39">
        <v>0</v>
      </c>
      <c r="C39">
        <v>1.32</v>
      </c>
      <c r="D39">
        <v>5.21</v>
      </c>
      <c r="E39">
        <v>9.24</v>
      </c>
      <c r="F39">
        <v>14.639999999999899</v>
      </c>
      <c r="G39" s="13">
        <v>11.04</v>
      </c>
      <c r="H39" s="13">
        <v>0</v>
      </c>
      <c r="I39" s="14">
        <v>2.48</v>
      </c>
      <c r="J39" s="14">
        <v>0</v>
      </c>
      <c r="K39" s="14">
        <v>0</v>
      </c>
      <c r="L39" s="15">
        <v>0</v>
      </c>
      <c r="M39" s="15">
        <v>0</v>
      </c>
      <c r="N39" s="15">
        <v>0</v>
      </c>
      <c r="O39" s="15">
        <v>0</v>
      </c>
      <c r="P39">
        <f t="shared" si="1"/>
        <v>11.04</v>
      </c>
      <c r="Q39">
        <f t="shared" si="2"/>
        <v>2.48</v>
      </c>
      <c r="R39">
        <f t="shared" si="3"/>
        <v>0</v>
      </c>
      <c r="S39">
        <f t="shared" si="4"/>
        <v>2.48</v>
      </c>
      <c r="U39">
        <v>1911</v>
      </c>
      <c r="V39">
        <v>44.21</v>
      </c>
      <c r="X39" s="17">
        <f t="shared" si="5"/>
        <v>2.9857498303551232E-2</v>
      </c>
      <c r="Y39" s="17">
        <f t="shared" si="6"/>
        <v>0.11784664103144085</v>
      </c>
      <c r="Z39" s="17">
        <f t="shared" si="7"/>
        <v>0.20900248812485864</v>
      </c>
      <c r="AA39" s="17">
        <f t="shared" si="8"/>
        <v>0.33114679936665686</v>
      </c>
      <c r="AB39" s="17">
        <f t="shared" si="9"/>
        <v>0.24971725853879209</v>
      </c>
      <c r="AC39" s="17">
        <f t="shared" si="10"/>
        <v>0</v>
      </c>
      <c r="AD39" s="17">
        <f t="shared" si="11"/>
        <v>5.6095905903641712E-2</v>
      </c>
      <c r="AE39" s="17">
        <f t="shared" si="12"/>
        <v>0</v>
      </c>
      <c r="AF39" s="17">
        <f t="shared" si="13"/>
        <v>0</v>
      </c>
      <c r="AG39" s="17">
        <f t="shared" si="14"/>
        <v>0</v>
      </c>
      <c r="AH39" s="17">
        <f t="shared" si="15"/>
        <v>0</v>
      </c>
      <c r="AI39" s="17">
        <f t="shared" si="16"/>
        <v>0</v>
      </c>
      <c r="AJ39" s="17">
        <f t="shared" si="17"/>
        <v>0</v>
      </c>
      <c r="AK39" s="17">
        <f t="shared" si="18"/>
        <v>0.24971725853879209</v>
      </c>
      <c r="AL39" s="17">
        <f t="shared" si="19"/>
        <v>5.6095905903641712E-2</v>
      </c>
      <c r="AM39" s="17">
        <f t="shared" si="20"/>
        <v>0</v>
      </c>
      <c r="AN39" s="17">
        <f t="shared" si="21"/>
        <v>5.6095905903641712E-2</v>
      </c>
    </row>
    <row r="40" spans="1:43" x14ac:dyDescent="0.25">
      <c r="A40">
        <v>1912</v>
      </c>
      <c r="B40">
        <v>0</v>
      </c>
      <c r="C40">
        <v>1.84</v>
      </c>
      <c r="D40">
        <v>3.8</v>
      </c>
      <c r="E40">
        <v>5.75</v>
      </c>
      <c r="F40">
        <v>13.84</v>
      </c>
      <c r="G40" s="13">
        <v>7.3599999999999897</v>
      </c>
      <c r="H40" s="13">
        <v>7.05</v>
      </c>
      <c r="I40" s="14">
        <v>4.5999999999999996</v>
      </c>
      <c r="J40" s="14">
        <v>0</v>
      </c>
      <c r="K40" s="14">
        <v>0</v>
      </c>
      <c r="L40" s="15">
        <v>0</v>
      </c>
      <c r="M40" s="15">
        <v>0</v>
      </c>
      <c r="N40" s="15">
        <v>0</v>
      </c>
      <c r="O40" s="15">
        <v>0</v>
      </c>
      <c r="P40">
        <f t="shared" si="1"/>
        <v>14.409999999999989</v>
      </c>
      <c r="Q40">
        <f t="shared" si="2"/>
        <v>4.5999999999999996</v>
      </c>
      <c r="R40">
        <f t="shared" si="3"/>
        <v>0</v>
      </c>
      <c r="S40">
        <f t="shared" si="4"/>
        <v>4.5999999999999996</v>
      </c>
      <c r="U40">
        <v>1912</v>
      </c>
      <c r="V40">
        <v>44.52</v>
      </c>
      <c r="X40" s="17">
        <f t="shared" si="5"/>
        <v>4.1329739442946989E-2</v>
      </c>
      <c r="Y40" s="17">
        <f t="shared" si="6"/>
        <v>8.5354896675651382E-2</v>
      </c>
      <c r="Z40" s="17">
        <f t="shared" si="7"/>
        <v>0.12915543575920935</v>
      </c>
      <c r="AA40" s="17">
        <f t="shared" si="8"/>
        <v>0.31087151841868821</v>
      </c>
      <c r="AB40" s="17">
        <f t="shared" si="9"/>
        <v>0.16531895777178771</v>
      </c>
      <c r="AC40" s="17">
        <f t="shared" si="10"/>
        <v>0.15835579514824796</v>
      </c>
      <c r="AD40" s="17">
        <f t="shared" si="11"/>
        <v>0.10332434860736746</v>
      </c>
      <c r="AE40" s="17">
        <f t="shared" si="12"/>
        <v>0</v>
      </c>
      <c r="AF40" s="17">
        <f t="shared" si="13"/>
        <v>0</v>
      </c>
      <c r="AG40" s="17">
        <f t="shared" si="14"/>
        <v>0</v>
      </c>
      <c r="AH40" s="17">
        <f t="shared" si="15"/>
        <v>0</v>
      </c>
      <c r="AI40" s="17">
        <f t="shared" si="16"/>
        <v>0</v>
      </c>
      <c r="AJ40" s="17">
        <f t="shared" si="17"/>
        <v>0</v>
      </c>
      <c r="AK40" s="17">
        <f t="shared" si="18"/>
        <v>0.32367475292003567</v>
      </c>
      <c r="AL40" s="17">
        <f t="shared" si="19"/>
        <v>0.10332434860736746</v>
      </c>
      <c r="AM40" s="17">
        <f t="shared" si="20"/>
        <v>0</v>
      </c>
      <c r="AN40" s="17">
        <f t="shared" si="21"/>
        <v>0.10332434860736746</v>
      </c>
    </row>
    <row r="41" spans="1:43" x14ac:dyDescent="0.25">
      <c r="A41">
        <v>1913</v>
      </c>
      <c r="B41">
        <v>0</v>
      </c>
      <c r="C41">
        <v>1.57</v>
      </c>
      <c r="D41">
        <v>3.5499999999999901</v>
      </c>
      <c r="E41">
        <v>10.409999999999901</v>
      </c>
      <c r="F41">
        <v>10.32</v>
      </c>
      <c r="G41" s="13">
        <v>6.93</v>
      </c>
      <c r="H41" s="13">
        <v>3.65</v>
      </c>
      <c r="I41" s="14">
        <v>0</v>
      </c>
      <c r="J41" s="14">
        <v>0</v>
      </c>
      <c r="K41" s="14">
        <v>0</v>
      </c>
      <c r="L41" s="15">
        <v>0</v>
      </c>
      <c r="M41" s="15">
        <v>0</v>
      </c>
      <c r="N41" s="15">
        <v>0</v>
      </c>
      <c r="O41" s="15">
        <v>0</v>
      </c>
      <c r="P41">
        <f t="shared" si="1"/>
        <v>10.58</v>
      </c>
      <c r="Q41">
        <f t="shared" si="2"/>
        <v>0</v>
      </c>
      <c r="R41">
        <f t="shared" si="3"/>
        <v>0</v>
      </c>
      <c r="S41">
        <f t="shared" si="4"/>
        <v>0</v>
      </c>
      <c r="U41">
        <v>1913</v>
      </c>
      <c r="V41">
        <v>36.700000000000003</v>
      </c>
      <c r="X41" s="17">
        <f t="shared" si="5"/>
        <v>4.2779291553133515E-2</v>
      </c>
      <c r="Y41" s="17">
        <f t="shared" si="6"/>
        <v>9.6730245231607351E-2</v>
      </c>
      <c r="Z41" s="17">
        <f t="shared" si="7"/>
        <v>0.2836512261580354</v>
      </c>
      <c r="AA41" s="17">
        <f t="shared" si="8"/>
        <v>0.28119891008174386</v>
      </c>
      <c r="AB41" s="17">
        <f t="shared" si="9"/>
        <v>0.18882833787465939</v>
      </c>
      <c r="AC41" s="17">
        <f t="shared" si="10"/>
        <v>9.9455040871934589E-2</v>
      </c>
      <c r="AD41" s="17">
        <f t="shared" si="11"/>
        <v>0</v>
      </c>
      <c r="AE41" s="17">
        <f t="shared" si="12"/>
        <v>0</v>
      </c>
      <c r="AF41" s="17">
        <f t="shared" si="13"/>
        <v>0</v>
      </c>
      <c r="AG41" s="17">
        <f t="shared" si="14"/>
        <v>0</v>
      </c>
      <c r="AH41" s="17">
        <f t="shared" si="15"/>
        <v>0</v>
      </c>
      <c r="AI41" s="17">
        <f t="shared" si="16"/>
        <v>0</v>
      </c>
      <c r="AJ41" s="17">
        <f t="shared" si="17"/>
        <v>0</v>
      </c>
      <c r="AK41" s="17">
        <f t="shared" si="18"/>
        <v>0.28828337874659399</v>
      </c>
      <c r="AL41" s="17">
        <f t="shared" si="19"/>
        <v>0</v>
      </c>
      <c r="AM41" s="17">
        <f t="shared" si="20"/>
        <v>0</v>
      </c>
      <c r="AN41" s="17">
        <f t="shared" si="21"/>
        <v>0</v>
      </c>
    </row>
    <row r="42" spans="1:43" x14ac:dyDescent="0.25">
      <c r="A42">
        <v>1914</v>
      </c>
      <c r="B42">
        <v>0</v>
      </c>
      <c r="C42">
        <v>1.66</v>
      </c>
      <c r="D42">
        <v>5.41</v>
      </c>
      <c r="E42">
        <v>8.18</v>
      </c>
      <c r="F42">
        <v>9.16</v>
      </c>
      <c r="G42" s="13">
        <v>4.6899999999999897</v>
      </c>
      <c r="H42" s="13">
        <v>5.2799999999999896</v>
      </c>
      <c r="I42" s="14">
        <v>2.02</v>
      </c>
      <c r="J42" s="14">
        <v>0</v>
      </c>
      <c r="K42" s="14">
        <v>3.24</v>
      </c>
      <c r="L42" s="15">
        <v>0</v>
      </c>
      <c r="M42" s="15">
        <v>0</v>
      </c>
      <c r="N42" s="15">
        <v>0</v>
      </c>
      <c r="O42" s="15">
        <v>0</v>
      </c>
      <c r="P42">
        <f t="shared" si="1"/>
        <v>9.9699999999999793</v>
      </c>
      <c r="Q42">
        <f t="shared" si="2"/>
        <v>5.26</v>
      </c>
      <c r="R42">
        <f t="shared" si="3"/>
        <v>0</v>
      </c>
      <c r="S42">
        <f t="shared" si="4"/>
        <v>5.26</v>
      </c>
      <c r="U42">
        <v>1914</v>
      </c>
      <c r="V42">
        <v>39.880000000000003</v>
      </c>
      <c r="X42" s="17">
        <f t="shared" si="5"/>
        <v>4.1624874623871613E-2</v>
      </c>
      <c r="Y42" s="17">
        <f t="shared" si="6"/>
        <v>0.13565697091273821</v>
      </c>
      <c r="Z42" s="17">
        <f t="shared" si="7"/>
        <v>0.20511534603811432</v>
      </c>
      <c r="AA42" s="17">
        <f t="shared" si="8"/>
        <v>0.22968906720160481</v>
      </c>
      <c r="AB42" s="17">
        <f t="shared" si="9"/>
        <v>0.11760280842527557</v>
      </c>
      <c r="AC42" s="17">
        <f t="shared" si="10"/>
        <v>0.1323971915747239</v>
      </c>
      <c r="AD42" s="17">
        <f t="shared" si="11"/>
        <v>5.0651955867602808E-2</v>
      </c>
      <c r="AE42" s="17">
        <f t="shared" si="12"/>
        <v>0</v>
      </c>
      <c r="AF42" s="17">
        <f t="shared" si="13"/>
        <v>8.1243731193580748E-2</v>
      </c>
      <c r="AG42" s="17">
        <f t="shared" si="14"/>
        <v>0</v>
      </c>
      <c r="AH42" s="17">
        <f t="shared" si="15"/>
        <v>0</v>
      </c>
      <c r="AI42" s="17">
        <f t="shared" si="16"/>
        <v>0</v>
      </c>
      <c r="AJ42" s="17">
        <f t="shared" si="17"/>
        <v>0</v>
      </c>
      <c r="AK42" s="17">
        <f t="shared" si="18"/>
        <v>0.24999999999999947</v>
      </c>
      <c r="AL42" s="17">
        <f t="shared" si="19"/>
        <v>0.13189568706118354</v>
      </c>
      <c r="AM42" s="17">
        <f t="shared" si="20"/>
        <v>0</v>
      </c>
      <c r="AN42" s="17">
        <f t="shared" si="21"/>
        <v>0.13189568706118354</v>
      </c>
    </row>
    <row r="43" spans="1:43" ht="18.75" x14ac:dyDescent="0.3">
      <c r="A43">
        <v>1915</v>
      </c>
      <c r="B43">
        <v>0</v>
      </c>
      <c r="C43">
        <v>1.56</v>
      </c>
      <c r="D43">
        <v>3.4999999999999898</v>
      </c>
      <c r="E43">
        <v>8.2099999999999902</v>
      </c>
      <c r="F43">
        <v>10.9599999999999</v>
      </c>
      <c r="G43" s="13">
        <v>8.0299999999999994</v>
      </c>
      <c r="H43" s="13">
        <v>3.29</v>
      </c>
      <c r="I43" s="14">
        <v>0</v>
      </c>
      <c r="J43" s="14">
        <v>0</v>
      </c>
      <c r="K43" s="14">
        <v>0</v>
      </c>
      <c r="L43" s="15">
        <v>0</v>
      </c>
      <c r="M43" s="15">
        <v>0</v>
      </c>
      <c r="N43" s="15">
        <v>0</v>
      </c>
      <c r="O43" s="15">
        <v>0</v>
      </c>
      <c r="P43">
        <f t="shared" si="1"/>
        <v>11.32</v>
      </c>
      <c r="Q43">
        <f t="shared" si="2"/>
        <v>0</v>
      </c>
      <c r="R43">
        <f t="shared" si="3"/>
        <v>0</v>
      </c>
      <c r="S43">
        <f t="shared" si="4"/>
        <v>0</v>
      </c>
      <c r="U43">
        <v>1915</v>
      </c>
      <c r="V43">
        <v>35.82</v>
      </c>
      <c r="X43" s="17">
        <f t="shared" si="5"/>
        <v>4.3551088777219429E-2</v>
      </c>
      <c r="Y43" s="17">
        <f t="shared" si="6"/>
        <v>9.7710776102735611E-2</v>
      </c>
      <c r="Z43" s="17">
        <f t="shared" si="7"/>
        <v>0.22920156337241737</v>
      </c>
      <c r="AA43" s="17">
        <f t="shared" si="8"/>
        <v>0.30597431602456449</v>
      </c>
      <c r="AB43" s="17">
        <f t="shared" si="9"/>
        <v>0.22417643774427692</v>
      </c>
      <c r="AC43" s="17">
        <f t="shared" si="10"/>
        <v>9.1848129536571746E-2</v>
      </c>
      <c r="AD43" s="17">
        <f t="shared" si="11"/>
        <v>0</v>
      </c>
      <c r="AE43" s="17">
        <f t="shared" si="12"/>
        <v>0</v>
      </c>
      <c r="AF43" s="17">
        <f t="shared" si="13"/>
        <v>0</v>
      </c>
      <c r="AG43" s="17">
        <f t="shared" si="14"/>
        <v>0</v>
      </c>
      <c r="AH43" s="17">
        <f t="shared" si="15"/>
        <v>0</v>
      </c>
      <c r="AI43" s="17">
        <f t="shared" si="16"/>
        <v>0</v>
      </c>
      <c r="AJ43" s="17">
        <f t="shared" si="17"/>
        <v>0</v>
      </c>
      <c r="AK43" s="17">
        <f t="shared" si="18"/>
        <v>0.31602456728084871</v>
      </c>
      <c r="AL43" s="17">
        <f t="shared" si="19"/>
        <v>0</v>
      </c>
      <c r="AM43" s="17">
        <f t="shared" si="20"/>
        <v>0</v>
      </c>
      <c r="AN43" s="17">
        <f t="shared" si="21"/>
        <v>0</v>
      </c>
      <c r="AP43" s="7" t="s">
        <v>15</v>
      </c>
      <c r="AQ43" s="7"/>
    </row>
    <row r="44" spans="1:43" ht="18.75" x14ac:dyDescent="0.3">
      <c r="A44">
        <v>1916</v>
      </c>
      <c r="B44">
        <v>0</v>
      </c>
      <c r="C44">
        <v>1.59</v>
      </c>
      <c r="D44">
        <v>3.1</v>
      </c>
      <c r="E44">
        <v>9.5299999999999994</v>
      </c>
      <c r="F44">
        <v>14.5</v>
      </c>
      <c r="G44" s="13">
        <v>4.9800000000000004</v>
      </c>
      <c r="H44" s="13">
        <v>0</v>
      </c>
      <c r="I44" s="14">
        <v>0</v>
      </c>
      <c r="J44" s="14">
        <v>0</v>
      </c>
      <c r="K44" s="14">
        <v>0</v>
      </c>
      <c r="L44" s="15">
        <v>0</v>
      </c>
      <c r="M44" s="15">
        <v>0</v>
      </c>
      <c r="N44" s="15">
        <v>0</v>
      </c>
      <c r="O44" s="15">
        <v>0</v>
      </c>
      <c r="P44">
        <f t="shared" si="1"/>
        <v>4.9800000000000004</v>
      </c>
      <c r="Q44">
        <f t="shared" si="2"/>
        <v>0</v>
      </c>
      <c r="R44">
        <f t="shared" si="3"/>
        <v>0</v>
      </c>
      <c r="S44">
        <f t="shared" si="4"/>
        <v>0</v>
      </c>
      <c r="U44">
        <v>1916</v>
      </c>
      <c r="V44">
        <v>34.11</v>
      </c>
      <c r="X44" s="17">
        <f t="shared" si="5"/>
        <v>4.6613896218117859E-2</v>
      </c>
      <c r="Y44" s="17">
        <f t="shared" si="6"/>
        <v>9.088243916739959E-2</v>
      </c>
      <c r="Z44" s="17">
        <f t="shared" si="7"/>
        <v>0.27939020815010257</v>
      </c>
      <c r="AA44" s="17">
        <f t="shared" si="8"/>
        <v>0.42509527997654645</v>
      </c>
      <c r="AB44" s="17">
        <f t="shared" si="9"/>
        <v>0.14599824098504838</v>
      </c>
      <c r="AC44" s="17">
        <f t="shared" si="10"/>
        <v>0</v>
      </c>
      <c r="AD44" s="17">
        <f t="shared" si="11"/>
        <v>0</v>
      </c>
      <c r="AE44" s="17">
        <f t="shared" si="12"/>
        <v>0</v>
      </c>
      <c r="AF44" s="17">
        <f t="shared" si="13"/>
        <v>0</v>
      </c>
      <c r="AG44" s="17">
        <f t="shared" si="14"/>
        <v>0</v>
      </c>
      <c r="AH44" s="17">
        <f t="shared" si="15"/>
        <v>0</v>
      </c>
      <c r="AI44" s="17">
        <f t="shared" si="16"/>
        <v>0</v>
      </c>
      <c r="AJ44" s="17">
        <f t="shared" si="17"/>
        <v>0</v>
      </c>
      <c r="AK44" s="17">
        <f t="shared" si="18"/>
        <v>0.14599824098504838</v>
      </c>
      <c r="AL44" s="17">
        <f t="shared" si="19"/>
        <v>0</v>
      </c>
      <c r="AM44" s="17">
        <f t="shared" si="20"/>
        <v>0</v>
      </c>
      <c r="AN44" s="17">
        <f t="shared" si="21"/>
        <v>0</v>
      </c>
      <c r="AP44" s="7" t="s">
        <v>16</v>
      </c>
      <c r="AQ44" s="7" t="s">
        <v>17</v>
      </c>
    </row>
    <row r="45" spans="1:43" ht="18.75" x14ac:dyDescent="0.3">
      <c r="A45">
        <v>1917</v>
      </c>
      <c r="B45">
        <v>0</v>
      </c>
      <c r="C45">
        <v>1.34</v>
      </c>
      <c r="D45">
        <v>3.87</v>
      </c>
      <c r="E45">
        <v>9.0299999999999994</v>
      </c>
      <c r="F45">
        <v>12.16</v>
      </c>
      <c r="G45" s="13">
        <v>5.37</v>
      </c>
      <c r="H45" s="13">
        <v>8.67</v>
      </c>
      <c r="I45" s="14">
        <v>0</v>
      </c>
      <c r="J45" s="14">
        <v>0</v>
      </c>
      <c r="K45" s="14">
        <v>0</v>
      </c>
      <c r="L45" s="15">
        <v>0</v>
      </c>
      <c r="M45" s="15">
        <v>0</v>
      </c>
      <c r="N45" s="15">
        <v>0</v>
      </c>
      <c r="O45" s="15">
        <v>0</v>
      </c>
      <c r="P45">
        <f t="shared" si="1"/>
        <v>14.04</v>
      </c>
      <c r="Q45">
        <f t="shared" si="2"/>
        <v>0</v>
      </c>
      <c r="R45">
        <f t="shared" si="3"/>
        <v>0</v>
      </c>
      <c r="S45">
        <f t="shared" si="4"/>
        <v>0</v>
      </c>
      <c r="U45">
        <v>1917</v>
      </c>
      <c r="V45">
        <v>40.61</v>
      </c>
      <c r="X45" s="17">
        <f t="shared" si="5"/>
        <v>3.2996798818025121E-2</v>
      </c>
      <c r="Y45" s="17">
        <f t="shared" si="6"/>
        <v>9.5296724944594929E-2</v>
      </c>
      <c r="Z45" s="17">
        <f t="shared" si="7"/>
        <v>0.22235902487072148</v>
      </c>
      <c r="AA45" s="17">
        <f t="shared" si="8"/>
        <v>0.29943363703521303</v>
      </c>
      <c r="AB45" s="17">
        <f t="shared" si="9"/>
        <v>0.13223344003939916</v>
      </c>
      <c r="AC45" s="17">
        <f t="shared" si="10"/>
        <v>0.2134942132479685</v>
      </c>
      <c r="AD45" s="17">
        <f t="shared" si="11"/>
        <v>0</v>
      </c>
      <c r="AE45" s="17">
        <f t="shared" si="12"/>
        <v>0</v>
      </c>
      <c r="AF45" s="17">
        <f t="shared" si="13"/>
        <v>0</v>
      </c>
      <c r="AG45" s="17">
        <f t="shared" si="14"/>
        <v>0</v>
      </c>
      <c r="AH45" s="17">
        <f t="shared" si="15"/>
        <v>0</v>
      </c>
      <c r="AI45" s="17">
        <f t="shared" si="16"/>
        <v>0</v>
      </c>
      <c r="AJ45" s="17">
        <f t="shared" si="17"/>
        <v>0</v>
      </c>
      <c r="AK45" s="17">
        <f t="shared" si="18"/>
        <v>0.34572765328736765</v>
      </c>
      <c r="AL45" s="17">
        <f t="shared" si="19"/>
        <v>0</v>
      </c>
      <c r="AM45" s="17">
        <f t="shared" si="20"/>
        <v>0</v>
      </c>
      <c r="AN45" s="17">
        <f t="shared" si="21"/>
        <v>0</v>
      </c>
      <c r="AP45" s="7" t="s">
        <v>0</v>
      </c>
      <c r="AQ45" s="7" t="s">
        <v>18</v>
      </c>
    </row>
    <row r="46" spans="1:43" ht="18.75" x14ac:dyDescent="0.3">
      <c r="A46">
        <v>1918</v>
      </c>
      <c r="B46">
        <v>0</v>
      </c>
      <c r="C46">
        <v>1.63</v>
      </c>
      <c r="D46">
        <v>4.3499999999999996</v>
      </c>
      <c r="E46">
        <v>8.66</v>
      </c>
      <c r="F46">
        <v>10.6699999999999</v>
      </c>
      <c r="G46" s="13">
        <v>4.59</v>
      </c>
      <c r="H46" s="13">
        <v>0</v>
      </c>
      <c r="I46" s="14">
        <v>0</v>
      </c>
      <c r="J46" s="14">
        <v>0</v>
      </c>
      <c r="K46" s="14">
        <v>0</v>
      </c>
      <c r="L46" s="15">
        <v>0</v>
      </c>
      <c r="M46" s="15">
        <v>0</v>
      </c>
      <c r="N46" s="15">
        <v>0</v>
      </c>
      <c r="O46" s="15">
        <v>0</v>
      </c>
      <c r="P46">
        <f t="shared" si="1"/>
        <v>4.59</v>
      </c>
      <c r="Q46">
        <f t="shared" si="2"/>
        <v>0</v>
      </c>
      <c r="R46">
        <f t="shared" si="3"/>
        <v>0</v>
      </c>
      <c r="S46">
        <f t="shared" si="4"/>
        <v>0</v>
      </c>
      <c r="U46">
        <v>1918</v>
      </c>
      <c r="V46">
        <v>30.14</v>
      </c>
      <c r="X46" s="17">
        <f t="shared" si="5"/>
        <v>5.408095554080955E-2</v>
      </c>
      <c r="Y46" s="17">
        <f t="shared" si="6"/>
        <v>0.14432647644326474</v>
      </c>
      <c r="Z46" s="17">
        <f t="shared" si="7"/>
        <v>0.28732581287325815</v>
      </c>
      <c r="AA46" s="17">
        <f t="shared" si="8"/>
        <v>0.35401459854014267</v>
      </c>
      <c r="AB46" s="17">
        <f t="shared" si="9"/>
        <v>0.15228931652289315</v>
      </c>
      <c r="AC46" s="17">
        <f t="shared" si="10"/>
        <v>0</v>
      </c>
      <c r="AD46" s="17">
        <f t="shared" si="11"/>
        <v>0</v>
      </c>
      <c r="AE46" s="17">
        <f t="shared" si="12"/>
        <v>0</v>
      </c>
      <c r="AF46" s="17">
        <f t="shared" si="13"/>
        <v>0</v>
      </c>
      <c r="AG46" s="17">
        <f t="shared" si="14"/>
        <v>0</v>
      </c>
      <c r="AH46" s="17">
        <f t="shared" si="15"/>
        <v>0</v>
      </c>
      <c r="AI46" s="17">
        <f t="shared" si="16"/>
        <v>0</v>
      </c>
      <c r="AJ46" s="17">
        <f t="shared" si="17"/>
        <v>0</v>
      </c>
      <c r="AK46" s="17">
        <f t="shared" si="18"/>
        <v>0.15228931652289315</v>
      </c>
      <c r="AL46" s="17">
        <f t="shared" si="19"/>
        <v>0</v>
      </c>
      <c r="AM46" s="17">
        <f t="shared" si="20"/>
        <v>0</v>
      </c>
      <c r="AN46" s="17">
        <f t="shared" si="21"/>
        <v>0</v>
      </c>
      <c r="AP46" s="7" t="s">
        <v>1</v>
      </c>
      <c r="AQ46" s="7" t="s">
        <v>19</v>
      </c>
    </row>
    <row r="47" spans="1:43" ht="18.75" x14ac:dyDescent="0.3">
      <c r="A47">
        <v>1919</v>
      </c>
      <c r="B47">
        <v>0</v>
      </c>
      <c r="C47">
        <v>2.09</v>
      </c>
      <c r="D47">
        <v>4.0999999999999996</v>
      </c>
      <c r="E47">
        <v>11.479999999999899</v>
      </c>
      <c r="F47">
        <v>10.19</v>
      </c>
      <c r="G47" s="13">
        <v>3.44</v>
      </c>
      <c r="H47" s="13">
        <v>6.63</v>
      </c>
      <c r="I47" s="14">
        <v>0</v>
      </c>
      <c r="J47" s="14">
        <v>2.61</v>
      </c>
      <c r="K47" s="14">
        <v>0</v>
      </c>
      <c r="L47" s="15">
        <v>0</v>
      </c>
      <c r="M47" s="15">
        <v>0</v>
      </c>
      <c r="N47" s="15">
        <v>0</v>
      </c>
      <c r="O47" s="15">
        <v>8.56</v>
      </c>
      <c r="P47">
        <f t="shared" si="1"/>
        <v>10.07</v>
      </c>
      <c r="Q47">
        <f t="shared" si="2"/>
        <v>2.61</v>
      </c>
      <c r="R47">
        <f t="shared" si="3"/>
        <v>8.56</v>
      </c>
      <c r="S47">
        <f t="shared" si="4"/>
        <v>11.17</v>
      </c>
      <c r="U47">
        <v>1919</v>
      </c>
      <c r="V47">
        <v>49.44</v>
      </c>
      <c r="X47" s="17">
        <f t="shared" si="5"/>
        <v>4.2273462783171518E-2</v>
      </c>
      <c r="Y47" s="17">
        <f t="shared" si="6"/>
        <v>8.2928802588996764E-2</v>
      </c>
      <c r="Z47" s="17">
        <f t="shared" si="7"/>
        <v>0.2322006472491889</v>
      </c>
      <c r="AA47" s="17">
        <f t="shared" si="8"/>
        <v>0.2061084142394822</v>
      </c>
      <c r="AB47" s="17">
        <f t="shared" si="9"/>
        <v>6.9579288025889974E-2</v>
      </c>
      <c r="AC47" s="17">
        <f t="shared" si="10"/>
        <v>0.13410194174757281</v>
      </c>
      <c r="AD47" s="17">
        <f t="shared" si="11"/>
        <v>0</v>
      </c>
      <c r="AE47" s="17">
        <f t="shared" si="12"/>
        <v>5.2791262135922327E-2</v>
      </c>
      <c r="AF47" s="17">
        <f t="shared" si="13"/>
        <v>0</v>
      </c>
      <c r="AG47" s="17">
        <f t="shared" si="14"/>
        <v>0</v>
      </c>
      <c r="AH47" s="17">
        <f t="shared" si="15"/>
        <v>0</v>
      </c>
      <c r="AI47" s="17">
        <f t="shared" si="16"/>
        <v>0</v>
      </c>
      <c r="AJ47" s="17">
        <f t="shared" si="17"/>
        <v>0.1731391585760518</v>
      </c>
      <c r="AK47" s="17">
        <f t="shared" si="18"/>
        <v>0.20368122977346279</v>
      </c>
      <c r="AL47" s="17">
        <f t="shared" si="19"/>
        <v>5.2791262135922327E-2</v>
      </c>
      <c r="AM47" s="17">
        <f t="shared" si="20"/>
        <v>0.1731391585760518</v>
      </c>
      <c r="AN47" s="17">
        <f t="shared" si="21"/>
        <v>0.22593042071197411</v>
      </c>
      <c r="AP47" s="7" t="s">
        <v>2</v>
      </c>
      <c r="AQ47" s="7" t="s">
        <v>20</v>
      </c>
    </row>
    <row r="48" spans="1:43" ht="18.75" x14ac:dyDescent="0.3">
      <c r="A48">
        <v>1920</v>
      </c>
      <c r="B48">
        <v>0</v>
      </c>
      <c r="C48">
        <v>1.85</v>
      </c>
      <c r="D48">
        <v>5.26</v>
      </c>
      <c r="E48">
        <v>7.71999999999999</v>
      </c>
      <c r="F48">
        <v>13.97</v>
      </c>
      <c r="G48" s="13">
        <v>9.6199999999999992</v>
      </c>
      <c r="H48" s="13">
        <v>1.68</v>
      </c>
      <c r="I48" s="14">
        <v>2.15</v>
      </c>
      <c r="J48" s="14">
        <v>2.81</v>
      </c>
      <c r="K48" s="14">
        <v>0</v>
      </c>
      <c r="L48" s="15">
        <v>0</v>
      </c>
      <c r="M48" s="15">
        <v>0</v>
      </c>
      <c r="N48" s="15">
        <v>0</v>
      </c>
      <c r="O48" s="15">
        <v>0</v>
      </c>
      <c r="P48">
        <f t="shared" si="1"/>
        <v>11.299999999999999</v>
      </c>
      <c r="Q48">
        <f t="shared" si="2"/>
        <v>4.96</v>
      </c>
      <c r="R48">
        <f t="shared" si="3"/>
        <v>0</v>
      </c>
      <c r="S48">
        <f t="shared" si="4"/>
        <v>4.96</v>
      </c>
      <c r="U48">
        <v>1920</v>
      </c>
      <c r="V48">
        <v>45.36</v>
      </c>
      <c r="X48" s="17">
        <f t="shared" si="5"/>
        <v>4.0784832451499123E-2</v>
      </c>
      <c r="Y48" s="17">
        <f t="shared" si="6"/>
        <v>0.11596119929453262</v>
      </c>
      <c r="Z48" s="17">
        <f t="shared" si="7"/>
        <v>0.17019400352733663</v>
      </c>
      <c r="AA48" s="17">
        <f t="shared" si="8"/>
        <v>0.30798059964726632</v>
      </c>
      <c r="AB48" s="17">
        <f t="shared" si="9"/>
        <v>0.21208112874779539</v>
      </c>
      <c r="AC48" s="17">
        <f t="shared" si="10"/>
        <v>3.7037037037037035E-2</v>
      </c>
      <c r="AD48" s="17">
        <f t="shared" si="11"/>
        <v>4.7398589065255729E-2</v>
      </c>
      <c r="AE48" s="17">
        <f t="shared" si="12"/>
        <v>6.1948853615520286E-2</v>
      </c>
      <c r="AF48" s="17">
        <f t="shared" si="13"/>
        <v>0</v>
      </c>
      <c r="AG48" s="17">
        <f t="shared" si="14"/>
        <v>0</v>
      </c>
      <c r="AH48" s="17">
        <f t="shared" si="15"/>
        <v>0</v>
      </c>
      <c r="AI48" s="17">
        <f t="shared" si="16"/>
        <v>0</v>
      </c>
      <c r="AJ48" s="17">
        <f t="shared" si="17"/>
        <v>0</v>
      </c>
      <c r="AK48" s="17">
        <f t="shared" si="18"/>
        <v>0.24911816578483242</v>
      </c>
      <c r="AL48" s="17">
        <f t="shared" si="19"/>
        <v>0.10934744268077601</v>
      </c>
      <c r="AM48" s="17">
        <f t="shared" si="20"/>
        <v>0</v>
      </c>
      <c r="AN48" s="17">
        <f t="shared" si="21"/>
        <v>0.10934744268077601</v>
      </c>
      <c r="AP48" s="7" t="s">
        <v>3</v>
      </c>
      <c r="AQ48" s="7" t="s">
        <v>21</v>
      </c>
    </row>
    <row r="49" spans="1:43" ht="18.75" x14ac:dyDescent="0.3">
      <c r="A49">
        <v>1921</v>
      </c>
      <c r="B49">
        <v>0</v>
      </c>
      <c r="C49">
        <v>1.44</v>
      </c>
      <c r="D49">
        <v>4.0599999999999996</v>
      </c>
      <c r="E49">
        <v>4.3699999999999903</v>
      </c>
      <c r="F49">
        <v>13.61</v>
      </c>
      <c r="G49" s="13">
        <v>6.93</v>
      </c>
      <c r="H49" s="13">
        <v>5.15</v>
      </c>
      <c r="I49" s="14">
        <v>0</v>
      </c>
      <c r="J49" s="14">
        <v>0</v>
      </c>
      <c r="K49" s="14">
        <v>0</v>
      </c>
      <c r="L49" s="15">
        <v>0</v>
      </c>
      <c r="M49" s="15">
        <v>0</v>
      </c>
      <c r="N49" s="15">
        <v>0</v>
      </c>
      <c r="O49" s="15">
        <v>0</v>
      </c>
      <c r="P49">
        <f t="shared" si="1"/>
        <v>12.08</v>
      </c>
      <c r="Q49">
        <f t="shared" si="2"/>
        <v>0</v>
      </c>
      <c r="R49">
        <f t="shared" si="3"/>
        <v>0</v>
      </c>
      <c r="S49">
        <f t="shared" si="4"/>
        <v>0</v>
      </c>
      <c r="U49">
        <v>1921</v>
      </c>
      <c r="V49">
        <v>35.93</v>
      </c>
      <c r="X49" s="17">
        <f t="shared" si="5"/>
        <v>4.0077929306985803E-2</v>
      </c>
      <c r="Y49" s="17">
        <f t="shared" si="6"/>
        <v>0.1129974951294183</v>
      </c>
      <c r="Z49" s="17">
        <f t="shared" si="7"/>
        <v>0.12162538268856082</v>
      </c>
      <c r="AA49" s="17">
        <f t="shared" si="8"/>
        <v>0.37879209574172001</v>
      </c>
      <c r="AB49" s="17">
        <f t="shared" si="9"/>
        <v>0.19287503478986917</v>
      </c>
      <c r="AC49" s="17">
        <f t="shared" si="10"/>
        <v>0.14333426106317843</v>
      </c>
      <c r="AD49" s="17">
        <f t="shared" si="11"/>
        <v>0</v>
      </c>
      <c r="AE49" s="17">
        <f t="shared" si="12"/>
        <v>0</v>
      </c>
      <c r="AF49" s="17">
        <f t="shared" si="13"/>
        <v>0</v>
      </c>
      <c r="AG49" s="17">
        <f t="shared" si="14"/>
        <v>0</v>
      </c>
      <c r="AH49" s="17">
        <f t="shared" si="15"/>
        <v>0</v>
      </c>
      <c r="AI49" s="17">
        <f t="shared" si="16"/>
        <v>0</v>
      </c>
      <c r="AJ49" s="17">
        <f t="shared" si="17"/>
        <v>0</v>
      </c>
      <c r="AK49" s="17">
        <f t="shared" si="18"/>
        <v>0.3362092958530476</v>
      </c>
      <c r="AL49" s="17">
        <f t="shared" si="19"/>
        <v>0</v>
      </c>
      <c r="AM49" s="17">
        <f t="shared" si="20"/>
        <v>0</v>
      </c>
      <c r="AN49" s="17">
        <f t="shared" si="21"/>
        <v>0</v>
      </c>
      <c r="AP49" s="7" t="s">
        <v>4</v>
      </c>
      <c r="AQ49" s="7" t="s">
        <v>22</v>
      </c>
    </row>
    <row r="50" spans="1:43" ht="18.75" x14ac:dyDescent="0.3">
      <c r="A50">
        <v>1922</v>
      </c>
      <c r="B50">
        <v>0</v>
      </c>
      <c r="C50">
        <v>2.02</v>
      </c>
      <c r="D50">
        <v>5.46</v>
      </c>
      <c r="E50">
        <v>8.23</v>
      </c>
      <c r="F50">
        <v>10.199999999999999</v>
      </c>
      <c r="G50" s="13">
        <v>7.0799999999999903</v>
      </c>
      <c r="H50" s="13">
        <v>3.26</v>
      </c>
      <c r="I50" s="14">
        <v>0</v>
      </c>
      <c r="J50" s="14">
        <v>2.52</v>
      </c>
      <c r="K50" s="14">
        <v>0</v>
      </c>
      <c r="L50" s="15">
        <v>0</v>
      </c>
      <c r="M50" s="15">
        <v>0</v>
      </c>
      <c r="N50" s="15">
        <v>0</v>
      </c>
      <c r="O50" s="15">
        <v>0</v>
      </c>
      <c r="P50">
        <f t="shared" si="1"/>
        <v>10.339999999999989</v>
      </c>
      <c r="Q50">
        <f t="shared" si="2"/>
        <v>2.52</v>
      </c>
      <c r="R50">
        <f t="shared" si="3"/>
        <v>0</v>
      </c>
      <c r="S50">
        <f t="shared" si="4"/>
        <v>2.52</v>
      </c>
      <c r="U50">
        <v>1922</v>
      </c>
      <c r="V50">
        <v>38.93</v>
      </c>
      <c r="X50" s="17">
        <f t="shared" si="5"/>
        <v>5.1888004109940919E-2</v>
      </c>
      <c r="Y50" s="17">
        <f t="shared" si="6"/>
        <v>0.14025173388132545</v>
      </c>
      <c r="Z50" s="17">
        <f t="shared" si="7"/>
        <v>0.21140508605188801</v>
      </c>
      <c r="AA50" s="17">
        <f t="shared" si="8"/>
        <v>0.26200873362445415</v>
      </c>
      <c r="AB50" s="17">
        <f t="shared" si="9"/>
        <v>0.18186488569226791</v>
      </c>
      <c r="AC50" s="17">
        <f t="shared" si="10"/>
        <v>8.3740046236835342E-2</v>
      </c>
      <c r="AD50" s="17">
        <f t="shared" si="11"/>
        <v>0</v>
      </c>
      <c r="AE50" s="17">
        <f t="shared" si="12"/>
        <v>6.4731569483688675E-2</v>
      </c>
      <c r="AF50" s="17">
        <f t="shared" si="13"/>
        <v>0</v>
      </c>
      <c r="AG50" s="17">
        <f t="shared" si="14"/>
        <v>0</v>
      </c>
      <c r="AH50" s="17">
        <f t="shared" si="15"/>
        <v>0</v>
      </c>
      <c r="AI50" s="17">
        <f t="shared" si="16"/>
        <v>0</v>
      </c>
      <c r="AJ50" s="17">
        <f t="shared" si="17"/>
        <v>0</v>
      </c>
      <c r="AK50" s="17">
        <f t="shared" si="18"/>
        <v>0.26560493192910323</v>
      </c>
      <c r="AL50" s="17">
        <f t="shared" si="19"/>
        <v>6.4731569483688675E-2</v>
      </c>
      <c r="AM50" s="17">
        <f t="shared" si="20"/>
        <v>0</v>
      </c>
      <c r="AN50" s="17">
        <f t="shared" si="21"/>
        <v>6.4731569483688675E-2</v>
      </c>
      <c r="AP50" s="7" t="s">
        <v>23</v>
      </c>
      <c r="AQ50" s="7" t="s">
        <v>37</v>
      </c>
    </row>
    <row r="51" spans="1:43" ht="18.75" x14ac:dyDescent="0.3">
      <c r="A51">
        <v>1923</v>
      </c>
      <c r="B51">
        <v>0</v>
      </c>
      <c r="C51">
        <v>0.87</v>
      </c>
      <c r="D51">
        <v>4.4899999999999904</v>
      </c>
      <c r="E51">
        <v>7.8299999999999903</v>
      </c>
      <c r="F51">
        <v>14.67</v>
      </c>
      <c r="G51" s="13">
        <v>5.68</v>
      </c>
      <c r="H51" s="13">
        <v>3.08</v>
      </c>
      <c r="I51" s="14">
        <v>0</v>
      </c>
      <c r="J51" s="14">
        <v>2.6</v>
      </c>
      <c r="K51" s="14">
        <v>0</v>
      </c>
      <c r="L51" s="15">
        <v>0</v>
      </c>
      <c r="M51" s="15">
        <v>0</v>
      </c>
      <c r="N51" s="15">
        <v>0</v>
      </c>
      <c r="O51" s="15">
        <v>0</v>
      </c>
      <c r="P51">
        <f t="shared" si="1"/>
        <v>8.76</v>
      </c>
      <c r="Q51">
        <f t="shared" si="2"/>
        <v>2.6</v>
      </c>
      <c r="R51">
        <f t="shared" si="3"/>
        <v>0</v>
      </c>
      <c r="S51">
        <f t="shared" si="4"/>
        <v>2.6</v>
      </c>
      <c r="U51">
        <v>1923</v>
      </c>
      <c r="V51">
        <v>39.450000000000003</v>
      </c>
      <c r="X51" s="17">
        <f t="shared" si="5"/>
        <v>2.2053231939163497E-2</v>
      </c>
      <c r="Y51" s="17">
        <f t="shared" si="6"/>
        <v>0.11381495564005045</v>
      </c>
      <c r="Z51" s="17">
        <f t="shared" si="7"/>
        <v>0.19847908745247123</v>
      </c>
      <c r="AA51" s="17">
        <f t="shared" si="8"/>
        <v>0.3718631178707224</v>
      </c>
      <c r="AB51" s="17">
        <f t="shared" si="9"/>
        <v>0.14397972116603294</v>
      </c>
      <c r="AC51" s="17">
        <f t="shared" si="10"/>
        <v>7.8073510773130544E-2</v>
      </c>
      <c r="AD51" s="17">
        <f t="shared" si="11"/>
        <v>0</v>
      </c>
      <c r="AE51" s="17">
        <f t="shared" si="12"/>
        <v>6.5906210392902412E-2</v>
      </c>
      <c r="AF51" s="17">
        <f t="shared" si="13"/>
        <v>0</v>
      </c>
      <c r="AG51" s="17">
        <f t="shared" si="14"/>
        <v>0</v>
      </c>
      <c r="AH51" s="17">
        <f t="shared" si="15"/>
        <v>0</v>
      </c>
      <c r="AI51" s="17">
        <f t="shared" si="16"/>
        <v>0</v>
      </c>
      <c r="AJ51" s="17">
        <f t="shared" si="17"/>
        <v>0</v>
      </c>
      <c r="AK51" s="17">
        <f t="shared" si="18"/>
        <v>0.22205323193916349</v>
      </c>
      <c r="AL51" s="17">
        <f t="shared" si="19"/>
        <v>6.5906210392902412E-2</v>
      </c>
      <c r="AM51" s="17">
        <f t="shared" si="20"/>
        <v>0</v>
      </c>
      <c r="AN51" s="17">
        <f t="shared" si="21"/>
        <v>6.5906210392902412E-2</v>
      </c>
      <c r="AP51" s="7" t="s">
        <v>25</v>
      </c>
      <c r="AQ51" s="7" t="s">
        <v>38</v>
      </c>
    </row>
    <row r="52" spans="1:43" x14ac:dyDescent="0.25">
      <c r="A52">
        <v>1924</v>
      </c>
      <c r="B52">
        <v>0</v>
      </c>
      <c r="C52">
        <v>1.35</v>
      </c>
      <c r="D52">
        <v>5.14</v>
      </c>
      <c r="E52">
        <v>5.9199999999999902</v>
      </c>
      <c r="F52">
        <v>11.32</v>
      </c>
      <c r="G52" s="13">
        <v>7.24</v>
      </c>
      <c r="H52" s="13">
        <v>5.09</v>
      </c>
      <c r="I52" s="14">
        <v>2.06</v>
      </c>
      <c r="J52" s="14">
        <v>0</v>
      </c>
      <c r="K52" s="14">
        <v>0</v>
      </c>
      <c r="L52" s="15">
        <v>0</v>
      </c>
      <c r="M52" s="15">
        <v>0</v>
      </c>
      <c r="N52" s="15">
        <v>0</v>
      </c>
      <c r="O52" s="15">
        <v>0</v>
      </c>
      <c r="P52">
        <f t="shared" si="1"/>
        <v>12.33</v>
      </c>
      <c r="Q52">
        <f t="shared" si="2"/>
        <v>2.06</v>
      </c>
      <c r="R52">
        <f t="shared" si="3"/>
        <v>0</v>
      </c>
      <c r="S52">
        <f t="shared" si="4"/>
        <v>2.06</v>
      </c>
      <c r="U52">
        <v>1924</v>
      </c>
      <c r="V52">
        <v>38.31</v>
      </c>
      <c r="X52" s="17">
        <f t="shared" si="5"/>
        <v>3.5238841033672669E-2</v>
      </c>
      <c r="Y52" s="17">
        <f t="shared" si="6"/>
        <v>0.13416862438005742</v>
      </c>
      <c r="Z52" s="17">
        <f t="shared" si="7"/>
        <v>0.15452884364395691</v>
      </c>
      <c r="AA52" s="17">
        <f t="shared" si="8"/>
        <v>0.29548420777864787</v>
      </c>
      <c r="AB52" s="17">
        <f t="shared" si="9"/>
        <v>0.18898459932132602</v>
      </c>
      <c r="AC52" s="17">
        <f t="shared" si="10"/>
        <v>0.13286348211955101</v>
      </c>
      <c r="AD52" s="17">
        <f t="shared" si="11"/>
        <v>5.3771861132863481E-2</v>
      </c>
      <c r="AE52" s="17">
        <f t="shared" si="12"/>
        <v>0</v>
      </c>
      <c r="AF52" s="17">
        <f t="shared" si="13"/>
        <v>0</v>
      </c>
      <c r="AG52" s="17">
        <f t="shared" si="14"/>
        <v>0</v>
      </c>
      <c r="AH52" s="17">
        <f t="shared" si="15"/>
        <v>0</v>
      </c>
      <c r="AI52" s="17">
        <f t="shared" si="16"/>
        <v>0</v>
      </c>
      <c r="AJ52" s="17">
        <f t="shared" si="17"/>
        <v>0</v>
      </c>
      <c r="AK52" s="17">
        <f t="shared" si="18"/>
        <v>0.32184808144087707</v>
      </c>
      <c r="AL52" s="17">
        <f t="shared" si="19"/>
        <v>5.3771861132863481E-2</v>
      </c>
      <c r="AM52" s="17">
        <f t="shared" si="20"/>
        <v>0</v>
      </c>
      <c r="AN52" s="17">
        <f t="shared" si="21"/>
        <v>5.3771861132863481E-2</v>
      </c>
    </row>
    <row r="53" spans="1:43" x14ac:dyDescent="0.25">
      <c r="A53">
        <v>1925</v>
      </c>
      <c r="B53">
        <v>0</v>
      </c>
      <c r="C53">
        <v>1.91</v>
      </c>
      <c r="D53">
        <v>3.49</v>
      </c>
      <c r="E53">
        <v>6.2499999999999902</v>
      </c>
      <c r="F53">
        <v>10.87</v>
      </c>
      <c r="G53" s="13">
        <v>7.58</v>
      </c>
      <c r="H53" s="13">
        <v>0</v>
      </c>
      <c r="I53" s="14">
        <v>4.6099999999999897</v>
      </c>
      <c r="J53" s="14">
        <v>0</v>
      </c>
      <c r="K53" s="14">
        <v>0</v>
      </c>
      <c r="L53" s="15">
        <v>0</v>
      </c>
      <c r="M53" s="15">
        <v>0</v>
      </c>
      <c r="N53" s="15">
        <v>0</v>
      </c>
      <c r="O53" s="15">
        <v>0</v>
      </c>
      <c r="P53">
        <f t="shared" si="1"/>
        <v>7.58</v>
      </c>
      <c r="Q53">
        <f t="shared" si="2"/>
        <v>4.6099999999999897</v>
      </c>
      <c r="R53">
        <f t="shared" si="3"/>
        <v>0</v>
      </c>
      <c r="S53">
        <f t="shared" si="4"/>
        <v>4.6099999999999897</v>
      </c>
      <c r="U53">
        <v>1925</v>
      </c>
      <c r="V53">
        <v>34.99</v>
      </c>
      <c r="X53" s="17">
        <f t="shared" si="5"/>
        <v>5.4587024864246922E-2</v>
      </c>
      <c r="Y53" s="17">
        <f t="shared" si="6"/>
        <v>9.9742783652472133E-2</v>
      </c>
      <c r="Z53" s="17">
        <f t="shared" si="7"/>
        <v>0.17862246356101713</v>
      </c>
      <c r="AA53" s="17">
        <f t="shared" si="8"/>
        <v>0.31066018862532147</v>
      </c>
      <c r="AB53" s="17">
        <f t="shared" si="9"/>
        <v>0.21663332380680192</v>
      </c>
      <c r="AC53" s="17">
        <f t="shared" si="10"/>
        <v>0</v>
      </c>
      <c r="AD53" s="17">
        <f t="shared" si="11"/>
        <v>0.13175192912260617</v>
      </c>
      <c r="AE53" s="17">
        <f t="shared" si="12"/>
        <v>0</v>
      </c>
      <c r="AF53" s="17">
        <f t="shared" si="13"/>
        <v>0</v>
      </c>
      <c r="AG53" s="17">
        <f t="shared" si="14"/>
        <v>0</v>
      </c>
      <c r="AH53" s="17">
        <f t="shared" si="15"/>
        <v>0</v>
      </c>
      <c r="AI53" s="17">
        <f t="shared" si="16"/>
        <v>0</v>
      </c>
      <c r="AJ53" s="17">
        <f t="shared" si="17"/>
        <v>0</v>
      </c>
      <c r="AK53" s="17">
        <f t="shared" si="18"/>
        <v>0.21663332380680192</v>
      </c>
      <c r="AL53" s="17">
        <f t="shared" si="19"/>
        <v>0.13175192912260617</v>
      </c>
      <c r="AM53" s="17">
        <f t="shared" si="20"/>
        <v>0</v>
      </c>
      <c r="AN53" s="17">
        <f t="shared" si="21"/>
        <v>0.13175192912260617</v>
      </c>
    </row>
    <row r="54" spans="1:43" x14ac:dyDescent="0.25">
      <c r="A54">
        <v>1926</v>
      </c>
      <c r="B54">
        <v>0</v>
      </c>
      <c r="C54">
        <v>1.96</v>
      </c>
      <c r="D54">
        <v>3.53</v>
      </c>
      <c r="E54">
        <v>5.38</v>
      </c>
      <c r="F54">
        <v>15.649999999999901</v>
      </c>
      <c r="G54" s="13">
        <v>7.2</v>
      </c>
      <c r="H54" s="13">
        <v>1.67</v>
      </c>
      <c r="I54" s="14">
        <v>2.4500000000000002</v>
      </c>
      <c r="J54" s="14">
        <v>0</v>
      </c>
      <c r="K54" s="14">
        <v>3.04</v>
      </c>
      <c r="L54" s="15">
        <v>0</v>
      </c>
      <c r="M54" s="15">
        <v>0</v>
      </c>
      <c r="N54" s="15">
        <v>0</v>
      </c>
      <c r="O54" s="15">
        <v>0</v>
      </c>
      <c r="P54">
        <f t="shared" si="1"/>
        <v>8.870000000000001</v>
      </c>
      <c r="Q54">
        <f t="shared" si="2"/>
        <v>5.49</v>
      </c>
      <c r="R54">
        <f t="shared" si="3"/>
        <v>0</v>
      </c>
      <c r="S54">
        <f t="shared" si="4"/>
        <v>5.49</v>
      </c>
      <c r="U54">
        <v>1926</v>
      </c>
      <c r="V54">
        <v>41.22</v>
      </c>
      <c r="X54" s="17">
        <f t="shared" si="5"/>
        <v>4.7549733139252794E-2</v>
      </c>
      <c r="Y54" s="17">
        <f t="shared" si="6"/>
        <v>8.5638039786511397E-2</v>
      </c>
      <c r="Z54" s="17">
        <f t="shared" si="7"/>
        <v>0.13051916545366327</v>
      </c>
      <c r="AA54" s="17">
        <f t="shared" si="8"/>
        <v>0.37967006307617424</v>
      </c>
      <c r="AB54" s="17">
        <f t="shared" si="9"/>
        <v>0.17467248908296945</v>
      </c>
      <c r="AC54" s="17">
        <f t="shared" si="10"/>
        <v>4.051431344007763E-2</v>
      </c>
      <c r="AD54" s="17">
        <f t="shared" si="11"/>
        <v>5.943716642406599E-2</v>
      </c>
      <c r="AE54" s="17">
        <f t="shared" si="12"/>
        <v>0</v>
      </c>
      <c r="AF54" s="17">
        <f t="shared" si="13"/>
        <v>7.3750606501698207E-2</v>
      </c>
      <c r="AG54" s="17">
        <f t="shared" si="14"/>
        <v>0</v>
      </c>
      <c r="AH54" s="17">
        <f t="shared" si="15"/>
        <v>0</v>
      </c>
      <c r="AI54" s="17">
        <f t="shared" si="16"/>
        <v>0</v>
      </c>
      <c r="AJ54" s="17">
        <f t="shared" si="17"/>
        <v>0</v>
      </c>
      <c r="AK54" s="17">
        <f t="shared" si="18"/>
        <v>0.21518680252304709</v>
      </c>
      <c r="AL54" s="17">
        <f t="shared" si="19"/>
        <v>0.1331877729257642</v>
      </c>
      <c r="AM54" s="17">
        <f t="shared" si="20"/>
        <v>0</v>
      </c>
      <c r="AN54" s="17">
        <f t="shared" si="21"/>
        <v>0.1331877729257642</v>
      </c>
    </row>
    <row r="55" spans="1:43" x14ac:dyDescent="0.25">
      <c r="A55">
        <v>1927</v>
      </c>
      <c r="B55">
        <v>0</v>
      </c>
      <c r="C55">
        <v>1.9</v>
      </c>
      <c r="D55">
        <v>4.5599999999999996</v>
      </c>
      <c r="E55">
        <v>6.7999999999999901</v>
      </c>
      <c r="F55">
        <v>7.21</v>
      </c>
      <c r="G55" s="13">
        <v>4.3600000000000003</v>
      </c>
      <c r="H55" s="13">
        <v>10.68</v>
      </c>
      <c r="I55" s="14">
        <v>2.4300000000000002</v>
      </c>
      <c r="J55" s="14">
        <v>2.88</v>
      </c>
      <c r="K55" s="14">
        <v>0</v>
      </c>
      <c r="L55" s="15">
        <v>0</v>
      </c>
      <c r="M55" s="15">
        <v>0</v>
      </c>
      <c r="N55" s="15">
        <v>0</v>
      </c>
      <c r="O55" s="15">
        <v>0</v>
      </c>
      <c r="P55">
        <f t="shared" si="1"/>
        <v>15.04</v>
      </c>
      <c r="Q55">
        <f t="shared" si="2"/>
        <v>5.3100000000000005</v>
      </c>
      <c r="R55">
        <f t="shared" si="3"/>
        <v>0</v>
      </c>
      <c r="S55">
        <f t="shared" si="4"/>
        <v>5.3100000000000005</v>
      </c>
      <c r="U55">
        <v>1927</v>
      </c>
      <c r="V55">
        <v>41.11</v>
      </c>
      <c r="X55" s="17">
        <f t="shared" si="5"/>
        <v>4.6217465336900992E-2</v>
      </c>
      <c r="Y55" s="17">
        <f t="shared" si="6"/>
        <v>0.11092191680856238</v>
      </c>
      <c r="Z55" s="17">
        <f t="shared" si="7"/>
        <v>0.16540987594259279</v>
      </c>
      <c r="AA55" s="17">
        <f t="shared" si="8"/>
        <v>0.17538311846266116</v>
      </c>
      <c r="AB55" s="17">
        <f t="shared" si="9"/>
        <v>0.10605692045730966</v>
      </c>
      <c r="AC55" s="17">
        <f t="shared" si="10"/>
        <v>0.25979080515689612</v>
      </c>
      <c r="AD55" s="17">
        <f t="shared" si="11"/>
        <v>5.9109705667720752E-2</v>
      </c>
      <c r="AE55" s="17">
        <f t="shared" si="12"/>
        <v>7.0055947458039405E-2</v>
      </c>
      <c r="AF55" s="17">
        <f t="shared" si="13"/>
        <v>0</v>
      </c>
      <c r="AG55" s="17">
        <f t="shared" si="14"/>
        <v>0</v>
      </c>
      <c r="AH55" s="17">
        <f t="shared" si="15"/>
        <v>0</v>
      </c>
      <c r="AI55" s="17">
        <f t="shared" si="16"/>
        <v>0</v>
      </c>
      <c r="AJ55" s="17">
        <f t="shared" si="17"/>
        <v>0</v>
      </c>
      <c r="AK55" s="17">
        <f t="shared" si="18"/>
        <v>0.36584772561420575</v>
      </c>
      <c r="AL55" s="17">
        <f t="shared" si="19"/>
        <v>0.12916565312576017</v>
      </c>
      <c r="AM55" s="17">
        <f t="shared" si="20"/>
        <v>0</v>
      </c>
      <c r="AN55" s="17">
        <f t="shared" si="21"/>
        <v>0.12916565312576017</v>
      </c>
    </row>
    <row r="56" spans="1:43" x14ac:dyDescent="0.25">
      <c r="A56">
        <v>1928</v>
      </c>
      <c r="B56">
        <v>0</v>
      </c>
      <c r="C56">
        <v>1.69</v>
      </c>
      <c r="D56">
        <v>3.13</v>
      </c>
      <c r="E56">
        <v>10.889999999999899</v>
      </c>
      <c r="F56">
        <v>10.3799999999999</v>
      </c>
      <c r="G56" s="13">
        <v>6</v>
      </c>
      <c r="H56" s="13">
        <v>3.39</v>
      </c>
      <c r="I56" s="14">
        <v>2.0299999999999998</v>
      </c>
      <c r="J56" s="14">
        <v>2.72</v>
      </c>
      <c r="K56" s="14">
        <v>0</v>
      </c>
      <c r="L56" s="15">
        <v>4.34</v>
      </c>
      <c r="M56" s="15">
        <v>0</v>
      </c>
      <c r="N56" s="15">
        <v>0</v>
      </c>
      <c r="O56" s="15">
        <v>0</v>
      </c>
      <c r="P56">
        <f t="shared" si="1"/>
        <v>9.39</v>
      </c>
      <c r="Q56">
        <f t="shared" si="2"/>
        <v>4.75</v>
      </c>
      <c r="R56">
        <f t="shared" si="3"/>
        <v>4.34</v>
      </c>
      <c r="S56">
        <f t="shared" si="4"/>
        <v>9.09</v>
      </c>
      <c r="U56">
        <v>1928</v>
      </c>
      <c r="V56">
        <v>44.86</v>
      </c>
      <c r="X56" s="17">
        <f t="shared" si="5"/>
        <v>3.7672759696834597E-2</v>
      </c>
      <c r="Y56" s="17">
        <f t="shared" si="6"/>
        <v>6.9772625947391878E-2</v>
      </c>
      <c r="Z56" s="17">
        <f t="shared" si="7"/>
        <v>0.24275523851983727</v>
      </c>
      <c r="AA56" s="17">
        <f t="shared" si="8"/>
        <v>0.23138653588943156</v>
      </c>
      <c r="AB56" s="17">
        <f t="shared" si="9"/>
        <v>0.13374944271065536</v>
      </c>
      <c r="AC56" s="17">
        <f t="shared" si="10"/>
        <v>7.5568435131520284E-2</v>
      </c>
      <c r="AD56" s="17">
        <f t="shared" si="11"/>
        <v>4.5251894783771729E-2</v>
      </c>
      <c r="AE56" s="17">
        <f t="shared" si="12"/>
        <v>6.063308069549711E-2</v>
      </c>
      <c r="AF56" s="17">
        <f t="shared" si="13"/>
        <v>0</v>
      </c>
      <c r="AG56" s="17">
        <f t="shared" si="14"/>
        <v>9.6745430227374057E-2</v>
      </c>
      <c r="AH56" s="17">
        <f t="shared" si="15"/>
        <v>0</v>
      </c>
      <c r="AI56" s="17">
        <f t="shared" si="16"/>
        <v>0</v>
      </c>
      <c r="AJ56" s="17">
        <f t="shared" si="17"/>
        <v>0</v>
      </c>
      <c r="AK56" s="17">
        <f t="shared" si="18"/>
        <v>0.20931787784217568</v>
      </c>
      <c r="AL56" s="17">
        <f t="shared" si="19"/>
        <v>0.10588497547926884</v>
      </c>
      <c r="AM56" s="17">
        <f t="shared" si="20"/>
        <v>9.6745430227374057E-2</v>
      </c>
      <c r="AN56" s="17">
        <f t="shared" si="21"/>
        <v>0.2026304057066429</v>
      </c>
    </row>
    <row r="57" spans="1:43" x14ac:dyDescent="0.25">
      <c r="A57">
        <v>1929</v>
      </c>
      <c r="B57">
        <v>0</v>
      </c>
      <c r="C57">
        <v>2.13</v>
      </c>
      <c r="D57">
        <v>3.51</v>
      </c>
      <c r="E57">
        <v>6.29</v>
      </c>
      <c r="F57">
        <v>13.42</v>
      </c>
      <c r="G57" s="13">
        <v>8.5399999999999991</v>
      </c>
      <c r="H57" s="13">
        <v>1.89</v>
      </c>
      <c r="I57" s="14">
        <v>0</v>
      </c>
      <c r="J57" s="14">
        <v>0</v>
      </c>
      <c r="K57" s="14">
        <v>0</v>
      </c>
      <c r="L57" s="15">
        <v>0</v>
      </c>
      <c r="M57" s="15">
        <v>0</v>
      </c>
      <c r="N57" s="15">
        <v>0</v>
      </c>
      <c r="O57" s="15">
        <v>0</v>
      </c>
      <c r="P57">
        <f t="shared" si="1"/>
        <v>10.43</v>
      </c>
      <c r="Q57">
        <f t="shared" si="2"/>
        <v>0</v>
      </c>
      <c r="R57">
        <f t="shared" si="3"/>
        <v>0</v>
      </c>
      <c r="S57">
        <f t="shared" si="4"/>
        <v>0</v>
      </c>
      <c r="U57">
        <v>1929</v>
      </c>
      <c r="V57">
        <v>36.049999999999997</v>
      </c>
      <c r="X57" s="17">
        <f t="shared" si="5"/>
        <v>5.908460471567268E-2</v>
      </c>
      <c r="Y57" s="17">
        <f t="shared" si="6"/>
        <v>9.7364771151178919E-2</v>
      </c>
      <c r="Z57" s="17">
        <f t="shared" si="7"/>
        <v>0.17447988904299586</v>
      </c>
      <c r="AA57" s="17">
        <f t="shared" si="8"/>
        <v>0.37226074895977812</v>
      </c>
      <c r="AB57" s="17">
        <f t="shared" si="9"/>
        <v>0.23689320388349513</v>
      </c>
      <c r="AC57" s="17">
        <f t="shared" si="10"/>
        <v>5.2427184466019419E-2</v>
      </c>
      <c r="AD57" s="17">
        <f t="shared" si="11"/>
        <v>0</v>
      </c>
      <c r="AE57" s="17">
        <f t="shared" si="12"/>
        <v>0</v>
      </c>
      <c r="AF57" s="17">
        <f t="shared" si="13"/>
        <v>0</v>
      </c>
      <c r="AG57" s="17">
        <f t="shared" si="14"/>
        <v>0</v>
      </c>
      <c r="AH57" s="17">
        <f t="shared" si="15"/>
        <v>0</v>
      </c>
      <c r="AI57" s="17">
        <f t="shared" si="16"/>
        <v>0</v>
      </c>
      <c r="AJ57" s="17">
        <f t="shared" si="17"/>
        <v>0</v>
      </c>
      <c r="AK57" s="17">
        <f t="shared" si="18"/>
        <v>0.28932038834951457</v>
      </c>
      <c r="AL57" s="17">
        <f t="shared" si="19"/>
        <v>0</v>
      </c>
      <c r="AM57" s="17">
        <f t="shared" si="20"/>
        <v>0</v>
      </c>
      <c r="AN57" s="17">
        <f t="shared" si="21"/>
        <v>0</v>
      </c>
    </row>
    <row r="58" spans="1:43" x14ac:dyDescent="0.25">
      <c r="A58">
        <v>1930</v>
      </c>
      <c r="B58">
        <v>0</v>
      </c>
      <c r="C58">
        <v>1.04</v>
      </c>
      <c r="D58">
        <v>4.3600000000000003</v>
      </c>
      <c r="E58">
        <v>8.6299999999999901</v>
      </c>
      <c r="F58">
        <v>9.0299999999999994</v>
      </c>
      <c r="G58" s="13">
        <v>5.04</v>
      </c>
      <c r="H58" s="13">
        <v>0</v>
      </c>
      <c r="I58" s="14">
        <v>0</v>
      </c>
      <c r="J58" s="14">
        <v>2.78</v>
      </c>
      <c r="K58" s="14">
        <v>0</v>
      </c>
      <c r="L58" s="15">
        <v>0</v>
      </c>
      <c r="M58" s="15">
        <v>0</v>
      </c>
      <c r="N58" s="15">
        <v>0</v>
      </c>
      <c r="O58" s="15">
        <v>0</v>
      </c>
      <c r="P58">
        <f t="shared" si="1"/>
        <v>5.04</v>
      </c>
      <c r="Q58">
        <f t="shared" si="2"/>
        <v>2.78</v>
      </c>
      <c r="R58">
        <f t="shared" si="3"/>
        <v>0</v>
      </c>
      <c r="S58">
        <f t="shared" si="4"/>
        <v>2.78</v>
      </c>
      <c r="U58">
        <v>1930</v>
      </c>
      <c r="V58">
        <v>31.18</v>
      </c>
      <c r="X58" s="17">
        <f t="shared" si="5"/>
        <v>3.3354714560615784E-2</v>
      </c>
      <c r="Y58" s="17">
        <f t="shared" si="6"/>
        <v>0.13983322642719692</v>
      </c>
      <c r="Z58" s="17">
        <f t="shared" si="7"/>
        <v>0.27677998717126334</v>
      </c>
      <c r="AA58" s="17">
        <f t="shared" si="8"/>
        <v>0.28960872354073119</v>
      </c>
      <c r="AB58" s="17">
        <f t="shared" si="9"/>
        <v>0.16164207825529187</v>
      </c>
      <c r="AC58" s="17">
        <f t="shared" si="10"/>
        <v>0</v>
      </c>
      <c r="AD58" s="17">
        <f t="shared" si="11"/>
        <v>0</v>
      </c>
      <c r="AE58" s="17">
        <f t="shared" si="12"/>
        <v>8.9159717767799865E-2</v>
      </c>
      <c r="AF58" s="17">
        <f t="shared" si="13"/>
        <v>0</v>
      </c>
      <c r="AG58" s="17">
        <f t="shared" si="14"/>
        <v>0</v>
      </c>
      <c r="AH58" s="17">
        <f t="shared" si="15"/>
        <v>0</v>
      </c>
      <c r="AI58" s="17">
        <f t="shared" si="16"/>
        <v>0</v>
      </c>
      <c r="AJ58" s="17">
        <f t="shared" si="17"/>
        <v>0</v>
      </c>
      <c r="AK58" s="17">
        <f t="shared" si="18"/>
        <v>0.16164207825529187</v>
      </c>
      <c r="AL58" s="17">
        <f t="shared" si="19"/>
        <v>8.9159717767799865E-2</v>
      </c>
      <c r="AM58" s="17">
        <f t="shared" si="20"/>
        <v>0</v>
      </c>
      <c r="AN58" s="17">
        <f t="shared" si="21"/>
        <v>8.9159717767799865E-2</v>
      </c>
    </row>
    <row r="59" spans="1:43" x14ac:dyDescent="0.25">
      <c r="A59">
        <v>1931</v>
      </c>
      <c r="B59">
        <v>0</v>
      </c>
      <c r="C59">
        <v>1.57</v>
      </c>
      <c r="D59">
        <v>3.61</v>
      </c>
      <c r="E59">
        <v>4.58</v>
      </c>
      <c r="F59">
        <v>10.409999999999901</v>
      </c>
      <c r="G59" s="13">
        <v>3.8099999999999898</v>
      </c>
      <c r="H59" s="13">
        <v>6.9899999999999904</v>
      </c>
      <c r="I59" s="14">
        <v>0</v>
      </c>
      <c r="J59" s="14">
        <v>0</v>
      </c>
      <c r="K59" s="14">
        <v>0</v>
      </c>
      <c r="L59" s="15">
        <v>0</v>
      </c>
      <c r="M59" s="15">
        <v>0</v>
      </c>
      <c r="N59" s="15">
        <v>0</v>
      </c>
      <c r="O59" s="15">
        <v>0</v>
      </c>
      <c r="P59">
        <f t="shared" si="1"/>
        <v>10.799999999999979</v>
      </c>
      <c r="Q59">
        <f t="shared" si="2"/>
        <v>0</v>
      </c>
      <c r="R59">
        <f t="shared" si="3"/>
        <v>0</v>
      </c>
      <c r="S59">
        <f t="shared" si="4"/>
        <v>0</v>
      </c>
      <c r="U59">
        <v>1931</v>
      </c>
      <c r="V59">
        <v>31.18</v>
      </c>
      <c r="X59" s="17">
        <f t="shared" si="5"/>
        <v>5.0352790250160359E-2</v>
      </c>
      <c r="Y59" s="17">
        <f t="shared" si="6"/>
        <v>0.11577934573444515</v>
      </c>
      <c r="Z59" s="17">
        <f t="shared" si="7"/>
        <v>0.1468890314304041</v>
      </c>
      <c r="AA59" s="17">
        <f t="shared" si="8"/>
        <v>0.33386786401539131</v>
      </c>
      <c r="AB59" s="17">
        <f t="shared" si="9"/>
        <v>0.12219371391917863</v>
      </c>
      <c r="AC59" s="17">
        <f t="shared" si="10"/>
        <v>0.22418216805644614</v>
      </c>
      <c r="AD59" s="17">
        <f t="shared" si="11"/>
        <v>0</v>
      </c>
      <c r="AE59" s="17">
        <f t="shared" si="12"/>
        <v>0</v>
      </c>
      <c r="AF59" s="17">
        <f t="shared" si="13"/>
        <v>0</v>
      </c>
      <c r="AG59" s="17">
        <f t="shared" si="14"/>
        <v>0</v>
      </c>
      <c r="AH59" s="17">
        <f t="shared" si="15"/>
        <v>0</v>
      </c>
      <c r="AI59" s="17">
        <f t="shared" si="16"/>
        <v>0</v>
      </c>
      <c r="AJ59" s="17">
        <f t="shared" si="17"/>
        <v>0</v>
      </c>
      <c r="AK59" s="17">
        <f t="shared" si="18"/>
        <v>0.34637588197562474</v>
      </c>
      <c r="AL59" s="17">
        <f t="shared" si="19"/>
        <v>0</v>
      </c>
      <c r="AM59" s="17">
        <f t="shared" si="20"/>
        <v>0</v>
      </c>
      <c r="AN59" s="17">
        <f t="shared" si="21"/>
        <v>0</v>
      </c>
    </row>
    <row r="60" spans="1:43" x14ac:dyDescent="0.25">
      <c r="A60">
        <v>1932</v>
      </c>
      <c r="B60">
        <v>0</v>
      </c>
      <c r="C60">
        <v>1.58</v>
      </c>
      <c r="D60">
        <v>4.29</v>
      </c>
      <c r="E60">
        <v>5.93</v>
      </c>
      <c r="F60">
        <v>13.27</v>
      </c>
      <c r="G60" s="13">
        <v>11.92</v>
      </c>
      <c r="H60" s="13">
        <v>5.18</v>
      </c>
      <c r="I60" s="14">
        <v>4.2699999999999996</v>
      </c>
      <c r="J60" s="14">
        <v>0</v>
      </c>
      <c r="K60" s="14">
        <v>0</v>
      </c>
      <c r="L60" s="15">
        <v>0</v>
      </c>
      <c r="M60" s="15">
        <v>0</v>
      </c>
      <c r="N60" s="15">
        <v>0</v>
      </c>
      <c r="O60" s="15">
        <v>0</v>
      </c>
      <c r="P60">
        <f t="shared" si="1"/>
        <v>17.100000000000001</v>
      </c>
      <c r="Q60">
        <f t="shared" si="2"/>
        <v>4.2699999999999996</v>
      </c>
      <c r="R60">
        <f t="shared" si="3"/>
        <v>0</v>
      </c>
      <c r="S60">
        <f t="shared" si="4"/>
        <v>4.2699999999999996</v>
      </c>
      <c r="U60">
        <v>1932</v>
      </c>
      <c r="V60">
        <v>46.58</v>
      </c>
      <c r="X60" s="17">
        <f t="shared" si="5"/>
        <v>3.3920137398024908E-2</v>
      </c>
      <c r="Y60" s="17">
        <f t="shared" si="6"/>
        <v>9.2099613568054961E-2</v>
      </c>
      <c r="Z60" s="17">
        <f t="shared" si="7"/>
        <v>0.12730785744954917</v>
      </c>
      <c r="AA60" s="17">
        <f t="shared" si="8"/>
        <v>0.28488621726062691</v>
      </c>
      <c r="AB60" s="17">
        <f t="shared" si="9"/>
        <v>0.25590382138256762</v>
      </c>
      <c r="AC60" s="17">
        <f t="shared" si="10"/>
        <v>0.11120652640618291</v>
      </c>
      <c r="AD60" s="17">
        <f t="shared" si="11"/>
        <v>9.167024474023186E-2</v>
      </c>
      <c r="AE60" s="17">
        <f t="shared" si="12"/>
        <v>0</v>
      </c>
      <c r="AF60" s="17">
        <f t="shared" si="13"/>
        <v>0</v>
      </c>
      <c r="AG60" s="17">
        <f t="shared" si="14"/>
        <v>0</v>
      </c>
      <c r="AH60" s="17">
        <f t="shared" si="15"/>
        <v>0</v>
      </c>
      <c r="AI60" s="17">
        <f t="shared" si="16"/>
        <v>0</v>
      </c>
      <c r="AJ60" s="17">
        <f t="shared" si="17"/>
        <v>0</v>
      </c>
      <c r="AK60" s="17">
        <f t="shared" si="18"/>
        <v>0.36711034778875057</v>
      </c>
      <c r="AL60" s="17">
        <f t="shared" si="19"/>
        <v>9.167024474023186E-2</v>
      </c>
      <c r="AM60" s="17">
        <f t="shared" si="20"/>
        <v>0</v>
      </c>
      <c r="AN60" s="17">
        <f t="shared" si="21"/>
        <v>9.167024474023186E-2</v>
      </c>
    </row>
    <row r="61" spans="1:43" x14ac:dyDescent="0.25">
      <c r="A61">
        <v>1933</v>
      </c>
      <c r="B61">
        <v>0</v>
      </c>
      <c r="C61">
        <v>1.54</v>
      </c>
      <c r="D61">
        <v>3.81</v>
      </c>
      <c r="E61">
        <v>9.07</v>
      </c>
      <c r="F61">
        <v>15.309999999999899</v>
      </c>
      <c r="G61" s="13">
        <v>9.02</v>
      </c>
      <c r="H61" s="13">
        <v>1.55</v>
      </c>
      <c r="I61" s="14">
        <v>0</v>
      </c>
      <c r="J61" s="14">
        <v>2.66</v>
      </c>
      <c r="K61" s="14">
        <v>0</v>
      </c>
      <c r="L61" s="15">
        <v>0</v>
      </c>
      <c r="M61" s="15">
        <v>0</v>
      </c>
      <c r="N61" s="15">
        <v>0</v>
      </c>
      <c r="O61" s="15">
        <v>8.1199999999999992</v>
      </c>
      <c r="P61">
        <f t="shared" si="1"/>
        <v>10.57</v>
      </c>
      <c r="Q61">
        <f t="shared" si="2"/>
        <v>2.66</v>
      </c>
      <c r="R61">
        <f t="shared" si="3"/>
        <v>8.1199999999999992</v>
      </c>
      <c r="S61">
        <f t="shared" si="4"/>
        <v>10.78</v>
      </c>
      <c r="U61">
        <v>1933</v>
      </c>
      <c r="V61">
        <v>51.27</v>
      </c>
      <c r="X61" s="17">
        <f t="shared" si="5"/>
        <v>3.0037058708796565E-2</v>
      </c>
      <c r="Y61" s="17">
        <f t="shared" si="6"/>
        <v>7.4312463428905795E-2</v>
      </c>
      <c r="Z61" s="17">
        <f t="shared" si="7"/>
        <v>0.1769065730446655</v>
      </c>
      <c r="AA61" s="17">
        <f t="shared" si="8"/>
        <v>0.29861517456602105</v>
      </c>
      <c r="AB61" s="17">
        <f t="shared" si="9"/>
        <v>0.17593134386580844</v>
      </c>
      <c r="AC61" s="17">
        <f t="shared" si="10"/>
        <v>3.0232104544567973E-2</v>
      </c>
      <c r="AD61" s="17">
        <f t="shared" si="11"/>
        <v>0</v>
      </c>
      <c r="AE61" s="17">
        <f t="shared" si="12"/>
        <v>5.1882192315194073E-2</v>
      </c>
      <c r="AF61" s="17">
        <f t="shared" si="13"/>
        <v>0</v>
      </c>
      <c r="AG61" s="17">
        <f t="shared" si="14"/>
        <v>0</v>
      </c>
      <c r="AH61" s="17">
        <f t="shared" si="15"/>
        <v>0</v>
      </c>
      <c r="AI61" s="17">
        <f t="shared" si="16"/>
        <v>0</v>
      </c>
      <c r="AJ61" s="17">
        <f t="shared" si="17"/>
        <v>0.15837721864638188</v>
      </c>
      <c r="AK61" s="17">
        <f t="shared" si="18"/>
        <v>0.20616344841037643</v>
      </c>
      <c r="AL61" s="17">
        <f t="shared" si="19"/>
        <v>5.1882192315194073E-2</v>
      </c>
      <c r="AM61" s="17">
        <f t="shared" si="20"/>
        <v>0.15837721864638188</v>
      </c>
      <c r="AN61" s="17">
        <f t="shared" si="21"/>
        <v>0.21025941096157594</v>
      </c>
    </row>
    <row r="62" spans="1:43" x14ac:dyDescent="0.25">
      <c r="A62">
        <v>1934</v>
      </c>
      <c r="B62">
        <v>0</v>
      </c>
      <c r="C62">
        <v>1.61</v>
      </c>
      <c r="D62">
        <v>3.25</v>
      </c>
      <c r="E62">
        <v>8.02</v>
      </c>
      <c r="F62">
        <v>12.03</v>
      </c>
      <c r="G62" s="13">
        <v>12.89</v>
      </c>
      <c r="H62" s="13">
        <v>0</v>
      </c>
      <c r="I62" s="14">
        <v>2.2400000000000002</v>
      </c>
      <c r="J62" s="14">
        <v>0</v>
      </c>
      <c r="K62" s="14">
        <v>0</v>
      </c>
      <c r="L62" s="15">
        <v>0</v>
      </c>
      <c r="M62" s="15">
        <v>0</v>
      </c>
      <c r="N62" s="15">
        <v>0</v>
      </c>
      <c r="O62" s="15">
        <v>0</v>
      </c>
      <c r="P62">
        <f t="shared" si="1"/>
        <v>12.89</v>
      </c>
      <c r="Q62">
        <f t="shared" si="2"/>
        <v>2.2400000000000002</v>
      </c>
      <c r="R62">
        <f t="shared" si="3"/>
        <v>0</v>
      </c>
      <c r="S62">
        <f t="shared" si="4"/>
        <v>2.2400000000000002</v>
      </c>
      <c r="U62">
        <v>1934</v>
      </c>
      <c r="V62">
        <v>40.450000000000003</v>
      </c>
      <c r="X62" s="17">
        <f t="shared" si="5"/>
        <v>3.9802224969097653E-2</v>
      </c>
      <c r="Y62" s="17">
        <f t="shared" si="6"/>
        <v>8.034610630407911E-2</v>
      </c>
      <c r="Z62" s="17">
        <f t="shared" si="7"/>
        <v>0.19826946847960442</v>
      </c>
      <c r="AA62" s="17">
        <f t="shared" si="8"/>
        <v>0.29740420271940665</v>
      </c>
      <c r="AB62" s="17">
        <f t="shared" si="9"/>
        <v>0.31866501854140916</v>
      </c>
      <c r="AC62" s="17">
        <f t="shared" si="10"/>
        <v>0</v>
      </c>
      <c r="AD62" s="17">
        <f t="shared" si="11"/>
        <v>5.53770086526576E-2</v>
      </c>
      <c r="AE62" s="17">
        <f t="shared" si="12"/>
        <v>0</v>
      </c>
      <c r="AF62" s="17">
        <f t="shared" si="13"/>
        <v>0</v>
      </c>
      <c r="AG62" s="17">
        <f t="shared" si="14"/>
        <v>0</v>
      </c>
      <c r="AH62" s="17">
        <f t="shared" si="15"/>
        <v>0</v>
      </c>
      <c r="AI62" s="17">
        <f t="shared" si="16"/>
        <v>0</v>
      </c>
      <c r="AJ62" s="17">
        <f t="shared" si="17"/>
        <v>0</v>
      </c>
      <c r="AK62" s="17">
        <f t="shared" si="18"/>
        <v>0.31866501854140916</v>
      </c>
      <c r="AL62" s="17">
        <f t="shared" si="19"/>
        <v>5.53770086526576E-2</v>
      </c>
      <c r="AM62" s="17">
        <f t="shared" si="20"/>
        <v>0</v>
      </c>
      <c r="AN62" s="17">
        <f t="shared" si="21"/>
        <v>5.53770086526576E-2</v>
      </c>
    </row>
    <row r="63" spans="1:43" x14ac:dyDescent="0.25">
      <c r="A63">
        <v>1935</v>
      </c>
      <c r="B63">
        <v>0</v>
      </c>
      <c r="C63">
        <v>1.79</v>
      </c>
      <c r="D63">
        <v>5.13</v>
      </c>
      <c r="E63">
        <v>7.32</v>
      </c>
      <c r="F63">
        <v>12.309999999999899</v>
      </c>
      <c r="G63" s="13">
        <v>5.07</v>
      </c>
      <c r="H63" s="13">
        <v>1.77</v>
      </c>
      <c r="I63" s="14">
        <v>0</v>
      </c>
      <c r="J63" s="14">
        <v>2.77</v>
      </c>
      <c r="K63" s="14">
        <v>6.8599999999999897</v>
      </c>
      <c r="L63" s="15">
        <v>4.21</v>
      </c>
      <c r="M63" s="15">
        <v>0</v>
      </c>
      <c r="N63" s="15">
        <v>0</v>
      </c>
      <c r="O63" s="15">
        <v>7.52</v>
      </c>
      <c r="P63">
        <f t="shared" si="1"/>
        <v>6.84</v>
      </c>
      <c r="Q63">
        <f t="shared" si="2"/>
        <v>9.6299999999999901</v>
      </c>
      <c r="R63">
        <f t="shared" si="3"/>
        <v>11.73</v>
      </c>
      <c r="S63">
        <f t="shared" si="4"/>
        <v>21.359999999999992</v>
      </c>
      <c r="U63">
        <v>1935</v>
      </c>
      <c r="V63">
        <v>55.04</v>
      </c>
      <c r="X63" s="17">
        <f t="shared" si="5"/>
        <v>3.2521802325581398E-2</v>
      </c>
      <c r="Y63" s="17">
        <f t="shared" si="6"/>
        <v>9.3204941860465115E-2</v>
      </c>
      <c r="Z63" s="17">
        <f t="shared" si="7"/>
        <v>0.13299418604651164</v>
      </c>
      <c r="AA63" s="17">
        <f t="shared" si="8"/>
        <v>0.22365552325581212</v>
      </c>
      <c r="AB63" s="17">
        <f t="shared" si="9"/>
        <v>9.211482558139536E-2</v>
      </c>
      <c r="AC63" s="17">
        <f t="shared" si="10"/>
        <v>3.2158430232558141E-2</v>
      </c>
      <c r="AD63" s="17">
        <f t="shared" si="11"/>
        <v>0</v>
      </c>
      <c r="AE63" s="17">
        <f t="shared" si="12"/>
        <v>5.0327034883720929E-2</v>
      </c>
      <c r="AF63" s="17">
        <f t="shared" si="13"/>
        <v>0.12463662790697656</v>
      </c>
      <c r="AG63" s="17">
        <f t="shared" si="14"/>
        <v>7.6489825581395346E-2</v>
      </c>
      <c r="AH63" s="17">
        <f t="shared" si="15"/>
        <v>0</v>
      </c>
      <c r="AI63" s="17">
        <f t="shared" si="16"/>
        <v>0</v>
      </c>
      <c r="AJ63" s="17">
        <f t="shared" si="17"/>
        <v>0.13662790697674418</v>
      </c>
      <c r="AK63" s="17">
        <f t="shared" si="18"/>
        <v>0.12427325581395349</v>
      </c>
      <c r="AL63" s="17">
        <f t="shared" si="19"/>
        <v>0.1749636627906975</v>
      </c>
      <c r="AM63" s="17">
        <f t="shared" si="20"/>
        <v>0.21311773255813954</v>
      </c>
      <c r="AN63" s="17">
        <f t="shared" si="21"/>
        <v>0.38808139534883707</v>
      </c>
    </row>
    <row r="64" spans="1:43" x14ac:dyDescent="0.25">
      <c r="A64">
        <v>1936</v>
      </c>
      <c r="B64">
        <v>0</v>
      </c>
      <c r="C64">
        <v>2.52</v>
      </c>
      <c r="D64">
        <v>1.6799999999999899</v>
      </c>
      <c r="E64">
        <v>9.4499999999999993</v>
      </c>
      <c r="F64">
        <v>13.72</v>
      </c>
      <c r="G64" s="13">
        <v>8.1999999999999993</v>
      </c>
      <c r="H64" s="13">
        <v>5.65</v>
      </c>
      <c r="I64" s="14">
        <v>2.31</v>
      </c>
      <c r="J64" s="14">
        <v>0</v>
      </c>
      <c r="K64" s="14">
        <v>0</v>
      </c>
      <c r="L64" s="15">
        <v>4.01</v>
      </c>
      <c r="M64" s="15">
        <v>0</v>
      </c>
      <c r="N64" s="15">
        <v>0</v>
      </c>
      <c r="O64" s="15">
        <v>0</v>
      </c>
      <c r="P64">
        <f t="shared" si="1"/>
        <v>13.85</v>
      </c>
      <c r="Q64">
        <f t="shared" si="2"/>
        <v>2.31</v>
      </c>
      <c r="R64">
        <f t="shared" si="3"/>
        <v>4.01</v>
      </c>
      <c r="S64">
        <f t="shared" si="4"/>
        <v>6.32</v>
      </c>
      <c r="U64">
        <v>1936</v>
      </c>
      <c r="V64">
        <v>47.9</v>
      </c>
      <c r="X64" s="17">
        <f t="shared" si="5"/>
        <v>5.2609603340292278E-2</v>
      </c>
      <c r="Y64" s="17">
        <f t="shared" si="6"/>
        <v>3.5073068893527973E-2</v>
      </c>
      <c r="Z64" s="17">
        <f t="shared" si="7"/>
        <v>0.19728601252609601</v>
      </c>
      <c r="AA64" s="17">
        <f t="shared" si="8"/>
        <v>0.28643006263048021</v>
      </c>
      <c r="AB64" s="17">
        <f t="shared" si="9"/>
        <v>0.17118997912317327</v>
      </c>
      <c r="AC64" s="17">
        <f t="shared" si="10"/>
        <v>0.11795407098121087</v>
      </c>
      <c r="AD64" s="17">
        <f t="shared" si="11"/>
        <v>4.8225469728601256E-2</v>
      </c>
      <c r="AE64" s="17">
        <f t="shared" si="12"/>
        <v>0</v>
      </c>
      <c r="AF64" s="17">
        <f t="shared" si="13"/>
        <v>0</v>
      </c>
      <c r="AG64" s="17">
        <f t="shared" si="14"/>
        <v>8.3716075156576197E-2</v>
      </c>
      <c r="AH64" s="17">
        <f t="shared" si="15"/>
        <v>0</v>
      </c>
      <c r="AI64" s="17">
        <f t="shared" si="16"/>
        <v>0</v>
      </c>
      <c r="AJ64" s="17">
        <f t="shared" si="17"/>
        <v>0</v>
      </c>
      <c r="AK64" s="17">
        <f t="shared" si="18"/>
        <v>0.28914405010438415</v>
      </c>
      <c r="AL64" s="17">
        <f t="shared" si="19"/>
        <v>4.8225469728601256E-2</v>
      </c>
      <c r="AM64" s="17">
        <f t="shared" si="20"/>
        <v>8.3716075156576197E-2</v>
      </c>
      <c r="AN64" s="17">
        <f t="shared" si="21"/>
        <v>0.13194154488517745</v>
      </c>
    </row>
    <row r="65" spans="1:40" x14ac:dyDescent="0.25">
      <c r="A65">
        <v>1937</v>
      </c>
      <c r="B65">
        <v>0</v>
      </c>
      <c r="C65">
        <v>2.23</v>
      </c>
      <c r="D65">
        <v>5.18</v>
      </c>
      <c r="E65">
        <v>7.91</v>
      </c>
      <c r="F65">
        <v>10.2099999999999</v>
      </c>
      <c r="G65" s="13">
        <v>7.24</v>
      </c>
      <c r="H65" s="13">
        <v>3.15</v>
      </c>
      <c r="I65" s="14">
        <v>0</v>
      </c>
      <c r="J65" s="14">
        <v>2.71</v>
      </c>
      <c r="K65" s="14">
        <v>3.45</v>
      </c>
      <c r="L65" s="15">
        <v>0</v>
      </c>
      <c r="M65" s="15">
        <v>0</v>
      </c>
      <c r="N65" s="15">
        <v>0</v>
      </c>
      <c r="O65" s="15">
        <v>0</v>
      </c>
      <c r="P65">
        <f t="shared" si="1"/>
        <v>10.39</v>
      </c>
      <c r="Q65">
        <f t="shared" si="2"/>
        <v>6.16</v>
      </c>
      <c r="R65">
        <f t="shared" si="3"/>
        <v>0</v>
      </c>
      <c r="S65">
        <f t="shared" si="4"/>
        <v>6.16</v>
      </c>
      <c r="U65">
        <v>1937</v>
      </c>
      <c r="V65">
        <v>42.39</v>
      </c>
      <c r="X65" s="17">
        <f t="shared" si="5"/>
        <v>5.2606746874262797E-2</v>
      </c>
      <c r="Y65" s="17">
        <f t="shared" si="6"/>
        <v>0.12219863175277187</v>
      </c>
      <c r="Z65" s="17">
        <f t="shared" si="7"/>
        <v>0.18660061335220571</v>
      </c>
      <c r="AA65" s="17">
        <f t="shared" si="8"/>
        <v>0.24085869308799007</v>
      </c>
      <c r="AB65" s="17">
        <f t="shared" si="9"/>
        <v>0.17079499882047652</v>
      </c>
      <c r="AC65" s="17">
        <f t="shared" si="10"/>
        <v>7.4309978768577492E-2</v>
      </c>
      <c r="AD65" s="17">
        <f t="shared" si="11"/>
        <v>0</v>
      </c>
      <c r="AE65" s="17">
        <f t="shared" si="12"/>
        <v>6.3930172210426989E-2</v>
      </c>
      <c r="AF65" s="17">
        <f t="shared" si="13"/>
        <v>8.1387119603680114E-2</v>
      </c>
      <c r="AG65" s="17">
        <f t="shared" si="14"/>
        <v>0</v>
      </c>
      <c r="AH65" s="17">
        <f t="shared" si="15"/>
        <v>0</v>
      </c>
      <c r="AI65" s="17">
        <f t="shared" si="16"/>
        <v>0</v>
      </c>
      <c r="AJ65" s="17">
        <f t="shared" si="17"/>
        <v>0</v>
      </c>
      <c r="AK65" s="17">
        <f t="shared" si="18"/>
        <v>0.24510497758905403</v>
      </c>
      <c r="AL65" s="17">
        <f t="shared" si="19"/>
        <v>0.1453172918141071</v>
      </c>
      <c r="AM65" s="17">
        <f t="shared" si="20"/>
        <v>0</v>
      </c>
      <c r="AN65" s="17">
        <f t="shared" si="21"/>
        <v>0.1453172918141071</v>
      </c>
    </row>
    <row r="66" spans="1:40" x14ac:dyDescent="0.25">
      <c r="A66">
        <v>1938</v>
      </c>
      <c r="B66">
        <v>0</v>
      </c>
      <c r="C66">
        <v>2.2000000000000002</v>
      </c>
      <c r="D66">
        <v>4.9000000000000004</v>
      </c>
      <c r="E66">
        <v>8.98</v>
      </c>
      <c r="F66">
        <v>9.4700000000000006</v>
      </c>
      <c r="G66" s="13">
        <v>7.1699999999999902</v>
      </c>
      <c r="H66" s="13">
        <v>3.32</v>
      </c>
      <c r="I66" s="14">
        <v>2.0299999999999998</v>
      </c>
      <c r="J66" s="14">
        <v>0</v>
      </c>
      <c r="K66" s="14">
        <v>6.26</v>
      </c>
      <c r="L66" s="15">
        <v>4.5</v>
      </c>
      <c r="M66" s="15">
        <v>0</v>
      </c>
      <c r="N66" s="15">
        <v>0</v>
      </c>
      <c r="O66" s="15">
        <v>0</v>
      </c>
      <c r="P66">
        <f t="shared" si="1"/>
        <v>10.48999999999999</v>
      </c>
      <c r="Q66">
        <f t="shared" si="2"/>
        <v>8.2899999999999991</v>
      </c>
      <c r="R66">
        <f t="shared" si="3"/>
        <v>4.5</v>
      </c>
      <c r="S66">
        <f t="shared" si="4"/>
        <v>12.79</v>
      </c>
      <c r="U66">
        <v>1938</v>
      </c>
      <c r="V66">
        <v>49.14</v>
      </c>
      <c r="X66" s="17">
        <f t="shared" si="5"/>
        <v>4.4770044770044773E-2</v>
      </c>
      <c r="Y66" s="17">
        <f t="shared" si="6"/>
        <v>9.9715099715099717E-2</v>
      </c>
      <c r="Z66" s="17">
        <f t="shared" si="7"/>
        <v>0.18274318274318274</v>
      </c>
      <c r="AA66" s="17">
        <f t="shared" si="8"/>
        <v>0.19271469271469271</v>
      </c>
      <c r="AB66" s="17">
        <f t="shared" si="9"/>
        <v>0.1459096459096457</v>
      </c>
      <c r="AC66" s="17">
        <f t="shared" si="10"/>
        <v>6.7562067562067563E-2</v>
      </c>
      <c r="AD66" s="17">
        <f t="shared" si="11"/>
        <v>4.1310541310541307E-2</v>
      </c>
      <c r="AE66" s="17">
        <f t="shared" si="12"/>
        <v>0</v>
      </c>
      <c r="AF66" s="17">
        <f t="shared" si="13"/>
        <v>0.12739112739112737</v>
      </c>
      <c r="AG66" s="17">
        <f t="shared" si="14"/>
        <v>9.1575091575091569E-2</v>
      </c>
      <c r="AH66" s="17">
        <f t="shared" si="15"/>
        <v>0</v>
      </c>
      <c r="AI66" s="17">
        <f t="shared" si="16"/>
        <v>0</v>
      </c>
      <c r="AJ66" s="17">
        <f t="shared" si="17"/>
        <v>0</v>
      </c>
      <c r="AK66" s="17">
        <f t="shared" si="18"/>
        <v>0.21347171347171326</v>
      </c>
      <c r="AL66" s="17">
        <f t="shared" si="19"/>
        <v>0.16870166870166869</v>
      </c>
      <c r="AM66" s="17">
        <f t="shared" si="20"/>
        <v>9.1575091575091569E-2</v>
      </c>
      <c r="AN66" s="17">
        <f t="shared" si="21"/>
        <v>0.26027676027676028</v>
      </c>
    </row>
    <row r="67" spans="1:40" x14ac:dyDescent="0.25">
      <c r="A67">
        <v>1939</v>
      </c>
      <c r="B67">
        <v>0</v>
      </c>
      <c r="C67">
        <v>1.43</v>
      </c>
      <c r="D67">
        <v>4.7</v>
      </c>
      <c r="E67">
        <v>3.99</v>
      </c>
      <c r="F67">
        <v>15.21</v>
      </c>
      <c r="G67" s="13">
        <v>3.74</v>
      </c>
      <c r="H67" s="13">
        <v>12.19</v>
      </c>
      <c r="I67" s="14">
        <v>0</v>
      </c>
      <c r="J67" s="14">
        <v>0</v>
      </c>
      <c r="K67" s="14">
        <v>0</v>
      </c>
      <c r="L67" s="15">
        <v>0</v>
      </c>
      <c r="M67" s="15">
        <v>5.15</v>
      </c>
      <c r="N67" s="15">
        <v>0</v>
      </c>
      <c r="O67" s="15">
        <v>0</v>
      </c>
      <c r="P67">
        <f t="shared" ref="P67:P130" si="22">SUM(G67:H67)</f>
        <v>15.93</v>
      </c>
      <c r="Q67">
        <f t="shared" ref="Q67:Q130" si="23">SUM(I67:K67)</f>
        <v>0</v>
      </c>
      <c r="R67">
        <f t="shared" ref="R67:R130" si="24">SUM(L67:O67)</f>
        <v>5.15</v>
      </c>
      <c r="S67">
        <f t="shared" ref="S67:S130" si="25">SUM(Q67:R67)</f>
        <v>5.15</v>
      </c>
      <c r="U67">
        <v>1939</v>
      </c>
      <c r="V67">
        <v>46.63</v>
      </c>
      <c r="X67" s="17">
        <f t="shared" ref="X67:X130" si="26">(C67/$V67)</f>
        <v>3.0666952605618698E-2</v>
      </c>
      <c r="Y67" s="17">
        <f t="shared" ref="Y67:Y130" si="27">(D67/$V67)</f>
        <v>0.10079348059189362</v>
      </c>
      <c r="Z67" s="17">
        <f t="shared" ref="Z67:Z130" si="28">(E67/$V67)</f>
        <v>8.5567231396096927E-2</v>
      </c>
      <c r="AA67" s="17">
        <f t="shared" ref="AA67:AA130" si="29">(F67/$V67)</f>
        <v>0.32618485953248982</v>
      </c>
      <c r="AB67" s="17">
        <f t="shared" ref="AB67:AB130" si="30">(G67/$V67)</f>
        <v>8.0205876045464294E-2</v>
      </c>
      <c r="AC67" s="17">
        <f t="shared" ref="AC67:AC130" si="31">(H67/$V67)</f>
        <v>0.26141968689684753</v>
      </c>
      <c r="AD67" s="17">
        <f t="shared" ref="AD67:AD130" si="32">(I67/$V67)</f>
        <v>0</v>
      </c>
      <c r="AE67" s="17">
        <f t="shared" ref="AE67:AE130" si="33">(J67/$V67)</f>
        <v>0</v>
      </c>
      <c r="AF67" s="17">
        <f t="shared" ref="AF67:AF130" si="34">(K67/$V67)</f>
        <v>0</v>
      </c>
      <c r="AG67" s="17">
        <f t="shared" ref="AG67:AG130" si="35">(L67/$V67)</f>
        <v>0</v>
      </c>
      <c r="AH67" s="17">
        <f t="shared" ref="AH67:AH130" si="36">(M67/$V67)</f>
        <v>0.11044392022303239</v>
      </c>
      <c r="AI67" s="17">
        <f t="shared" ref="AI67:AI130" si="37">(N67/$V67)</f>
        <v>0</v>
      </c>
      <c r="AJ67" s="17">
        <f t="shared" ref="AJ67:AJ130" si="38">(O67/$V67)</f>
        <v>0</v>
      </c>
      <c r="AK67" s="17">
        <f t="shared" ref="AK67:AK130" si="39">(P67/$V67)</f>
        <v>0.34162556294231178</v>
      </c>
      <c r="AL67" s="17">
        <f t="shared" ref="AL67:AL130" si="40">(Q67/$V67)</f>
        <v>0</v>
      </c>
      <c r="AM67" s="17">
        <f t="shared" ref="AM67:AM130" si="41">(R67/$V67)</f>
        <v>0.11044392022303239</v>
      </c>
      <c r="AN67" s="17">
        <f t="shared" ref="AN67:AN130" si="42">(S67/$V67)</f>
        <v>0.11044392022303239</v>
      </c>
    </row>
    <row r="68" spans="1:40" x14ac:dyDescent="0.25">
      <c r="A68">
        <v>1940</v>
      </c>
      <c r="B68">
        <v>0</v>
      </c>
      <c r="C68">
        <v>1.85</v>
      </c>
      <c r="D68">
        <v>5.36</v>
      </c>
      <c r="E68">
        <v>6.8</v>
      </c>
      <c r="F68">
        <v>14.329999999999901</v>
      </c>
      <c r="G68" s="13">
        <v>7.7899999999999903</v>
      </c>
      <c r="H68" s="13">
        <v>1.71</v>
      </c>
      <c r="I68" s="14">
        <v>0</v>
      </c>
      <c r="J68" s="14">
        <v>0</v>
      </c>
      <c r="K68" s="14">
        <v>3.28</v>
      </c>
      <c r="L68" s="15">
        <v>0</v>
      </c>
      <c r="M68" s="15">
        <v>0</v>
      </c>
      <c r="N68" s="15">
        <v>0</v>
      </c>
      <c r="O68" s="15">
        <v>0</v>
      </c>
      <c r="P68">
        <f t="shared" si="22"/>
        <v>9.4999999999999893</v>
      </c>
      <c r="Q68">
        <f t="shared" si="23"/>
        <v>3.28</v>
      </c>
      <c r="R68">
        <f t="shared" si="24"/>
        <v>0</v>
      </c>
      <c r="S68">
        <f t="shared" si="25"/>
        <v>3.28</v>
      </c>
      <c r="U68">
        <v>1940</v>
      </c>
      <c r="V68">
        <v>41.42</v>
      </c>
      <c r="X68" s="17">
        <f t="shared" si="26"/>
        <v>4.4664413326895219E-2</v>
      </c>
      <c r="Y68" s="17">
        <f t="shared" si="27"/>
        <v>0.12940608401738291</v>
      </c>
      <c r="Z68" s="17">
        <f t="shared" si="28"/>
        <v>0.16417189763399323</v>
      </c>
      <c r="AA68" s="17">
        <f t="shared" si="29"/>
        <v>0.34596813133751569</v>
      </c>
      <c r="AB68" s="17">
        <f t="shared" si="30"/>
        <v>0.1880733944954126</v>
      </c>
      <c r="AC68" s="17">
        <f t="shared" si="31"/>
        <v>4.1284403669724766E-2</v>
      </c>
      <c r="AD68" s="17">
        <f t="shared" si="32"/>
        <v>0</v>
      </c>
      <c r="AE68" s="17">
        <f t="shared" si="33"/>
        <v>0</v>
      </c>
      <c r="AF68" s="17">
        <f t="shared" si="34"/>
        <v>7.9188797682279086E-2</v>
      </c>
      <c r="AG68" s="17">
        <f t="shared" si="35"/>
        <v>0</v>
      </c>
      <c r="AH68" s="17">
        <f t="shared" si="36"/>
        <v>0</v>
      </c>
      <c r="AI68" s="17">
        <f t="shared" si="37"/>
        <v>0</v>
      </c>
      <c r="AJ68" s="17">
        <f t="shared" si="38"/>
        <v>0</v>
      </c>
      <c r="AK68" s="17">
        <f t="shared" si="39"/>
        <v>0.22935779816513735</v>
      </c>
      <c r="AL68" s="17">
        <f t="shared" si="40"/>
        <v>7.9188797682279086E-2</v>
      </c>
      <c r="AM68" s="17">
        <f t="shared" si="41"/>
        <v>0</v>
      </c>
      <c r="AN68" s="17">
        <f t="shared" si="42"/>
        <v>7.9188797682279086E-2</v>
      </c>
    </row>
    <row r="69" spans="1:40" x14ac:dyDescent="0.25">
      <c r="A69">
        <v>1941</v>
      </c>
      <c r="B69">
        <v>0</v>
      </c>
      <c r="C69">
        <v>1.1399999999999999</v>
      </c>
      <c r="D69">
        <v>2.7</v>
      </c>
      <c r="E69">
        <v>5.41</v>
      </c>
      <c r="F69">
        <v>7.72</v>
      </c>
      <c r="G69" s="13">
        <v>3.27</v>
      </c>
      <c r="H69" s="13">
        <v>4.76</v>
      </c>
      <c r="I69" s="14">
        <v>6.84</v>
      </c>
      <c r="J69" s="14">
        <v>0</v>
      </c>
      <c r="K69" s="14">
        <v>0</v>
      </c>
      <c r="L69" s="15">
        <v>0</v>
      </c>
      <c r="M69" s="15">
        <v>0</v>
      </c>
      <c r="N69" s="15">
        <v>0</v>
      </c>
      <c r="O69" s="15">
        <v>0</v>
      </c>
      <c r="P69">
        <f t="shared" si="22"/>
        <v>8.0299999999999994</v>
      </c>
      <c r="Q69">
        <f t="shared" si="23"/>
        <v>6.84</v>
      </c>
      <c r="R69">
        <f t="shared" si="24"/>
        <v>0</v>
      </c>
      <c r="S69">
        <f t="shared" si="25"/>
        <v>6.84</v>
      </c>
      <c r="U69">
        <v>1941</v>
      </c>
      <c r="V69">
        <v>32.06</v>
      </c>
      <c r="X69" s="17">
        <f t="shared" si="26"/>
        <v>3.5558328134747345E-2</v>
      </c>
      <c r="Y69" s="17">
        <f t="shared" si="27"/>
        <v>8.4217092950717401E-2</v>
      </c>
      <c r="Z69" s="17">
        <f t="shared" si="28"/>
        <v>0.16874610106051152</v>
      </c>
      <c r="AA69" s="17">
        <f t="shared" si="29"/>
        <v>0.24079850280723641</v>
      </c>
      <c r="AB69" s="17">
        <f t="shared" si="30"/>
        <v>0.10199625701809108</v>
      </c>
      <c r="AC69" s="17">
        <f t="shared" si="31"/>
        <v>0.148471615720524</v>
      </c>
      <c r="AD69" s="17">
        <f t="shared" si="32"/>
        <v>0.21334996880848409</v>
      </c>
      <c r="AE69" s="17">
        <f t="shared" si="33"/>
        <v>0</v>
      </c>
      <c r="AF69" s="17">
        <f t="shared" si="34"/>
        <v>0</v>
      </c>
      <c r="AG69" s="17">
        <f t="shared" si="35"/>
        <v>0</v>
      </c>
      <c r="AH69" s="17">
        <f t="shared" si="36"/>
        <v>0</v>
      </c>
      <c r="AI69" s="17">
        <f t="shared" si="37"/>
        <v>0</v>
      </c>
      <c r="AJ69" s="17">
        <f t="shared" si="38"/>
        <v>0</v>
      </c>
      <c r="AK69" s="17">
        <f t="shared" si="39"/>
        <v>0.25046787273861504</v>
      </c>
      <c r="AL69" s="17">
        <f t="shared" si="40"/>
        <v>0.21334996880848409</v>
      </c>
      <c r="AM69" s="17">
        <f t="shared" si="41"/>
        <v>0</v>
      </c>
      <c r="AN69" s="17">
        <f t="shared" si="42"/>
        <v>0.21334996880848409</v>
      </c>
    </row>
    <row r="70" spans="1:40" x14ac:dyDescent="0.25">
      <c r="A70">
        <v>1942</v>
      </c>
      <c r="B70">
        <v>0</v>
      </c>
      <c r="C70">
        <v>1.1000000000000001</v>
      </c>
      <c r="D70">
        <v>3.62</v>
      </c>
      <c r="E70">
        <v>8.51</v>
      </c>
      <c r="F70">
        <v>16.690000000000001</v>
      </c>
      <c r="G70" s="13">
        <v>7.31</v>
      </c>
      <c r="H70" s="13">
        <v>3.67</v>
      </c>
      <c r="I70" s="14">
        <v>2.0299999999999998</v>
      </c>
      <c r="J70" s="14">
        <v>0</v>
      </c>
      <c r="K70" s="14">
        <v>3.02</v>
      </c>
      <c r="L70" s="15">
        <v>0</v>
      </c>
      <c r="M70" s="15">
        <v>0</v>
      </c>
      <c r="N70" s="15">
        <v>0</v>
      </c>
      <c r="O70" s="15">
        <v>0</v>
      </c>
      <c r="P70">
        <f t="shared" si="22"/>
        <v>10.98</v>
      </c>
      <c r="Q70">
        <f t="shared" si="23"/>
        <v>5.05</v>
      </c>
      <c r="R70">
        <f t="shared" si="24"/>
        <v>0</v>
      </c>
      <c r="S70">
        <f t="shared" si="25"/>
        <v>5.05</v>
      </c>
      <c r="U70">
        <v>1942</v>
      </c>
      <c r="V70">
        <v>46.22</v>
      </c>
      <c r="X70" s="17">
        <f t="shared" si="26"/>
        <v>2.379922111639983E-2</v>
      </c>
      <c r="Y70" s="17">
        <f t="shared" si="27"/>
        <v>7.83210731285158E-2</v>
      </c>
      <c r="Z70" s="17">
        <f t="shared" si="28"/>
        <v>0.1841194288186932</v>
      </c>
      <c r="AA70" s="17">
        <f t="shared" si="29"/>
        <v>0.36109909130246648</v>
      </c>
      <c r="AB70" s="17">
        <f t="shared" si="30"/>
        <v>0.15815664214625702</v>
      </c>
      <c r="AC70" s="17">
        <f t="shared" si="31"/>
        <v>7.9402855906533967E-2</v>
      </c>
      <c r="AD70" s="17">
        <f t="shared" si="32"/>
        <v>4.3920380787537856E-2</v>
      </c>
      <c r="AE70" s="17">
        <f t="shared" si="33"/>
        <v>0</v>
      </c>
      <c r="AF70" s="17">
        <f t="shared" si="34"/>
        <v>6.5339679792297711E-2</v>
      </c>
      <c r="AG70" s="17">
        <f t="shared" si="35"/>
        <v>0</v>
      </c>
      <c r="AH70" s="17">
        <f t="shared" si="36"/>
        <v>0</v>
      </c>
      <c r="AI70" s="17">
        <f t="shared" si="37"/>
        <v>0</v>
      </c>
      <c r="AJ70" s="17">
        <f t="shared" si="38"/>
        <v>0</v>
      </c>
      <c r="AK70" s="17">
        <f t="shared" si="39"/>
        <v>0.237559498052791</v>
      </c>
      <c r="AL70" s="17">
        <f t="shared" si="40"/>
        <v>0.10926006057983557</v>
      </c>
      <c r="AM70" s="17">
        <f t="shared" si="41"/>
        <v>0</v>
      </c>
      <c r="AN70" s="17">
        <f t="shared" si="42"/>
        <v>0.10926006057983557</v>
      </c>
    </row>
    <row r="71" spans="1:40" x14ac:dyDescent="0.25">
      <c r="A71">
        <v>1943</v>
      </c>
      <c r="B71">
        <v>0</v>
      </c>
      <c r="C71">
        <v>1.67</v>
      </c>
      <c r="D71">
        <v>3.33</v>
      </c>
      <c r="E71">
        <v>6.88</v>
      </c>
      <c r="F71">
        <v>9.43</v>
      </c>
      <c r="G71" s="13">
        <v>4.8499999999999996</v>
      </c>
      <c r="H71" s="13">
        <v>5.01</v>
      </c>
      <c r="I71" s="14">
        <v>2.42</v>
      </c>
      <c r="J71" s="14">
        <v>0</v>
      </c>
      <c r="K71" s="14">
        <v>0</v>
      </c>
      <c r="L71" s="15">
        <v>4.0199999999999996</v>
      </c>
      <c r="M71" s="15">
        <v>0</v>
      </c>
      <c r="N71" s="15">
        <v>0</v>
      </c>
      <c r="O71" s="15">
        <v>0</v>
      </c>
      <c r="P71">
        <f t="shared" si="22"/>
        <v>9.86</v>
      </c>
      <c r="Q71">
        <f t="shared" si="23"/>
        <v>2.42</v>
      </c>
      <c r="R71">
        <f t="shared" si="24"/>
        <v>4.0199999999999996</v>
      </c>
      <c r="S71">
        <f t="shared" si="25"/>
        <v>6.4399999999999995</v>
      </c>
      <c r="U71">
        <v>1943</v>
      </c>
      <c r="V71">
        <v>37.93</v>
      </c>
      <c r="X71" s="17">
        <f t="shared" si="26"/>
        <v>4.4028473503822829E-2</v>
      </c>
      <c r="Y71" s="17">
        <f t="shared" si="27"/>
        <v>8.7793303453730556E-2</v>
      </c>
      <c r="Z71" s="17">
        <f t="shared" si="28"/>
        <v>0.18138676509359347</v>
      </c>
      <c r="AA71" s="17">
        <f t="shared" si="29"/>
        <v>0.24861587134194568</v>
      </c>
      <c r="AB71" s="17">
        <f t="shared" si="30"/>
        <v>0.12786712364882677</v>
      </c>
      <c r="AC71" s="17">
        <f t="shared" si="31"/>
        <v>0.13208542051146849</v>
      </c>
      <c r="AD71" s="17">
        <f t="shared" si="32"/>
        <v>6.380174004745584E-2</v>
      </c>
      <c r="AE71" s="17">
        <f t="shared" si="33"/>
        <v>0</v>
      </c>
      <c r="AF71" s="17">
        <f t="shared" si="34"/>
        <v>0</v>
      </c>
      <c r="AG71" s="17">
        <f t="shared" si="35"/>
        <v>0.10598470867387291</v>
      </c>
      <c r="AH71" s="17">
        <f t="shared" si="36"/>
        <v>0</v>
      </c>
      <c r="AI71" s="17">
        <f t="shared" si="37"/>
        <v>0</v>
      </c>
      <c r="AJ71" s="17">
        <f t="shared" si="38"/>
        <v>0</v>
      </c>
      <c r="AK71" s="17">
        <f t="shared" si="39"/>
        <v>0.25995254416029528</v>
      </c>
      <c r="AL71" s="17">
        <f t="shared" si="40"/>
        <v>6.380174004745584E-2</v>
      </c>
      <c r="AM71" s="17">
        <f t="shared" si="41"/>
        <v>0.10598470867387291</v>
      </c>
      <c r="AN71" s="17">
        <f t="shared" si="42"/>
        <v>0.16978644872132875</v>
      </c>
    </row>
    <row r="72" spans="1:40" x14ac:dyDescent="0.25">
      <c r="A72">
        <v>1944</v>
      </c>
      <c r="B72">
        <v>0</v>
      </c>
      <c r="C72">
        <v>1.46</v>
      </c>
      <c r="D72">
        <v>2.7699999999999898</v>
      </c>
      <c r="E72">
        <v>7.78</v>
      </c>
      <c r="F72">
        <v>11.11</v>
      </c>
      <c r="G72" s="13">
        <v>4.5199999999999996</v>
      </c>
      <c r="H72" s="13">
        <v>4.97</v>
      </c>
      <c r="I72" s="14">
        <v>6.51</v>
      </c>
      <c r="J72" s="14">
        <v>2.85</v>
      </c>
      <c r="K72" s="14">
        <v>6.71</v>
      </c>
      <c r="L72" s="15">
        <v>0</v>
      </c>
      <c r="M72" s="15">
        <v>0</v>
      </c>
      <c r="N72" s="15">
        <v>0</v>
      </c>
      <c r="O72" s="15">
        <v>0</v>
      </c>
      <c r="P72">
        <f t="shared" si="22"/>
        <v>9.4899999999999984</v>
      </c>
      <c r="Q72">
        <f t="shared" si="23"/>
        <v>16.07</v>
      </c>
      <c r="R72">
        <f t="shared" si="24"/>
        <v>0</v>
      </c>
      <c r="S72">
        <f t="shared" si="25"/>
        <v>16.07</v>
      </c>
      <c r="U72">
        <v>1944</v>
      </c>
      <c r="V72">
        <v>49.02</v>
      </c>
      <c r="X72" s="17">
        <f t="shared" si="26"/>
        <v>2.9783761729906159E-2</v>
      </c>
      <c r="Y72" s="17">
        <f t="shared" si="27"/>
        <v>5.6507547939616272E-2</v>
      </c>
      <c r="Z72" s="17">
        <f t="shared" si="28"/>
        <v>0.15871073031415747</v>
      </c>
      <c r="AA72" s="17">
        <f t="shared" si="29"/>
        <v>0.22664218686250506</v>
      </c>
      <c r="AB72" s="17">
        <f t="shared" si="30"/>
        <v>9.2207262341901255E-2</v>
      </c>
      <c r="AC72" s="17">
        <f t="shared" si="31"/>
        <v>0.10138718890248877</v>
      </c>
      <c r="AD72" s="17">
        <f t="shared" si="32"/>
        <v>0.13280293757649939</v>
      </c>
      <c r="AE72" s="17">
        <f t="shared" si="33"/>
        <v>5.8139534883720929E-2</v>
      </c>
      <c r="AF72" s="17">
        <f t="shared" si="34"/>
        <v>0.1368829049367605</v>
      </c>
      <c r="AG72" s="17">
        <f t="shared" si="35"/>
        <v>0</v>
      </c>
      <c r="AH72" s="17">
        <f t="shared" si="36"/>
        <v>0</v>
      </c>
      <c r="AI72" s="17">
        <f t="shared" si="37"/>
        <v>0</v>
      </c>
      <c r="AJ72" s="17">
        <f t="shared" si="38"/>
        <v>0</v>
      </c>
      <c r="AK72" s="17">
        <f t="shared" si="39"/>
        <v>0.19359445124439001</v>
      </c>
      <c r="AL72" s="17">
        <f t="shared" si="40"/>
        <v>0.32782537739698081</v>
      </c>
      <c r="AM72" s="17">
        <f t="shared" si="41"/>
        <v>0</v>
      </c>
      <c r="AN72" s="17">
        <f t="shared" si="42"/>
        <v>0.32782537739698081</v>
      </c>
    </row>
    <row r="73" spans="1:40" x14ac:dyDescent="0.25">
      <c r="A73">
        <v>1945</v>
      </c>
      <c r="B73">
        <v>0</v>
      </c>
      <c r="C73">
        <v>1.45</v>
      </c>
      <c r="D73">
        <v>6.07</v>
      </c>
      <c r="E73">
        <v>7.39</v>
      </c>
      <c r="F73">
        <v>12.89</v>
      </c>
      <c r="G73" s="13">
        <v>10.119999999999999</v>
      </c>
      <c r="H73" s="13">
        <v>0</v>
      </c>
      <c r="I73" s="14">
        <v>4.8499999999999996</v>
      </c>
      <c r="J73" s="14">
        <v>0</v>
      </c>
      <c r="K73" s="14">
        <v>3.33</v>
      </c>
      <c r="L73" s="15">
        <v>0</v>
      </c>
      <c r="M73" s="15">
        <v>0</v>
      </c>
      <c r="N73" s="15">
        <v>0</v>
      </c>
      <c r="O73" s="15">
        <v>0</v>
      </c>
      <c r="P73">
        <f t="shared" si="22"/>
        <v>10.119999999999999</v>
      </c>
      <c r="Q73">
        <f t="shared" si="23"/>
        <v>8.18</v>
      </c>
      <c r="R73">
        <f t="shared" si="24"/>
        <v>0</v>
      </c>
      <c r="S73">
        <f t="shared" si="25"/>
        <v>8.18</v>
      </c>
      <c r="U73">
        <v>1945</v>
      </c>
      <c r="V73">
        <v>46.27</v>
      </c>
      <c r="X73" s="17">
        <f t="shared" si="26"/>
        <v>3.1337799870326345E-2</v>
      </c>
      <c r="Y73" s="17">
        <f t="shared" si="27"/>
        <v>0.13118651393991787</v>
      </c>
      <c r="Z73" s="17">
        <f t="shared" si="28"/>
        <v>0.15971471795980116</v>
      </c>
      <c r="AA73" s="17">
        <f t="shared" si="29"/>
        <v>0.27858223470931487</v>
      </c>
      <c r="AB73" s="17">
        <f t="shared" si="30"/>
        <v>0.21871623081910521</v>
      </c>
      <c r="AC73" s="17">
        <f t="shared" si="31"/>
        <v>0</v>
      </c>
      <c r="AD73" s="17">
        <f t="shared" si="32"/>
        <v>0.10481953749729846</v>
      </c>
      <c r="AE73" s="17">
        <f t="shared" si="33"/>
        <v>0</v>
      </c>
      <c r="AF73" s="17">
        <f t="shared" si="34"/>
        <v>7.1968878322887397E-2</v>
      </c>
      <c r="AG73" s="17">
        <f t="shared" si="35"/>
        <v>0</v>
      </c>
      <c r="AH73" s="17">
        <f t="shared" si="36"/>
        <v>0</v>
      </c>
      <c r="AI73" s="17">
        <f t="shared" si="37"/>
        <v>0</v>
      </c>
      <c r="AJ73" s="17">
        <f t="shared" si="38"/>
        <v>0</v>
      </c>
      <c r="AK73" s="17">
        <f t="shared" si="39"/>
        <v>0.21871623081910521</v>
      </c>
      <c r="AL73" s="17">
        <f t="shared" si="40"/>
        <v>0.17678841582018584</v>
      </c>
      <c r="AM73" s="17">
        <f t="shared" si="41"/>
        <v>0</v>
      </c>
      <c r="AN73" s="17">
        <f t="shared" si="42"/>
        <v>0.17678841582018584</v>
      </c>
    </row>
    <row r="74" spans="1:40" x14ac:dyDescent="0.25">
      <c r="A74">
        <v>1946</v>
      </c>
      <c r="B74">
        <v>0</v>
      </c>
      <c r="C74">
        <v>1.89</v>
      </c>
      <c r="D74">
        <v>4.68</v>
      </c>
      <c r="E74">
        <v>4.6099999999999897</v>
      </c>
      <c r="F74">
        <v>14.059999999999899</v>
      </c>
      <c r="G74" s="13">
        <v>1.33</v>
      </c>
      <c r="H74" s="13">
        <v>0</v>
      </c>
      <c r="I74" s="14">
        <v>2.06</v>
      </c>
      <c r="J74" s="14">
        <v>0</v>
      </c>
      <c r="K74" s="14">
        <v>3.01</v>
      </c>
      <c r="L74" s="15">
        <v>0</v>
      </c>
      <c r="M74" s="15">
        <v>0</v>
      </c>
      <c r="N74" s="15">
        <v>0</v>
      </c>
      <c r="O74" s="15">
        <v>0</v>
      </c>
      <c r="P74">
        <f t="shared" si="22"/>
        <v>1.33</v>
      </c>
      <c r="Q74">
        <f t="shared" si="23"/>
        <v>5.07</v>
      </c>
      <c r="R74">
        <f t="shared" si="24"/>
        <v>0</v>
      </c>
      <c r="S74">
        <f t="shared" si="25"/>
        <v>5.07</v>
      </c>
      <c r="U74">
        <v>1946</v>
      </c>
      <c r="V74">
        <v>31.87</v>
      </c>
      <c r="X74" s="17">
        <f t="shared" si="26"/>
        <v>5.9303420144336365E-2</v>
      </c>
      <c r="Y74" s="17">
        <f t="shared" si="27"/>
        <v>0.14684656416692812</v>
      </c>
      <c r="Z74" s="17">
        <f t="shared" si="28"/>
        <v>0.14465014119861908</v>
      </c>
      <c r="AA74" s="17">
        <f t="shared" si="29"/>
        <v>0.44116724192029805</v>
      </c>
      <c r="AB74" s="17">
        <f t="shared" si="30"/>
        <v>4.173203639786633E-2</v>
      </c>
      <c r="AC74" s="17">
        <f t="shared" si="31"/>
        <v>0</v>
      </c>
      <c r="AD74" s="17">
        <f t="shared" si="32"/>
        <v>6.4637590210229051E-2</v>
      </c>
      <c r="AE74" s="17">
        <f t="shared" si="33"/>
        <v>0</v>
      </c>
      <c r="AF74" s="17">
        <f t="shared" si="34"/>
        <v>9.4446187637276427E-2</v>
      </c>
      <c r="AG74" s="17">
        <f t="shared" si="35"/>
        <v>0</v>
      </c>
      <c r="AH74" s="17">
        <f t="shared" si="36"/>
        <v>0</v>
      </c>
      <c r="AI74" s="17">
        <f t="shared" si="37"/>
        <v>0</v>
      </c>
      <c r="AJ74" s="17">
        <f t="shared" si="38"/>
        <v>0</v>
      </c>
      <c r="AK74" s="17">
        <f t="shared" si="39"/>
        <v>4.173203639786633E-2</v>
      </c>
      <c r="AL74" s="17">
        <f t="shared" si="40"/>
        <v>0.15908377784750549</v>
      </c>
      <c r="AM74" s="17">
        <f t="shared" si="41"/>
        <v>0</v>
      </c>
      <c r="AN74" s="17">
        <f t="shared" si="42"/>
        <v>0.15908377784750549</v>
      </c>
    </row>
    <row r="75" spans="1:40" x14ac:dyDescent="0.25">
      <c r="A75">
        <v>1947</v>
      </c>
      <c r="B75">
        <v>0</v>
      </c>
      <c r="C75">
        <v>1.34</v>
      </c>
      <c r="D75">
        <v>3.65</v>
      </c>
      <c r="E75">
        <v>9.25</v>
      </c>
      <c r="F75">
        <v>15.0099999999999</v>
      </c>
      <c r="G75" s="13">
        <v>2.31</v>
      </c>
      <c r="H75" s="13">
        <v>1.88</v>
      </c>
      <c r="I75" s="14">
        <v>0</v>
      </c>
      <c r="J75" s="14">
        <v>0</v>
      </c>
      <c r="K75" s="14">
        <v>0</v>
      </c>
      <c r="L75" s="15">
        <v>0</v>
      </c>
      <c r="M75" s="15">
        <v>0</v>
      </c>
      <c r="N75" s="15">
        <v>0</v>
      </c>
      <c r="O75" s="15">
        <v>0</v>
      </c>
      <c r="P75">
        <f t="shared" si="22"/>
        <v>4.1899999999999995</v>
      </c>
      <c r="Q75">
        <f t="shared" si="23"/>
        <v>0</v>
      </c>
      <c r="R75">
        <f t="shared" si="24"/>
        <v>0</v>
      </c>
      <c r="S75">
        <f t="shared" si="25"/>
        <v>0</v>
      </c>
      <c r="U75">
        <v>1947</v>
      </c>
      <c r="V75">
        <v>33.700000000000003</v>
      </c>
      <c r="X75" s="17">
        <f t="shared" si="26"/>
        <v>3.9762611275964393E-2</v>
      </c>
      <c r="Y75" s="17">
        <f t="shared" si="27"/>
        <v>0.10830860534124628</v>
      </c>
      <c r="Z75" s="17">
        <f t="shared" si="28"/>
        <v>0.27448071216617209</v>
      </c>
      <c r="AA75" s="17">
        <f t="shared" si="29"/>
        <v>0.4454005934718071</v>
      </c>
      <c r="AB75" s="17">
        <f t="shared" si="30"/>
        <v>6.854599406528189E-2</v>
      </c>
      <c r="AC75" s="17">
        <f t="shared" si="31"/>
        <v>5.5786350148367941E-2</v>
      </c>
      <c r="AD75" s="17">
        <f t="shared" si="32"/>
        <v>0</v>
      </c>
      <c r="AE75" s="17">
        <f t="shared" si="33"/>
        <v>0</v>
      </c>
      <c r="AF75" s="17">
        <f t="shared" si="34"/>
        <v>0</v>
      </c>
      <c r="AG75" s="17">
        <f t="shared" si="35"/>
        <v>0</v>
      </c>
      <c r="AH75" s="17">
        <f t="shared" si="36"/>
        <v>0</v>
      </c>
      <c r="AI75" s="17">
        <f t="shared" si="37"/>
        <v>0</v>
      </c>
      <c r="AJ75" s="17">
        <f t="shared" si="38"/>
        <v>0</v>
      </c>
      <c r="AK75" s="17">
        <f t="shared" si="39"/>
        <v>0.12433234421364983</v>
      </c>
      <c r="AL75" s="17">
        <f t="shared" si="40"/>
        <v>0</v>
      </c>
      <c r="AM75" s="17">
        <f t="shared" si="41"/>
        <v>0</v>
      </c>
      <c r="AN75" s="17">
        <f t="shared" si="42"/>
        <v>0</v>
      </c>
    </row>
    <row r="76" spans="1:40" x14ac:dyDescent="0.25">
      <c r="A76">
        <v>1948</v>
      </c>
      <c r="B76">
        <v>0</v>
      </c>
      <c r="C76">
        <v>1.58</v>
      </c>
      <c r="D76">
        <v>3.12</v>
      </c>
      <c r="E76">
        <v>9.3899999999999899</v>
      </c>
      <c r="F76">
        <v>18.079999999999998</v>
      </c>
      <c r="G76" s="13">
        <v>10.79</v>
      </c>
      <c r="H76" s="13">
        <v>3.07</v>
      </c>
      <c r="I76" s="14">
        <v>2.21</v>
      </c>
      <c r="J76" s="14">
        <v>2.5299999999999998</v>
      </c>
      <c r="K76" s="14">
        <v>6.14</v>
      </c>
      <c r="L76" s="15">
        <v>4.97</v>
      </c>
      <c r="M76" s="15">
        <v>0</v>
      </c>
      <c r="N76" s="15">
        <v>0</v>
      </c>
      <c r="O76" s="15">
        <v>0</v>
      </c>
      <c r="P76">
        <f t="shared" si="22"/>
        <v>13.86</v>
      </c>
      <c r="Q76">
        <f t="shared" si="23"/>
        <v>10.879999999999999</v>
      </c>
      <c r="R76">
        <f t="shared" si="24"/>
        <v>4.97</v>
      </c>
      <c r="S76">
        <f t="shared" si="25"/>
        <v>15.849999999999998</v>
      </c>
      <c r="U76">
        <v>1948</v>
      </c>
      <c r="V76">
        <v>62.18</v>
      </c>
      <c r="X76" s="17">
        <f t="shared" si="26"/>
        <v>2.5410099710517851E-2</v>
      </c>
      <c r="Y76" s="17">
        <f t="shared" si="27"/>
        <v>5.0176905757478289E-2</v>
      </c>
      <c r="Z76" s="17">
        <f t="shared" si="28"/>
        <v>0.15101318752010276</v>
      </c>
      <c r="AA76" s="17">
        <f t="shared" si="29"/>
        <v>0.29076873592795111</v>
      </c>
      <c r="AB76" s="17">
        <f t="shared" si="30"/>
        <v>0.17352846574461239</v>
      </c>
      <c r="AC76" s="17">
        <f t="shared" si="31"/>
        <v>4.9372788678031521E-2</v>
      </c>
      <c r="AD76" s="17">
        <f t="shared" si="32"/>
        <v>3.554197491154712E-2</v>
      </c>
      <c r="AE76" s="17">
        <f t="shared" si="33"/>
        <v>4.0688324220006428E-2</v>
      </c>
      <c r="AF76" s="17">
        <f t="shared" si="34"/>
        <v>9.8745577356063041E-2</v>
      </c>
      <c r="AG76" s="17">
        <f t="shared" si="35"/>
        <v>7.9929237697008687E-2</v>
      </c>
      <c r="AH76" s="17">
        <f t="shared" si="36"/>
        <v>0</v>
      </c>
      <c r="AI76" s="17">
        <f t="shared" si="37"/>
        <v>0</v>
      </c>
      <c r="AJ76" s="17">
        <f t="shared" si="38"/>
        <v>0</v>
      </c>
      <c r="AK76" s="17">
        <f t="shared" si="39"/>
        <v>0.22290125442264394</v>
      </c>
      <c r="AL76" s="17">
        <f t="shared" si="40"/>
        <v>0.17497587648761659</v>
      </c>
      <c r="AM76" s="17">
        <f t="shared" si="41"/>
        <v>7.9929237697008687E-2</v>
      </c>
      <c r="AN76" s="17">
        <f t="shared" si="42"/>
        <v>0.25490511418462525</v>
      </c>
    </row>
    <row r="77" spans="1:40" x14ac:dyDescent="0.25">
      <c r="A77">
        <v>1949</v>
      </c>
      <c r="B77">
        <v>0</v>
      </c>
      <c r="C77">
        <v>1.8</v>
      </c>
      <c r="D77">
        <v>5.34</v>
      </c>
      <c r="E77">
        <v>8.36</v>
      </c>
      <c r="F77">
        <v>10.53</v>
      </c>
      <c r="G77" s="13">
        <v>6.97</v>
      </c>
      <c r="H77" s="13">
        <v>3.76</v>
      </c>
      <c r="I77" s="14">
        <v>4.3699999999999903</v>
      </c>
      <c r="J77" s="14">
        <v>0</v>
      </c>
      <c r="K77" s="14">
        <v>0</v>
      </c>
      <c r="L77" s="15">
        <v>0</v>
      </c>
      <c r="M77" s="15">
        <v>0</v>
      </c>
      <c r="N77" s="15">
        <v>0</v>
      </c>
      <c r="O77" s="15">
        <v>0</v>
      </c>
      <c r="P77">
        <f t="shared" si="22"/>
        <v>10.73</v>
      </c>
      <c r="Q77">
        <f t="shared" si="23"/>
        <v>4.3699999999999903</v>
      </c>
      <c r="R77">
        <f t="shared" si="24"/>
        <v>0</v>
      </c>
      <c r="S77">
        <f t="shared" si="25"/>
        <v>4.3699999999999903</v>
      </c>
      <c r="U77">
        <v>1949</v>
      </c>
      <c r="V77">
        <v>41.36</v>
      </c>
      <c r="X77" s="17">
        <f t="shared" si="26"/>
        <v>4.3520309477756286E-2</v>
      </c>
      <c r="Y77" s="17">
        <f t="shared" si="27"/>
        <v>0.12911025145067698</v>
      </c>
      <c r="Z77" s="17">
        <f t="shared" si="28"/>
        <v>0.20212765957446807</v>
      </c>
      <c r="AA77" s="17">
        <f t="shared" si="29"/>
        <v>0.25459381044487428</v>
      </c>
      <c r="AB77" s="17">
        <f t="shared" si="30"/>
        <v>0.16852030947775629</v>
      </c>
      <c r="AC77" s="17">
        <f t="shared" si="31"/>
        <v>9.0909090909090912E-2</v>
      </c>
      <c r="AD77" s="17">
        <f t="shared" si="32"/>
        <v>0.10565764023210808</v>
      </c>
      <c r="AE77" s="17">
        <f t="shared" si="33"/>
        <v>0</v>
      </c>
      <c r="AF77" s="17">
        <f t="shared" si="34"/>
        <v>0</v>
      </c>
      <c r="AG77" s="17">
        <f t="shared" si="35"/>
        <v>0</v>
      </c>
      <c r="AH77" s="17">
        <f t="shared" si="36"/>
        <v>0</v>
      </c>
      <c r="AI77" s="17">
        <f t="shared" si="37"/>
        <v>0</v>
      </c>
      <c r="AJ77" s="17">
        <f t="shared" si="38"/>
        <v>0</v>
      </c>
      <c r="AK77" s="17">
        <f t="shared" si="39"/>
        <v>0.2594294003868472</v>
      </c>
      <c r="AL77" s="17">
        <f t="shared" si="40"/>
        <v>0.10565764023210808</v>
      </c>
      <c r="AM77" s="17">
        <f t="shared" si="41"/>
        <v>0</v>
      </c>
      <c r="AN77" s="17">
        <f t="shared" si="42"/>
        <v>0.10565764023210808</v>
      </c>
    </row>
    <row r="78" spans="1:40" x14ac:dyDescent="0.25">
      <c r="A78">
        <v>1950</v>
      </c>
      <c r="B78">
        <v>0</v>
      </c>
      <c r="C78">
        <v>1.87</v>
      </c>
      <c r="D78">
        <v>5.44</v>
      </c>
      <c r="E78">
        <v>10.84</v>
      </c>
      <c r="F78">
        <v>8.23</v>
      </c>
      <c r="G78" s="13">
        <v>5.18</v>
      </c>
      <c r="H78" s="13">
        <v>1.74</v>
      </c>
      <c r="I78" s="14">
        <v>2.27</v>
      </c>
      <c r="J78" s="14">
        <v>2.61</v>
      </c>
      <c r="K78" s="14">
        <v>0</v>
      </c>
      <c r="L78" s="15">
        <v>0</v>
      </c>
      <c r="M78" s="15">
        <v>0</v>
      </c>
      <c r="N78" s="15">
        <v>0</v>
      </c>
      <c r="O78" s="15">
        <v>0</v>
      </c>
      <c r="P78">
        <f t="shared" si="22"/>
        <v>6.92</v>
      </c>
      <c r="Q78">
        <f t="shared" si="23"/>
        <v>4.88</v>
      </c>
      <c r="R78">
        <f t="shared" si="24"/>
        <v>0</v>
      </c>
      <c r="S78">
        <f t="shared" si="25"/>
        <v>4.88</v>
      </c>
      <c r="U78">
        <v>1950</v>
      </c>
      <c r="V78">
        <v>38.46</v>
      </c>
      <c r="X78" s="17">
        <f t="shared" si="26"/>
        <v>4.8621944877795115E-2</v>
      </c>
      <c r="Y78" s="17">
        <f t="shared" si="27"/>
        <v>0.14144565782631305</v>
      </c>
      <c r="Z78" s="17">
        <f t="shared" si="28"/>
        <v>0.28185127405096205</v>
      </c>
      <c r="AA78" s="17">
        <f t="shared" si="29"/>
        <v>0.21398855954238169</v>
      </c>
      <c r="AB78" s="17">
        <f t="shared" si="30"/>
        <v>0.1346853874154966</v>
      </c>
      <c r="AC78" s="17">
        <f t="shared" si="31"/>
        <v>4.5241809672386897E-2</v>
      </c>
      <c r="AD78" s="17">
        <f t="shared" si="32"/>
        <v>5.9022360894435778E-2</v>
      </c>
      <c r="AE78" s="17">
        <f t="shared" si="33"/>
        <v>6.7862714508580335E-2</v>
      </c>
      <c r="AF78" s="17">
        <f t="shared" si="34"/>
        <v>0</v>
      </c>
      <c r="AG78" s="17">
        <f t="shared" si="35"/>
        <v>0</v>
      </c>
      <c r="AH78" s="17">
        <f t="shared" si="36"/>
        <v>0</v>
      </c>
      <c r="AI78" s="17">
        <f t="shared" si="37"/>
        <v>0</v>
      </c>
      <c r="AJ78" s="17">
        <f t="shared" si="38"/>
        <v>0</v>
      </c>
      <c r="AK78" s="17">
        <f t="shared" si="39"/>
        <v>0.17992719708788352</v>
      </c>
      <c r="AL78" s="17">
        <f t="shared" si="40"/>
        <v>0.12688507540301611</v>
      </c>
      <c r="AM78" s="17">
        <f t="shared" si="41"/>
        <v>0</v>
      </c>
      <c r="AN78" s="17">
        <f t="shared" si="42"/>
        <v>0.12688507540301611</v>
      </c>
    </row>
    <row r="79" spans="1:40" x14ac:dyDescent="0.25">
      <c r="A79">
        <v>1951</v>
      </c>
      <c r="B79">
        <v>0</v>
      </c>
      <c r="C79">
        <v>1.76</v>
      </c>
      <c r="D79">
        <v>4.1900000000000004</v>
      </c>
      <c r="E79">
        <v>6.74</v>
      </c>
      <c r="F79">
        <v>13.1299999999999</v>
      </c>
      <c r="G79" s="13">
        <v>4.82</v>
      </c>
      <c r="H79" s="13">
        <v>1.97</v>
      </c>
      <c r="I79" s="14">
        <v>2.4900000000000002</v>
      </c>
      <c r="J79" s="14">
        <v>0</v>
      </c>
      <c r="K79" s="14">
        <v>3.14</v>
      </c>
      <c r="L79" s="15">
        <v>0</v>
      </c>
      <c r="M79" s="15">
        <v>0</v>
      </c>
      <c r="N79" s="15">
        <v>0</v>
      </c>
      <c r="O79" s="15">
        <v>0</v>
      </c>
      <c r="P79">
        <f t="shared" si="22"/>
        <v>6.79</v>
      </c>
      <c r="Q79">
        <f t="shared" si="23"/>
        <v>5.6300000000000008</v>
      </c>
      <c r="R79">
        <f t="shared" si="24"/>
        <v>0</v>
      </c>
      <c r="S79">
        <f t="shared" si="25"/>
        <v>5.6300000000000008</v>
      </c>
      <c r="U79">
        <v>1951</v>
      </c>
      <c r="V79">
        <v>38.630000000000003</v>
      </c>
      <c r="X79" s="17">
        <f t="shared" si="26"/>
        <v>4.5560445249805848E-2</v>
      </c>
      <c r="Y79" s="17">
        <f t="shared" si="27"/>
        <v>0.10846492363448097</v>
      </c>
      <c r="Z79" s="17">
        <f t="shared" si="28"/>
        <v>0.17447579601346103</v>
      </c>
      <c r="AA79" s="17">
        <f t="shared" si="29"/>
        <v>0.33989127621019671</v>
      </c>
      <c r="AB79" s="17">
        <f t="shared" si="30"/>
        <v>0.12477349210458193</v>
      </c>
      <c r="AC79" s="17">
        <f t="shared" si="31"/>
        <v>5.0996634739839501E-2</v>
      </c>
      <c r="AD79" s="17">
        <f t="shared" si="32"/>
        <v>6.4457675381827603E-2</v>
      </c>
      <c r="AE79" s="17">
        <f t="shared" si="33"/>
        <v>0</v>
      </c>
      <c r="AF79" s="17">
        <f t="shared" si="34"/>
        <v>8.1283976184312712E-2</v>
      </c>
      <c r="AG79" s="17">
        <f t="shared" si="35"/>
        <v>0</v>
      </c>
      <c r="AH79" s="17">
        <f t="shared" si="36"/>
        <v>0</v>
      </c>
      <c r="AI79" s="17">
        <f t="shared" si="37"/>
        <v>0</v>
      </c>
      <c r="AJ79" s="17">
        <f t="shared" si="38"/>
        <v>0</v>
      </c>
      <c r="AK79" s="17">
        <f t="shared" si="39"/>
        <v>0.17577012684442142</v>
      </c>
      <c r="AL79" s="17">
        <f t="shared" si="40"/>
        <v>0.14574165156614033</v>
      </c>
      <c r="AM79" s="17">
        <f t="shared" si="41"/>
        <v>0</v>
      </c>
      <c r="AN79" s="17">
        <f t="shared" si="42"/>
        <v>0.14574165156614033</v>
      </c>
    </row>
    <row r="80" spans="1:40" x14ac:dyDescent="0.25">
      <c r="A80">
        <v>1952</v>
      </c>
      <c r="B80">
        <v>0</v>
      </c>
      <c r="C80">
        <v>1.65</v>
      </c>
      <c r="D80">
        <v>2.8499999999999899</v>
      </c>
      <c r="E80">
        <v>10.149999999999901</v>
      </c>
      <c r="F80">
        <v>14.79</v>
      </c>
      <c r="G80" s="13">
        <v>4.67</v>
      </c>
      <c r="H80" s="13">
        <v>8.6300000000000008</v>
      </c>
      <c r="I80" s="14">
        <v>0</v>
      </c>
      <c r="J80" s="14">
        <v>0</v>
      </c>
      <c r="K80" s="14">
        <v>0</v>
      </c>
      <c r="L80" s="15">
        <v>4.03</v>
      </c>
      <c r="M80" s="15">
        <v>0</v>
      </c>
      <c r="N80" s="15">
        <v>0</v>
      </c>
      <c r="O80" s="15">
        <v>0</v>
      </c>
      <c r="P80">
        <f t="shared" si="22"/>
        <v>13.3</v>
      </c>
      <c r="Q80">
        <f t="shared" si="23"/>
        <v>0</v>
      </c>
      <c r="R80">
        <f t="shared" si="24"/>
        <v>4.03</v>
      </c>
      <c r="S80">
        <f t="shared" si="25"/>
        <v>4.03</v>
      </c>
      <c r="U80">
        <v>1952</v>
      </c>
      <c r="V80">
        <v>46.95</v>
      </c>
      <c r="X80" s="17">
        <f t="shared" si="26"/>
        <v>3.5143769968051117E-2</v>
      </c>
      <c r="Y80" s="17">
        <f t="shared" si="27"/>
        <v>6.0702875399360805E-2</v>
      </c>
      <c r="Z80" s="17">
        <f t="shared" si="28"/>
        <v>0.21618743343982749</v>
      </c>
      <c r="AA80" s="17">
        <f t="shared" si="29"/>
        <v>0.31501597444089452</v>
      </c>
      <c r="AB80" s="17">
        <f t="shared" si="30"/>
        <v>9.9467518636847704E-2</v>
      </c>
      <c r="AC80" s="17">
        <f t="shared" si="31"/>
        <v>0.18381256656017039</v>
      </c>
      <c r="AD80" s="17">
        <f t="shared" si="32"/>
        <v>0</v>
      </c>
      <c r="AE80" s="17">
        <f t="shared" si="33"/>
        <v>0</v>
      </c>
      <c r="AF80" s="17">
        <f t="shared" si="34"/>
        <v>0</v>
      </c>
      <c r="AG80" s="17">
        <f t="shared" si="35"/>
        <v>8.5835995740149093E-2</v>
      </c>
      <c r="AH80" s="17">
        <f t="shared" si="36"/>
        <v>0</v>
      </c>
      <c r="AI80" s="17">
        <f t="shared" si="37"/>
        <v>0</v>
      </c>
      <c r="AJ80" s="17">
        <f t="shared" si="38"/>
        <v>0</v>
      </c>
      <c r="AK80" s="17">
        <f t="shared" si="39"/>
        <v>0.28328008519701808</v>
      </c>
      <c r="AL80" s="17">
        <f t="shared" si="40"/>
        <v>0</v>
      </c>
      <c r="AM80" s="17">
        <f t="shared" si="41"/>
        <v>8.5835995740149093E-2</v>
      </c>
      <c r="AN80" s="17">
        <f t="shared" si="42"/>
        <v>8.5835995740149093E-2</v>
      </c>
    </row>
    <row r="81" spans="1:43" x14ac:dyDescent="0.25">
      <c r="A81">
        <v>1953</v>
      </c>
      <c r="B81">
        <v>0</v>
      </c>
      <c r="C81">
        <v>1.1100000000000001</v>
      </c>
      <c r="D81">
        <v>4.55</v>
      </c>
      <c r="E81">
        <v>6.26</v>
      </c>
      <c r="F81">
        <v>14.02</v>
      </c>
      <c r="G81" s="13">
        <v>3.56</v>
      </c>
      <c r="H81" s="13">
        <v>11.59</v>
      </c>
      <c r="I81" s="14">
        <v>2.0499999999999998</v>
      </c>
      <c r="J81" s="14">
        <v>5.28</v>
      </c>
      <c r="K81" s="14">
        <v>0</v>
      </c>
      <c r="L81" s="15">
        <v>0</v>
      </c>
      <c r="M81" s="15">
        <v>0</v>
      </c>
      <c r="N81" s="15">
        <v>0</v>
      </c>
      <c r="O81" s="15">
        <v>7.33</v>
      </c>
      <c r="P81">
        <f t="shared" si="22"/>
        <v>15.15</v>
      </c>
      <c r="Q81">
        <f t="shared" si="23"/>
        <v>7.33</v>
      </c>
      <c r="R81">
        <f t="shared" si="24"/>
        <v>7.33</v>
      </c>
      <c r="S81">
        <f t="shared" si="25"/>
        <v>14.66</v>
      </c>
      <c r="U81">
        <v>1953</v>
      </c>
      <c r="V81">
        <v>55.91</v>
      </c>
      <c r="X81" s="17">
        <f t="shared" si="26"/>
        <v>1.9853335718118408E-2</v>
      </c>
      <c r="Y81" s="17">
        <f t="shared" si="27"/>
        <v>8.1380790556251123E-2</v>
      </c>
      <c r="Z81" s="17">
        <f t="shared" si="28"/>
        <v>0.11196565909497407</v>
      </c>
      <c r="AA81" s="17">
        <f t="shared" si="29"/>
        <v>0.25076015024145948</v>
      </c>
      <c r="AB81" s="17">
        <f t="shared" si="30"/>
        <v>6.3673761402253629E-2</v>
      </c>
      <c r="AC81" s="17">
        <f t="shared" si="31"/>
        <v>0.20729744231801109</v>
      </c>
      <c r="AD81" s="17">
        <f t="shared" si="32"/>
        <v>3.6666070470398854E-2</v>
      </c>
      <c r="AE81" s="17">
        <f t="shared" si="33"/>
        <v>9.4437488821319984E-2</v>
      </c>
      <c r="AF81" s="17">
        <f t="shared" si="34"/>
        <v>0</v>
      </c>
      <c r="AG81" s="17">
        <f t="shared" si="35"/>
        <v>0</v>
      </c>
      <c r="AH81" s="17">
        <f t="shared" si="36"/>
        <v>0</v>
      </c>
      <c r="AI81" s="17">
        <f t="shared" si="37"/>
        <v>0</v>
      </c>
      <c r="AJ81" s="17">
        <f t="shared" si="38"/>
        <v>0.13110355929171885</v>
      </c>
      <c r="AK81" s="17">
        <f t="shared" si="39"/>
        <v>0.27097120372026473</v>
      </c>
      <c r="AL81" s="17">
        <f t="shared" si="40"/>
        <v>0.13110355929171885</v>
      </c>
      <c r="AM81" s="17">
        <f t="shared" si="41"/>
        <v>0.13110355929171885</v>
      </c>
      <c r="AN81" s="17">
        <f t="shared" si="42"/>
        <v>0.2622071185834377</v>
      </c>
    </row>
    <row r="82" spans="1:43" x14ac:dyDescent="0.25">
      <c r="A82">
        <v>1954</v>
      </c>
      <c r="B82">
        <v>0</v>
      </c>
      <c r="C82">
        <v>2.1800000000000002</v>
      </c>
      <c r="D82">
        <v>3.3799999999999901</v>
      </c>
      <c r="E82">
        <v>5.6499999999999897</v>
      </c>
      <c r="F82">
        <v>10.2599999999999</v>
      </c>
      <c r="G82" s="13">
        <v>5.0999999999999996</v>
      </c>
      <c r="H82" s="13">
        <v>1.65</v>
      </c>
      <c r="I82" s="14">
        <v>2.48</v>
      </c>
      <c r="J82" s="14">
        <v>3</v>
      </c>
      <c r="K82" s="14">
        <v>0</v>
      </c>
      <c r="L82" s="15">
        <v>0</v>
      </c>
      <c r="M82" s="15">
        <v>0</v>
      </c>
      <c r="N82" s="15">
        <v>0</v>
      </c>
      <c r="O82" s="15">
        <v>0</v>
      </c>
      <c r="P82">
        <f t="shared" si="22"/>
        <v>6.75</v>
      </c>
      <c r="Q82">
        <f t="shared" si="23"/>
        <v>5.48</v>
      </c>
      <c r="R82">
        <f t="shared" si="24"/>
        <v>0</v>
      </c>
      <c r="S82">
        <f t="shared" si="25"/>
        <v>5.48</v>
      </c>
      <c r="U82">
        <v>1954</v>
      </c>
      <c r="V82">
        <v>34.020000000000003</v>
      </c>
      <c r="X82" s="17">
        <f t="shared" si="26"/>
        <v>6.4079952968841863E-2</v>
      </c>
      <c r="Y82" s="17">
        <f t="shared" si="27"/>
        <v>9.9353321575543496E-2</v>
      </c>
      <c r="Z82" s="17">
        <f t="shared" si="28"/>
        <v>0.16607877718988798</v>
      </c>
      <c r="AA82" s="17">
        <f t="shared" si="29"/>
        <v>0.30158730158729863</v>
      </c>
      <c r="AB82" s="17">
        <f t="shared" si="30"/>
        <v>0.14991181657848321</v>
      </c>
      <c r="AC82" s="17">
        <f t="shared" si="31"/>
        <v>4.8500881834215158E-2</v>
      </c>
      <c r="AD82" s="17">
        <f t="shared" si="32"/>
        <v>7.2898295120517334E-2</v>
      </c>
      <c r="AE82" s="17">
        <f t="shared" si="33"/>
        <v>8.8183421516754845E-2</v>
      </c>
      <c r="AF82" s="17">
        <f t="shared" si="34"/>
        <v>0</v>
      </c>
      <c r="AG82" s="17">
        <f t="shared" si="35"/>
        <v>0</v>
      </c>
      <c r="AH82" s="17">
        <f t="shared" si="36"/>
        <v>0</v>
      </c>
      <c r="AI82" s="17">
        <f t="shared" si="37"/>
        <v>0</v>
      </c>
      <c r="AJ82" s="17">
        <f t="shared" si="38"/>
        <v>0</v>
      </c>
      <c r="AK82" s="17">
        <f t="shared" si="39"/>
        <v>0.1984126984126984</v>
      </c>
      <c r="AL82" s="17">
        <f t="shared" si="40"/>
        <v>0.16108171663727219</v>
      </c>
      <c r="AM82" s="17">
        <f t="shared" si="41"/>
        <v>0</v>
      </c>
      <c r="AN82" s="17">
        <f t="shared" si="42"/>
        <v>0.16108171663727219</v>
      </c>
    </row>
    <row r="83" spans="1:43" x14ac:dyDescent="0.25">
      <c r="A83">
        <v>1955</v>
      </c>
      <c r="B83">
        <v>0</v>
      </c>
      <c r="C83">
        <v>1.02</v>
      </c>
      <c r="D83">
        <v>4</v>
      </c>
      <c r="E83">
        <v>4.28</v>
      </c>
      <c r="F83">
        <v>10.719999999999899</v>
      </c>
      <c r="G83" s="13">
        <v>2.58</v>
      </c>
      <c r="H83" s="13">
        <v>7.05</v>
      </c>
      <c r="I83" s="14">
        <v>2.16</v>
      </c>
      <c r="J83" s="14">
        <v>2.57</v>
      </c>
      <c r="K83" s="14">
        <v>0</v>
      </c>
      <c r="L83" s="15">
        <v>0</v>
      </c>
      <c r="M83" s="15">
        <v>0</v>
      </c>
      <c r="N83" s="15">
        <v>0</v>
      </c>
      <c r="O83" s="15">
        <v>0</v>
      </c>
      <c r="P83">
        <f t="shared" si="22"/>
        <v>9.629999999999999</v>
      </c>
      <c r="Q83">
        <f t="shared" si="23"/>
        <v>4.7300000000000004</v>
      </c>
      <c r="R83">
        <f t="shared" si="24"/>
        <v>0</v>
      </c>
      <c r="S83">
        <f t="shared" si="25"/>
        <v>4.7300000000000004</v>
      </c>
      <c r="U83">
        <v>1955</v>
      </c>
      <c r="V83">
        <v>34.72</v>
      </c>
      <c r="X83" s="17">
        <f t="shared" si="26"/>
        <v>2.9377880184331798E-2</v>
      </c>
      <c r="Y83" s="17">
        <f t="shared" si="27"/>
        <v>0.1152073732718894</v>
      </c>
      <c r="Z83" s="17">
        <f t="shared" si="28"/>
        <v>0.12327188940092167</v>
      </c>
      <c r="AA83" s="17">
        <f t="shared" si="29"/>
        <v>0.3087557603686607</v>
      </c>
      <c r="AB83" s="17">
        <f t="shared" si="30"/>
        <v>7.4308755760368675E-2</v>
      </c>
      <c r="AC83" s="17">
        <f t="shared" si="31"/>
        <v>0.20305299539170507</v>
      </c>
      <c r="AD83" s="17">
        <f t="shared" si="32"/>
        <v>6.2211981566820285E-2</v>
      </c>
      <c r="AE83" s="17">
        <f t="shared" si="33"/>
        <v>7.4020737327188932E-2</v>
      </c>
      <c r="AF83" s="17">
        <f t="shared" si="34"/>
        <v>0</v>
      </c>
      <c r="AG83" s="17">
        <f t="shared" si="35"/>
        <v>0</v>
      </c>
      <c r="AH83" s="17">
        <f t="shared" si="36"/>
        <v>0</v>
      </c>
      <c r="AI83" s="17">
        <f t="shared" si="37"/>
        <v>0</v>
      </c>
      <c r="AJ83" s="17">
        <f t="shared" si="38"/>
        <v>0</v>
      </c>
      <c r="AK83" s="17">
        <f t="shared" si="39"/>
        <v>0.27736175115207373</v>
      </c>
      <c r="AL83" s="17">
        <f t="shared" si="40"/>
        <v>0.13623271889400923</v>
      </c>
      <c r="AM83" s="17">
        <f t="shared" si="41"/>
        <v>0</v>
      </c>
      <c r="AN83" s="17">
        <f t="shared" si="42"/>
        <v>0.13623271889400923</v>
      </c>
    </row>
    <row r="84" spans="1:43" x14ac:dyDescent="0.25">
      <c r="A84">
        <v>1956</v>
      </c>
      <c r="B84">
        <v>0</v>
      </c>
      <c r="C84">
        <v>1.43</v>
      </c>
      <c r="D84">
        <v>4.54</v>
      </c>
      <c r="E84">
        <v>11.3</v>
      </c>
      <c r="F84">
        <v>14.1099999999999</v>
      </c>
      <c r="G84" s="13">
        <v>7.18</v>
      </c>
      <c r="H84" s="13">
        <v>1.8</v>
      </c>
      <c r="I84" s="14">
        <v>0</v>
      </c>
      <c r="J84" s="14">
        <v>2.95</v>
      </c>
      <c r="K84" s="14">
        <v>0</v>
      </c>
      <c r="L84" s="15">
        <v>0</v>
      </c>
      <c r="M84" s="15">
        <v>0</v>
      </c>
      <c r="N84" s="15">
        <v>0</v>
      </c>
      <c r="O84" s="15">
        <v>0</v>
      </c>
      <c r="P84">
        <f t="shared" si="22"/>
        <v>8.98</v>
      </c>
      <c r="Q84">
        <f t="shared" si="23"/>
        <v>2.95</v>
      </c>
      <c r="R84">
        <f t="shared" si="24"/>
        <v>0</v>
      </c>
      <c r="S84">
        <f t="shared" si="25"/>
        <v>2.95</v>
      </c>
      <c r="U84">
        <v>1956</v>
      </c>
      <c r="V84">
        <v>43.58</v>
      </c>
      <c r="X84" s="17">
        <f t="shared" si="26"/>
        <v>3.2813217072051398E-2</v>
      </c>
      <c r="Y84" s="17">
        <f t="shared" si="27"/>
        <v>0.104176227627352</v>
      </c>
      <c r="Z84" s="17">
        <f t="shared" si="28"/>
        <v>0.25929325378614043</v>
      </c>
      <c r="AA84" s="17">
        <f t="shared" si="29"/>
        <v>0.32377237264800141</v>
      </c>
      <c r="AB84" s="17">
        <f t="shared" si="30"/>
        <v>0.16475447452960074</v>
      </c>
      <c r="AC84" s="17">
        <f t="shared" si="31"/>
        <v>4.1303350160624142E-2</v>
      </c>
      <c r="AD84" s="17">
        <f t="shared" si="32"/>
        <v>0</v>
      </c>
      <c r="AE84" s="17">
        <f t="shared" si="33"/>
        <v>6.7691601652134017E-2</v>
      </c>
      <c r="AF84" s="17">
        <f t="shared" si="34"/>
        <v>0</v>
      </c>
      <c r="AG84" s="17">
        <f t="shared" si="35"/>
        <v>0</v>
      </c>
      <c r="AH84" s="17">
        <f t="shared" si="36"/>
        <v>0</v>
      </c>
      <c r="AI84" s="17">
        <f t="shared" si="37"/>
        <v>0</v>
      </c>
      <c r="AJ84" s="17">
        <f t="shared" si="38"/>
        <v>0</v>
      </c>
      <c r="AK84" s="17">
        <f t="shared" si="39"/>
        <v>0.20605782469022488</v>
      </c>
      <c r="AL84" s="17">
        <f t="shared" si="40"/>
        <v>6.7691601652134017E-2</v>
      </c>
      <c r="AM84" s="17">
        <f t="shared" si="41"/>
        <v>0</v>
      </c>
      <c r="AN84" s="17">
        <f t="shared" si="42"/>
        <v>6.7691601652134017E-2</v>
      </c>
    </row>
    <row r="85" spans="1:43" x14ac:dyDescent="0.25">
      <c r="A85">
        <v>1957</v>
      </c>
      <c r="B85">
        <v>0</v>
      </c>
      <c r="C85">
        <v>1.78</v>
      </c>
      <c r="D85">
        <v>4.5599999999999996</v>
      </c>
      <c r="E85">
        <v>8.06</v>
      </c>
      <c r="F85">
        <v>15.58</v>
      </c>
      <c r="G85" s="13">
        <v>2.65</v>
      </c>
      <c r="H85" s="13">
        <v>1.62</v>
      </c>
      <c r="I85" s="14">
        <v>0</v>
      </c>
      <c r="J85" s="14">
        <v>0</v>
      </c>
      <c r="K85" s="14">
        <v>0</v>
      </c>
      <c r="L85" s="15">
        <v>0</v>
      </c>
      <c r="M85" s="15">
        <v>0</v>
      </c>
      <c r="N85" s="15">
        <v>0</v>
      </c>
      <c r="O85" s="15">
        <v>0</v>
      </c>
      <c r="P85">
        <f t="shared" si="22"/>
        <v>4.2699999999999996</v>
      </c>
      <c r="Q85">
        <f t="shared" si="23"/>
        <v>0</v>
      </c>
      <c r="R85">
        <f t="shared" si="24"/>
        <v>0</v>
      </c>
      <c r="S85">
        <f t="shared" si="25"/>
        <v>0</v>
      </c>
      <c r="U85">
        <v>1957</v>
      </c>
      <c r="V85">
        <v>34.520000000000003</v>
      </c>
      <c r="X85" s="17">
        <f t="shared" si="26"/>
        <v>5.1564310544611816E-2</v>
      </c>
      <c r="Y85" s="17">
        <f t="shared" si="27"/>
        <v>0.13209733487833139</v>
      </c>
      <c r="Z85" s="17">
        <f t="shared" si="28"/>
        <v>0.23348783314020857</v>
      </c>
      <c r="AA85" s="17">
        <f t="shared" si="29"/>
        <v>0.4513325608342989</v>
      </c>
      <c r="AB85" s="17">
        <f t="shared" si="30"/>
        <v>7.6767091541135563E-2</v>
      </c>
      <c r="AC85" s="17">
        <f t="shared" si="31"/>
        <v>4.6929316338354579E-2</v>
      </c>
      <c r="AD85" s="17">
        <f t="shared" si="32"/>
        <v>0</v>
      </c>
      <c r="AE85" s="17">
        <f t="shared" si="33"/>
        <v>0</v>
      </c>
      <c r="AF85" s="17">
        <f t="shared" si="34"/>
        <v>0</v>
      </c>
      <c r="AG85" s="17">
        <f t="shared" si="35"/>
        <v>0</v>
      </c>
      <c r="AH85" s="17">
        <f t="shared" si="36"/>
        <v>0</v>
      </c>
      <c r="AI85" s="17">
        <f t="shared" si="37"/>
        <v>0</v>
      </c>
      <c r="AJ85" s="17">
        <f t="shared" si="38"/>
        <v>0</v>
      </c>
      <c r="AK85" s="17">
        <f t="shared" si="39"/>
        <v>0.12369640787949013</v>
      </c>
      <c r="AL85" s="17">
        <f t="shared" si="40"/>
        <v>0</v>
      </c>
      <c r="AM85" s="17">
        <f t="shared" si="41"/>
        <v>0</v>
      </c>
      <c r="AN85" s="17">
        <f t="shared" si="42"/>
        <v>0</v>
      </c>
    </row>
    <row r="86" spans="1:43" x14ac:dyDescent="0.25">
      <c r="A86">
        <v>1958</v>
      </c>
      <c r="B86">
        <v>0</v>
      </c>
      <c r="C86">
        <v>1.79</v>
      </c>
      <c r="D86">
        <v>3.32</v>
      </c>
      <c r="E86">
        <v>7.81</v>
      </c>
      <c r="F86">
        <v>14.84</v>
      </c>
      <c r="G86" s="13">
        <v>10.039999999999999</v>
      </c>
      <c r="H86" s="13">
        <v>8.27</v>
      </c>
      <c r="I86" s="14">
        <v>4.21</v>
      </c>
      <c r="J86" s="14">
        <v>5.16</v>
      </c>
      <c r="K86" s="14">
        <v>6.54</v>
      </c>
      <c r="L86" s="15">
        <v>5</v>
      </c>
      <c r="M86" s="15">
        <v>0</v>
      </c>
      <c r="N86" s="15">
        <v>0</v>
      </c>
      <c r="O86" s="15">
        <v>0</v>
      </c>
      <c r="P86">
        <f t="shared" si="22"/>
        <v>18.309999999999999</v>
      </c>
      <c r="Q86">
        <f t="shared" si="23"/>
        <v>15.91</v>
      </c>
      <c r="R86">
        <f t="shared" si="24"/>
        <v>5</v>
      </c>
      <c r="S86">
        <f t="shared" si="25"/>
        <v>20.91</v>
      </c>
      <c r="U86">
        <v>1958</v>
      </c>
      <c r="V86">
        <v>67.17</v>
      </c>
      <c r="X86" s="17">
        <f t="shared" si="26"/>
        <v>2.6648801548310258E-2</v>
      </c>
      <c r="Y86" s="17">
        <f t="shared" si="27"/>
        <v>4.9426827452731872E-2</v>
      </c>
      <c r="Z86" s="17">
        <f t="shared" si="28"/>
        <v>0.11627214530296262</v>
      </c>
      <c r="AA86" s="17">
        <f t="shared" si="29"/>
        <v>0.22093196367425932</v>
      </c>
      <c r="AB86" s="17">
        <f t="shared" si="30"/>
        <v>0.14947149024862288</v>
      </c>
      <c r="AC86" s="17">
        <f t="shared" si="31"/>
        <v>0.12312044067291945</v>
      </c>
      <c r="AD86" s="17">
        <f t="shared" si="32"/>
        <v>6.2676790233735291E-2</v>
      </c>
      <c r="AE86" s="17">
        <f t="shared" si="33"/>
        <v>7.6820008932559178E-2</v>
      </c>
      <c r="AF86" s="17">
        <f t="shared" si="34"/>
        <v>9.736489504242965E-2</v>
      </c>
      <c r="AG86" s="17">
        <f t="shared" si="35"/>
        <v>7.4437993151704629E-2</v>
      </c>
      <c r="AH86" s="17">
        <f t="shared" si="36"/>
        <v>0</v>
      </c>
      <c r="AI86" s="17">
        <f t="shared" si="37"/>
        <v>0</v>
      </c>
      <c r="AJ86" s="17">
        <f t="shared" si="38"/>
        <v>0</v>
      </c>
      <c r="AK86" s="17">
        <f t="shared" si="39"/>
        <v>0.27259193092154232</v>
      </c>
      <c r="AL86" s="17">
        <f t="shared" si="40"/>
        <v>0.23686169420872413</v>
      </c>
      <c r="AM86" s="17">
        <f t="shared" si="41"/>
        <v>7.4437993151704629E-2</v>
      </c>
      <c r="AN86" s="17">
        <f t="shared" si="42"/>
        <v>0.31129968736042873</v>
      </c>
    </row>
    <row r="87" spans="1:43" x14ac:dyDescent="0.25">
      <c r="A87">
        <v>1959</v>
      </c>
      <c r="B87">
        <v>0</v>
      </c>
      <c r="C87">
        <v>1.51</v>
      </c>
      <c r="D87">
        <v>4.18</v>
      </c>
      <c r="E87">
        <v>5.13</v>
      </c>
      <c r="F87">
        <v>9.26</v>
      </c>
      <c r="G87" s="13">
        <v>7.18</v>
      </c>
      <c r="H87" s="13">
        <v>4.8</v>
      </c>
      <c r="I87" s="14">
        <v>4.25</v>
      </c>
      <c r="J87" s="14">
        <v>2.75</v>
      </c>
      <c r="K87" s="14">
        <v>0</v>
      </c>
      <c r="L87" s="15">
        <v>0</v>
      </c>
      <c r="M87" s="15">
        <v>10.87</v>
      </c>
      <c r="N87" s="15">
        <v>0</v>
      </c>
      <c r="O87" s="15">
        <v>0</v>
      </c>
      <c r="P87">
        <f t="shared" si="22"/>
        <v>11.98</v>
      </c>
      <c r="Q87">
        <f t="shared" si="23"/>
        <v>7</v>
      </c>
      <c r="R87">
        <f t="shared" si="24"/>
        <v>10.87</v>
      </c>
      <c r="S87">
        <f t="shared" si="25"/>
        <v>17.869999999999997</v>
      </c>
      <c r="U87">
        <v>1959</v>
      </c>
      <c r="V87">
        <v>50.37</v>
      </c>
      <c r="X87" s="17">
        <f t="shared" si="26"/>
        <v>2.9978161604129444E-2</v>
      </c>
      <c r="Y87" s="17">
        <f t="shared" si="27"/>
        <v>8.2985904308119918E-2</v>
      </c>
      <c r="Z87" s="17">
        <f t="shared" si="28"/>
        <v>0.10184633710541989</v>
      </c>
      <c r="AA87" s="17">
        <f t="shared" si="29"/>
        <v>0.18383958705578718</v>
      </c>
      <c r="AB87" s="17">
        <f t="shared" si="30"/>
        <v>0.14254516577327775</v>
      </c>
      <c r="AC87" s="17">
        <f t="shared" si="31"/>
        <v>9.5294818344252533E-2</v>
      </c>
      <c r="AD87" s="17">
        <f t="shared" si="32"/>
        <v>8.4375620408973603E-2</v>
      </c>
      <c r="AE87" s="17">
        <f t="shared" si="33"/>
        <v>5.4595989676394681E-2</v>
      </c>
      <c r="AF87" s="17">
        <f t="shared" si="34"/>
        <v>0</v>
      </c>
      <c r="AG87" s="17">
        <f t="shared" si="35"/>
        <v>0</v>
      </c>
      <c r="AH87" s="17">
        <f t="shared" si="36"/>
        <v>0.21580305737542188</v>
      </c>
      <c r="AI87" s="17">
        <f t="shared" si="37"/>
        <v>0</v>
      </c>
      <c r="AJ87" s="17">
        <f t="shared" si="38"/>
        <v>0</v>
      </c>
      <c r="AK87" s="17">
        <f t="shared" si="39"/>
        <v>0.2378399841175303</v>
      </c>
      <c r="AL87" s="17">
        <f t="shared" si="40"/>
        <v>0.13897161008536829</v>
      </c>
      <c r="AM87" s="17">
        <f t="shared" si="41"/>
        <v>0.21580305737542188</v>
      </c>
      <c r="AN87" s="17">
        <f t="shared" si="42"/>
        <v>0.35477466746079012</v>
      </c>
    </row>
    <row r="88" spans="1:43" ht="18.75" x14ac:dyDescent="0.3">
      <c r="A88">
        <v>1960</v>
      </c>
      <c r="B88">
        <v>0</v>
      </c>
      <c r="C88">
        <v>1.79</v>
      </c>
      <c r="D88">
        <v>3.55</v>
      </c>
      <c r="E88">
        <v>7.3</v>
      </c>
      <c r="F88">
        <v>9.71999999999999</v>
      </c>
      <c r="G88" s="13">
        <v>4.4800000000000004</v>
      </c>
      <c r="H88" s="13">
        <v>3.25</v>
      </c>
      <c r="I88" s="14">
        <v>2.0499999999999998</v>
      </c>
      <c r="J88" s="14">
        <v>2.78</v>
      </c>
      <c r="K88" s="14">
        <v>0</v>
      </c>
      <c r="L88" s="15">
        <v>0</v>
      </c>
      <c r="M88" s="15">
        <v>0</v>
      </c>
      <c r="N88" s="15">
        <v>0</v>
      </c>
      <c r="O88" s="15">
        <v>0</v>
      </c>
      <c r="P88">
        <f t="shared" si="22"/>
        <v>7.73</v>
      </c>
      <c r="Q88">
        <f t="shared" si="23"/>
        <v>4.83</v>
      </c>
      <c r="R88">
        <f t="shared" si="24"/>
        <v>0</v>
      </c>
      <c r="S88">
        <f t="shared" si="25"/>
        <v>4.83</v>
      </c>
      <c r="U88">
        <v>1960</v>
      </c>
      <c r="V88">
        <v>35.19</v>
      </c>
      <c r="X88" s="17">
        <f t="shared" si="26"/>
        <v>5.0866723500994603E-2</v>
      </c>
      <c r="Y88" s="17">
        <f t="shared" si="27"/>
        <v>0.10088093208297812</v>
      </c>
      <c r="Z88" s="17">
        <f t="shared" si="28"/>
        <v>0.20744529695936345</v>
      </c>
      <c r="AA88" s="17">
        <f t="shared" si="29"/>
        <v>0.27621483375959055</v>
      </c>
      <c r="AB88" s="17">
        <f t="shared" si="30"/>
        <v>0.1273088945723217</v>
      </c>
      <c r="AC88" s="17">
        <f t="shared" si="31"/>
        <v>9.2355782892867291E-2</v>
      </c>
      <c r="AD88" s="17">
        <f t="shared" si="32"/>
        <v>5.8255186132423982E-2</v>
      </c>
      <c r="AE88" s="17">
        <f t="shared" si="33"/>
        <v>7.8999715828360323E-2</v>
      </c>
      <c r="AF88" s="17">
        <f t="shared" si="34"/>
        <v>0</v>
      </c>
      <c r="AG88" s="17">
        <f t="shared" si="35"/>
        <v>0</v>
      </c>
      <c r="AH88" s="17">
        <f t="shared" si="36"/>
        <v>0</v>
      </c>
      <c r="AI88" s="17">
        <f t="shared" si="37"/>
        <v>0</v>
      </c>
      <c r="AJ88" s="17">
        <f t="shared" si="38"/>
        <v>0</v>
      </c>
      <c r="AK88" s="17">
        <f t="shared" si="39"/>
        <v>0.219664677465189</v>
      </c>
      <c r="AL88" s="17">
        <f t="shared" si="40"/>
        <v>0.13725490196078433</v>
      </c>
      <c r="AM88" s="17">
        <f t="shared" si="41"/>
        <v>0</v>
      </c>
      <c r="AN88" s="17">
        <f t="shared" si="42"/>
        <v>0.13725490196078433</v>
      </c>
      <c r="AP88" s="7" t="s">
        <v>15</v>
      </c>
      <c r="AQ88" s="7"/>
    </row>
    <row r="89" spans="1:43" ht="18.75" x14ac:dyDescent="0.3">
      <c r="A89">
        <v>1961</v>
      </c>
      <c r="B89">
        <v>0</v>
      </c>
      <c r="C89">
        <v>1.46</v>
      </c>
      <c r="D89">
        <v>4.74</v>
      </c>
      <c r="E89">
        <v>5.42</v>
      </c>
      <c r="F89">
        <v>12.819999999999901</v>
      </c>
      <c r="G89" s="13">
        <v>12.58</v>
      </c>
      <c r="H89" s="13">
        <v>1.9</v>
      </c>
      <c r="I89" s="14">
        <v>0</v>
      </c>
      <c r="J89" s="14">
        <v>0</v>
      </c>
      <c r="K89" s="14">
        <v>0</v>
      </c>
      <c r="L89" s="15">
        <v>0</v>
      </c>
      <c r="M89" s="15">
        <v>0</v>
      </c>
      <c r="N89" s="15">
        <v>0</v>
      </c>
      <c r="O89" s="15">
        <v>0</v>
      </c>
      <c r="P89">
        <f t="shared" si="22"/>
        <v>14.48</v>
      </c>
      <c r="Q89">
        <f t="shared" si="23"/>
        <v>0</v>
      </c>
      <c r="R89">
        <f t="shared" si="24"/>
        <v>0</v>
      </c>
      <c r="S89">
        <f t="shared" si="25"/>
        <v>0</v>
      </c>
      <c r="U89">
        <v>1961</v>
      </c>
      <c r="V89">
        <v>39.159999999999997</v>
      </c>
      <c r="X89" s="17">
        <f t="shared" si="26"/>
        <v>3.7282941777323803E-2</v>
      </c>
      <c r="Y89" s="17">
        <f t="shared" si="27"/>
        <v>0.12104187946884577</v>
      </c>
      <c r="Z89" s="17">
        <f t="shared" si="28"/>
        <v>0.13840653728294178</v>
      </c>
      <c r="AA89" s="17">
        <f t="shared" si="29"/>
        <v>0.32737487231869006</v>
      </c>
      <c r="AB89" s="17">
        <f t="shared" si="30"/>
        <v>0.32124616956077634</v>
      </c>
      <c r="AC89" s="17">
        <f t="shared" si="31"/>
        <v>4.8518896833503578E-2</v>
      </c>
      <c r="AD89" s="17">
        <f t="shared" si="32"/>
        <v>0</v>
      </c>
      <c r="AE89" s="17">
        <f t="shared" si="33"/>
        <v>0</v>
      </c>
      <c r="AF89" s="17">
        <f t="shared" si="34"/>
        <v>0</v>
      </c>
      <c r="AG89" s="17">
        <f t="shared" si="35"/>
        <v>0</v>
      </c>
      <c r="AH89" s="17">
        <f t="shared" si="36"/>
        <v>0</v>
      </c>
      <c r="AI89" s="17">
        <f t="shared" si="37"/>
        <v>0</v>
      </c>
      <c r="AJ89" s="17">
        <f t="shared" si="38"/>
        <v>0</v>
      </c>
      <c r="AK89" s="17">
        <f t="shared" si="39"/>
        <v>0.36976506639427992</v>
      </c>
      <c r="AL89" s="17">
        <f t="shared" si="40"/>
        <v>0</v>
      </c>
      <c r="AM89" s="17">
        <f t="shared" si="41"/>
        <v>0</v>
      </c>
      <c r="AN89" s="17">
        <f t="shared" si="42"/>
        <v>0</v>
      </c>
      <c r="AP89" s="7" t="s">
        <v>16</v>
      </c>
      <c r="AQ89" s="7" t="s">
        <v>17</v>
      </c>
    </row>
    <row r="90" spans="1:43" ht="18.75" x14ac:dyDescent="0.3">
      <c r="A90">
        <v>1962</v>
      </c>
      <c r="B90">
        <v>0</v>
      </c>
      <c r="C90">
        <v>1.41</v>
      </c>
      <c r="D90">
        <v>2.91</v>
      </c>
      <c r="E90">
        <v>6.6</v>
      </c>
      <c r="F90">
        <v>11.34</v>
      </c>
      <c r="G90" s="13">
        <v>10.16</v>
      </c>
      <c r="H90" s="13">
        <v>3.71</v>
      </c>
      <c r="I90" s="14">
        <v>0</v>
      </c>
      <c r="J90" s="14">
        <v>5.67</v>
      </c>
      <c r="K90" s="14">
        <v>0</v>
      </c>
      <c r="L90" s="15">
        <v>0</v>
      </c>
      <c r="M90" s="15">
        <v>0</v>
      </c>
      <c r="N90" s="15">
        <v>0</v>
      </c>
      <c r="O90" s="15">
        <v>0</v>
      </c>
      <c r="P90">
        <f t="shared" si="22"/>
        <v>13.870000000000001</v>
      </c>
      <c r="Q90">
        <f t="shared" si="23"/>
        <v>5.67</v>
      </c>
      <c r="R90">
        <f t="shared" si="24"/>
        <v>0</v>
      </c>
      <c r="S90">
        <f t="shared" si="25"/>
        <v>5.67</v>
      </c>
      <c r="U90">
        <v>1962</v>
      </c>
      <c r="V90">
        <v>42.1</v>
      </c>
      <c r="X90" s="17">
        <f t="shared" si="26"/>
        <v>3.34916864608076E-2</v>
      </c>
      <c r="Y90" s="17">
        <f t="shared" si="27"/>
        <v>6.9121140142517815E-2</v>
      </c>
      <c r="Z90" s="17">
        <f t="shared" si="28"/>
        <v>0.15676959619952494</v>
      </c>
      <c r="AA90" s="17">
        <f t="shared" si="29"/>
        <v>0.26935866983372919</v>
      </c>
      <c r="AB90" s="17">
        <f t="shared" si="30"/>
        <v>0.24133016627078385</v>
      </c>
      <c r="AC90" s="17">
        <f t="shared" si="31"/>
        <v>8.8123515439429922E-2</v>
      </c>
      <c r="AD90" s="17">
        <f t="shared" si="32"/>
        <v>0</v>
      </c>
      <c r="AE90" s="17">
        <f t="shared" si="33"/>
        <v>0.1346793349168646</v>
      </c>
      <c r="AF90" s="17">
        <f t="shared" si="34"/>
        <v>0</v>
      </c>
      <c r="AG90" s="17">
        <f t="shared" si="35"/>
        <v>0</v>
      </c>
      <c r="AH90" s="17">
        <f t="shared" si="36"/>
        <v>0</v>
      </c>
      <c r="AI90" s="17">
        <f t="shared" si="37"/>
        <v>0</v>
      </c>
      <c r="AJ90" s="17">
        <f t="shared" si="38"/>
        <v>0</v>
      </c>
      <c r="AK90" s="17">
        <f t="shared" si="39"/>
        <v>0.32945368171021377</v>
      </c>
      <c r="AL90" s="17">
        <f t="shared" si="40"/>
        <v>0.1346793349168646</v>
      </c>
      <c r="AM90" s="17">
        <f t="shared" si="41"/>
        <v>0</v>
      </c>
      <c r="AN90" s="17">
        <f t="shared" si="42"/>
        <v>0.1346793349168646</v>
      </c>
      <c r="AP90" s="7" t="s">
        <v>0</v>
      </c>
      <c r="AQ90" s="7" t="s">
        <v>18</v>
      </c>
    </row>
    <row r="91" spans="1:43" ht="18.75" x14ac:dyDescent="0.3">
      <c r="A91">
        <v>1963</v>
      </c>
      <c r="B91">
        <v>0</v>
      </c>
      <c r="C91">
        <v>1.76</v>
      </c>
      <c r="D91">
        <v>2.59</v>
      </c>
      <c r="E91">
        <v>5.29</v>
      </c>
      <c r="F91">
        <v>9.2599999999999891</v>
      </c>
      <c r="G91" s="13">
        <v>8.5399999999999991</v>
      </c>
      <c r="H91" s="13">
        <v>4.8600000000000003</v>
      </c>
      <c r="I91" s="14">
        <v>0</v>
      </c>
      <c r="J91" s="14">
        <v>0</v>
      </c>
      <c r="K91" s="14">
        <v>0</v>
      </c>
      <c r="L91" s="15">
        <v>0</v>
      </c>
      <c r="M91" s="15">
        <v>0</v>
      </c>
      <c r="N91" s="15">
        <v>0</v>
      </c>
      <c r="O91" s="15">
        <v>0</v>
      </c>
      <c r="P91">
        <f t="shared" si="22"/>
        <v>13.399999999999999</v>
      </c>
      <c r="Q91">
        <f t="shared" si="23"/>
        <v>0</v>
      </c>
      <c r="R91">
        <f t="shared" si="24"/>
        <v>0</v>
      </c>
      <c r="S91">
        <f t="shared" si="25"/>
        <v>0</v>
      </c>
      <c r="U91">
        <v>1963</v>
      </c>
      <c r="V91">
        <v>32.56</v>
      </c>
      <c r="X91" s="17">
        <f t="shared" si="26"/>
        <v>5.405405405405405E-2</v>
      </c>
      <c r="Y91" s="17">
        <f t="shared" si="27"/>
        <v>7.954545454545453E-2</v>
      </c>
      <c r="Z91" s="17">
        <f t="shared" si="28"/>
        <v>0.16246928746928746</v>
      </c>
      <c r="AA91" s="17">
        <f t="shared" si="29"/>
        <v>0.28439803439803407</v>
      </c>
      <c r="AB91" s="17">
        <f t="shared" si="30"/>
        <v>0.26228501228501222</v>
      </c>
      <c r="AC91" s="17">
        <f t="shared" si="31"/>
        <v>0.14926289926289926</v>
      </c>
      <c r="AD91" s="17">
        <f t="shared" si="32"/>
        <v>0</v>
      </c>
      <c r="AE91" s="17">
        <f t="shared" si="33"/>
        <v>0</v>
      </c>
      <c r="AF91" s="17">
        <f t="shared" si="34"/>
        <v>0</v>
      </c>
      <c r="AG91" s="17">
        <f t="shared" si="35"/>
        <v>0</v>
      </c>
      <c r="AH91" s="17">
        <f t="shared" si="36"/>
        <v>0</v>
      </c>
      <c r="AI91" s="17">
        <f t="shared" si="37"/>
        <v>0</v>
      </c>
      <c r="AJ91" s="17">
        <f t="shared" si="38"/>
        <v>0</v>
      </c>
      <c r="AK91" s="17">
        <f t="shared" si="39"/>
        <v>0.41154791154791148</v>
      </c>
      <c r="AL91" s="17">
        <f t="shared" si="40"/>
        <v>0</v>
      </c>
      <c r="AM91" s="17">
        <f t="shared" si="41"/>
        <v>0</v>
      </c>
      <c r="AN91" s="17">
        <f t="shared" si="42"/>
        <v>0</v>
      </c>
      <c r="AP91" s="7" t="s">
        <v>1</v>
      </c>
      <c r="AQ91" s="7" t="s">
        <v>19</v>
      </c>
    </row>
    <row r="92" spans="1:43" ht="18.75" x14ac:dyDescent="0.3">
      <c r="A92">
        <v>1964</v>
      </c>
      <c r="B92">
        <v>0</v>
      </c>
      <c r="C92">
        <v>1.51</v>
      </c>
      <c r="D92">
        <v>3.4</v>
      </c>
      <c r="E92">
        <v>6.4599999999999902</v>
      </c>
      <c r="F92">
        <v>10.819999999999901</v>
      </c>
      <c r="G92" s="13">
        <v>9.4700000000000006</v>
      </c>
      <c r="H92" s="13">
        <v>3.8</v>
      </c>
      <c r="I92" s="14">
        <v>0</v>
      </c>
      <c r="J92" s="14">
        <v>0</v>
      </c>
      <c r="K92" s="14">
        <v>0</v>
      </c>
      <c r="L92" s="15">
        <v>0</v>
      </c>
      <c r="M92" s="15">
        <v>0</v>
      </c>
      <c r="N92" s="15">
        <v>0</v>
      </c>
      <c r="O92" s="15">
        <v>0</v>
      </c>
      <c r="P92">
        <f t="shared" si="22"/>
        <v>13.27</v>
      </c>
      <c r="Q92">
        <f t="shared" si="23"/>
        <v>0</v>
      </c>
      <c r="R92">
        <f t="shared" si="24"/>
        <v>0</v>
      </c>
      <c r="S92">
        <f t="shared" si="25"/>
        <v>0</v>
      </c>
      <c r="U92">
        <v>1964</v>
      </c>
      <c r="V92">
        <v>35.69</v>
      </c>
      <c r="X92" s="17">
        <f t="shared" si="26"/>
        <v>4.2308769963575237E-2</v>
      </c>
      <c r="Y92" s="17">
        <f t="shared" si="27"/>
        <v>9.5264780050434303E-2</v>
      </c>
      <c r="Z92" s="17">
        <f t="shared" si="28"/>
        <v>0.18100308209582489</v>
      </c>
      <c r="AA92" s="17">
        <f t="shared" si="29"/>
        <v>0.30316615298402638</v>
      </c>
      <c r="AB92" s="17">
        <f t="shared" si="30"/>
        <v>0.26534043149341557</v>
      </c>
      <c r="AC92" s="17">
        <f t="shared" si="31"/>
        <v>0.10647240123283833</v>
      </c>
      <c r="AD92" s="17">
        <f t="shared" si="32"/>
        <v>0</v>
      </c>
      <c r="AE92" s="17">
        <f t="shared" si="33"/>
        <v>0</v>
      </c>
      <c r="AF92" s="17">
        <f t="shared" si="34"/>
        <v>0</v>
      </c>
      <c r="AG92" s="17">
        <f t="shared" si="35"/>
        <v>0</v>
      </c>
      <c r="AH92" s="17">
        <f t="shared" si="36"/>
        <v>0</v>
      </c>
      <c r="AI92" s="17">
        <f t="shared" si="37"/>
        <v>0</v>
      </c>
      <c r="AJ92" s="17">
        <f t="shared" si="38"/>
        <v>0</v>
      </c>
      <c r="AK92" s="17">
        <f t="shared" si="39"/>
        <v>0.37181283272625387</v>
      </c>
      <c r="AL92" s="17">
        <f t="shared" si="40"/>
        <v>0</v>
      </c>
      <c r="AM92" s="17">
        <f t="shared" si="41"/>
        <v>0</v>
      </c>
      <c r="AN92" s="17">
        <f t="shared" si="42"/>
        <v>0</v>
      </c>
      <c r="AP92" s="7" t="s">
        <v>2</v>
      </c>
      <c r="AQ92" s="7" t="s">
        <v>20</v>
      </c>
    </row>
    <row r="93" spans="1:43" ht="18.75" x14ac:dyDescent="0.3">
      <c r="A93">
        <v>1965</v>
      </c>
      <c r="B93">
        <v>0</v>
      </c>
      <c r="C93">
        <v>1.39</v>
      </c>
      <c r="D93">
        <v>2.9099999999999899</v>
      </c>
      <c r="E93">
        <v>6.09</v>
      </c>
      <c r="F93">
        <v>11.299999999999899</v>
      </c>
      <c r="G93" s="13">
        <v>2.2799999999999998</v>
      </c>
      <c r="H93" s="13">
        <v>1.8</v>
      </c>
      <c r="I93" s="14">
        <v>4.0399999999999903</v>
      </c>
      <c r="J93" s="14">
        <v>0</v>
      </c>
      <c r="K93" s="14">
        <v>0</v>
      </c>
      <c r="L93" s="15">
        <v>0</v>
      </c>
      <c r="M93" s="15">
        <v>0</v>
      </c>
      <c r="N93" s="15">
        <v>0</v>
      </c>
      <c r="O93" s="15">
        <v>0</v>
      </c>
      <c r="P93">
        <f t="shared" si="22"/>
        <v>4.08</v>
      </c>
      <c r="Q93">
        <f t="shared" si="23"/>
        <v>4.0399999999999903</v>
      </c>
      <c r="R93">
        <f t="shared" si="24"/>
        <v>0</v>
      </c>
      <c r="S93">
        <f t="shared" si="25"/>
        <v>4.0399999999999903</v>
      </c>
      <c r="U93">
        <v>1965</v>
      </c>
      <c r="V93">
        <v>30.05</v>
      </c>
      <c r="X93" s="17">
        <f t="shared" si="26"/>
        <v>4.625623960066555E-2</v>
      </c>
      <c r="Y93" s="17">
        <f t="shared" si="27"/>
        <v>9.6838602329450574E-2</v>
      </c>
      <c r="Z93" s="17">
        <f t="shared" si="28"/>
        <v>0.20266222961730448</v>
      </c>
      <c r="AA93" s="17">
        <f t="shared" si="29"/>
        <v>0.37603993344425624</v>
      </c>
      <c r="AB93" s="17">
        <f t="shared" si="30"/>
        <v>7.5873544093178022E-2</v>
      </c>
      <c r="AC93" s="17">
        <f t="shared" si="31"/>
        <v>5.9900166389351084E-2</v>
      </c>
      <c r="AD93" s="17">
        <f t="shared" si="32"/>
        <v>0.13444259567387654</v>
      </c>
      <c r="AE93" s="17">
        <f t="shared" si="33"/>
        <v>0</v>
      </c>
      <c r="AF93" s="17">
        <f t="shared" si="34"/>
        <v>0</v>
      </c>
      <c r="AG93" s="17">
        <f t="shared" si="35"/>
        <v>0</v>
      </c>
      <c r="AH93" s="17">
        <f t="shared" si="36"/>
        <v>0</v>
      </c>
      <c r="AI93" s="17">
        <f t="shared" si="37"/>
        <v>0</v>
      </c>
      <c r="AJ93" s="17">
        <f t="shared" si="38"/>
        <v>0</v>
      </c>
      <c r="AK93" s="17">
        <f t="shared" si="39"/>
        <v>0.13577371048252912</v>
      </c>
      <c r="AL93" s="17">
        <f t="shared" si="40"/>
        <v>0.13444259567387654</v>
      </c>
      <c r="AM93" s="17">
        <f t="shared" si="41"/>
        <v>0</v>
      </c>
      <c r="AN93" s="17">
        <f t="shared" si="42"/>
        <v>0.13444259567387654</v>
      </c>
      <c r="AP93" s="7" t="s">
        <v>3</v>
      </c>
      <c r="AQ93" s="7" t="s">
        <v>21</v>
      </c>
    </row>
    <row r="94" spans="1:43" ht="18.75" x14ac:dyDescent="0.3">
      <c r="A94">
        <v>1966</v>
      </c>
      <c r="B94">
        <v>0</v>
      </c>
      <c r="C94">
        <v>1.67</v>
      </c>
      <c r="D94">
        <v>2.81</v>
      </c>
      <c r="E94">
        <v>9.68</v>
      </c>
      <c r="F94">
        <v>10.9599999999999</v>
      </c>
      <c r="G94" s="13">
        <v>6.99</v>
      </c>
      <c r="H94" s="13">
        <v>3.3</v>
      </c>
      <c r="I94" s="14">
        <v>2.39</v>
      </c>
      <c r="J94" s="14">
        <v>0</v>
      </c>
      <c r="K94" s="14">
        <v>0</v>
      </c>
      <c r="L94" s="15">
        <v>0</v>
      </c>
      <c r="M94" s="15">
        <v>0</v>
      </c>
      <c r="N94" s="15">
        <v>0</v>
      </c>
      <c r="O94" s="15">
        <v>0</v>
      </c>
      <c r="P94">
        <f t="shared" si="22"/>
        <v>10.29</v>
      </c>
      <c r="Q94">
        <f t="shared" si="23"/>
        <v>2.39</v>
      </c>
      <c r="R94">
        <f t="shared" si="24"/>
        <v>0</v>
      </c>
      <c r="S94">
        <f t="shared" si="25"/>
        <v>2.39</v>
      </c>
      <c r="U94">
        <v>1966</v>
      </c>
      <c r="V94">
        <v>38.049999999999997</v>
      </c>
      <c r="X94" s="17">
        <f t="shared" si="26"/>
        <v>4.3889618922470432E-2</v>
      </c>
      <c r="Y94" s="17">
        <f t="shared" si="27"/>
        <v>7.3850197109067026E-2</v>
      </c>
      <c r="Z94" s="17">
        <f t="shared" si="28"/>
        <v>0.25440210249671485</v>
      </c>
      <c r="AA94" s="17">
        <f t="shared" si="29"/>
        <v>0.28804204993429439</v>
      </c>
      <c r="AB94" s="17">
        <f t="shared" si="30"/>
        <v>0.18370565045992118</v>
      </c>
      <c r="AC94" s="17">
        <f t="shared" si="31"/>
        <v>8.6727989487516421E-2</v>
      </c>
      <c r="AD94" s="17">
        <f t="shared" si="32"/>
        <v>6.2812089356110393E-2</v>
      </c>
      <c r="AE94" s="17">
        <f t="shared" si="33"/>
        <v>0</v>
      </c>
      <c r="AF94" s="17">
        <f t="shared" si="34"/>
        <v>0</v>
      </c>
      <c r="AG94" s="17">
        <f t="shared" si="35"/>
        <v>0</v>
      </c>
      <c r="AH94" s="17">
        <f t="shared" si="36"/>
        <v>0</v>
      </c>
      <c r="AI94" s="17">
        <f t="shared" si="37"/>
        <v>0</v>
      </c>
      <c r="AJ94" s="17">
        <f t="shared" si="38"/>
        <v>0</v>
      </c>
      <c r="AK94" s="17">
        <f t="shared" si="39"/>
        <v>0.27043363994743758</v>
      </c>
      <c r="AL94" s="17">
        <f t="shared" si="40"/>
        <v>6.2812089356110393E-2</v>
      </c>
      <c r="AM94" s="17">
        <f t="shared" si="41"/>
        <v>0</v>
      </c>
      <c r="AN94" s="17">
        <f t="shared" si="42"/>
        <v>6.2812089356110393E-2</v>
      </c>
      <c r="AP94" s="7" t="s">
        <v>4</v>
      </c>
      <c r="AQ94" s="7" t="s">
        <v>22</v>
      </c>
    </row>
    <row r="95" spans="1:43" ht="18.75" x14ac:dyDescent="0.3">
      <c r="A95">
        <v>1967</v>
      </c>
      <c r="B95">
        <v>0</v>
      </c>
      <c r="C95">
        <v>2.09</v>
      </c>
      <c r="D95">
        <v>4.76</v>
      </c>
      <c r="E95">
        <v>5.65</v>
      </c>
      <c r="F95">
        <v>11.27</v>
      </c>
      <c r="G95" s="13">
        <v>3.63</v>
      </c>
      <c r="H95" s="13">
        <v>5.43</v>
      </c>
      <c r="I95" s="14">
        <v>2.19</v>
      </c>
      <c r="J95" s="14">
        <v>0</v>
      </c>
      <c r="K95" s="14">
        <v>0</v>
      </c>
      <c r="L95" s="15">
        <v>0</v>
      </c>
      <c r="M95" s="15">
        <v>0</v>
      </c>
      <c r="N95" s="15">
        <v>6.95</v>
      </c>
      <c r="O95" s="15">
        <v>0</v>
      </c>
      <c r="P95">
        <f t="shared" si="22"/>
        <v>9.0599999999999987</v>
      </c>
      <c r="Q95">
        <f t="shared" si="23"/>
        <v>2.19</v>
      </c>
      <c r="R95">
        <f t="shared" si="24"/>
        <v>6.95</v>
      </c>
      <c r="S95">
        <f t="shared" si="25"/>
        <v>9.14</v>
      </c>
      <c r="U95">
        <v>1967</v>
      </c>
      <c r="V95">
        <v>42.17</v>
      </c>
      <c r="X95" s="17">
        <f t="shared" si="26"/>
        <v>4.9561299502015647E-2</v>
      </c>
      <c r="Y95" s="17">
        <f t="shared" si="27"/>
        <v>0.11287645245435142</v>
      </c>
      <c r="Z95" s="17">
        <f t="shared" si="28"/>
        <v>0.13398150343846338</v>
      </c>
      <c r="AA95" s="17">
        <f t="shared" si="29"/>
        <v>0.26725160066397913</v>
      </c>
      <c r="AB95" s="17">
        <f t="shared" si="30"/>
        <v>8.6080151766658758E-2</v>
      </c>
      <c r="AC95" s="17">
        <f t="shared" si="31"/>
        <v>0.12876452454351434</v>
      </c>
      <c r="AD95" s="17">
        <f t="shared" si="32"/>
        <v>5.193265354517429E-2</v>
      </c>
      <c r="AE95" s="17">
        <f t="shared" si="33"/>
        <v>0</v>
      </c>
      <c r="AF95" s="17">
        <f t="shared" si="34"/>
        <v>0</v>
      </c>
      <c r="AG95" s="17">
        <f t="shared" si="35"/>
        <v>0</v>
      </c>
      <c r="AH95" s="17">
        <f t="shared" si="36"/>
        <v>0</v>
      </c>
      <c r="AI95" s="17">
        <f t="shared" si="37"/>
        <v>0.16480910599952572</v>
      </c>
      <c r="AJ95" s="17">
        <f t="shared" si="38"/>
        <v>0</v>
      </c>
      <c r="AK95" s="17">
        <f t="shared" si="39"/>
        <v>0.21484467631017307</v>
      </c>
      <c r="AL95" s="17">
        <f t="shared" si="40"/>
        <v>5.193265354517429E-2</v>
      </c>
      <c r="AM95" s="17">
        <f t="shared" si="41"/>
        <v>0.16480910599952572</v>
      </c>
      <c r="AN95" s="17">
        <f t="shared" si="42"/>
        <v>0.21674175954470004</v>
      </c>
      <c r="AP95" s="7" t="s">
        <v>23</v>
      </c>
      <c r="AQ95" s="7" t="s">
        <v>37</v>
      </c>
    </row>
    <row r="96" spans="1:43" ht="18.75" x14ac:dyDescent="0.3">
      <c r="A96">
        <v>1968</v>
      </c>
      <c r="B96">
        <v>0</v>
      </c>
      <c r="C96">
        <v>1.45</v>
      </c>
      <c r="D96">
        <v>2.4900000000000002</v>
      </c>
      <c r="E96">
        <v>6.54</v>
      </c>
      <c r="F96">
        <v>11.37</v>
      </c>
      <c r="G96" s="13">
        <v>4.07</v>
      </c>
      <c r="H96" s="13">
        <v>1.75</v>
      </c>
      <c r="I96" s="14">
        <v>2.21</v>
      </c>
      <c r="J96" s="14">
        <v>0</v>
      </c>
      <c r="K96" s="14">
        <v>3.65</v>
      </c>
      <c r="L96" s="15">
        <v>0</v>
      </c>
      <c r="M96" s="15">
        <v>0</v>
      </c>
      <c r="N96" s="15">
        <v>0</v>
      </c>
      <c r="O96" s="15">
        <v>0</v>
      </c>
      <c r="P96">
        <f t="shared" si="22"/>
        <v>5.82</v>
      </c>
      <c r="Q96">
        <f t="shared" si="23"/>
        <v>5.8599999999999994</v>
      </c>
      <c r="R96">
        <f t="shared" si="24"/>
        <v>0</v>
      </c>
      <c r="S96">
        <f t="shared" si="25"/>
        <v>5.8599999999999994</v>
      </c>
      <c r="U96">
        <v>1968</v>
      </c>
      <c r="V96">
        <v>33.75</v>
      </c>
      <c r="X96" s="17">
        <f t="shared" si="26"/>
        <v>4.296296296296296E-2</v>
      </c>
      <c r="Y96" s="17">
        <f t="shared" si="27"/>
        <v>7.3777777777777789E-2</v>
      </c>
      <c r="Z96" s="17">
        <f t="shared" si="28"/>
        <v>0.19377777777777777</v>
      </c>
      <c r="AA96" s="17">
        <f t="shared" si="29"/>
        <v>0.33688888888888885</v>
      </c>
      <c r="AB96" s="17">
        <f t="shared" si="30"/>
        <v>0.1205925925925926</v>
      </c>
      <c r="AC96" s="17">
        <f t="shared" si="31"/>
        <v>5.185185185185185E-2</v>
      </c>
      <c r="AD96" s="17">
        <f t="shared" si="32"/>
        <v>6.5481481481481474E-2</v>
      </c>
      <c r="AE96" s="17">
        <f t="shared" si="33"/>
        <v>0</v>
      </c>
      <c r="AF96" s="17">
        <f t="shared" si="34"/>
        <v>0.10814814814814815</v>
      </c>
      <c r="AG96" s="17">
        <f t="shared" si="35"/>
        <v>0</v>
      </c>
      <c r="AH96" s="17">
        <f t="shared" si="36"/>
        <v>0</v>
      </c>
      <c r="AI96" s="17">
        <f t="shared" si="37"/>
        <v>0</v>
      </c>
      <c r="AJ96" s="17">
        <f t="shared" si="38"/>
        <v>0</v>
      </c>
      <c r="AK96" s="17">
        <f t="shared" si="39"/>
        <v>0.17244444444444446</v>
      </c>
      <c r="AL96" s="17">
        <f t="shared" si="40"/>
        <v>0.17362962962962961</v>
      </c>
      <c r="AM96" s="17">
        <f t="shared" si="41"/>
        <v>0</v>
      </c>
      <c r="AN96" s="17">
        <f t="shared" si="42"/>
        <v>0.17362962962962961</v>
      </c>
      <c r="AP96" s="7" t="s">
        <v>25</v>
      </c>
      <c r="AQ96" s="7" t="s">
        <v>38</v>
      </c>
    </row>
    <row r="97" spans="1:40" x14ac:dyDescent="0.25">
      <c r="A97">
        <v>1969</v>
      </c>
      <c r="B97">
        <v>0</v>
      </c>
      <c r="C97">
        <v>0.95</v>
      </c>
      <c r="D97">
        <v>3.76</v>
      </c>
      <c r="E97">
        <v>7.7699999999999898</v>
      </c>
      <c r="F97">
        <v>12.07</v>
      </c>
      <c r="G97" s="13">
        <v>8.9700000000000006</v>
      </c>
      <c r="H97" s="13">
        <v>3.5599999999999898</v>
      </c>
      <c r="I97" s="14">
        <v>0</v>
      </c>
      <c r="J97" s="14">
        <v>0</v>
      </c>
      <c r="K97" s="14">
        <v>0</v>
      </c>
      <c r="L97" s="15">
        <v>0</v>
      </c>
      <c r="M97" s="15">
        <v>0</v>
      </c>
      <c r="N97" s="15">
        <v>6.62</v>
      </c>
      <c r="O97" s="15">
        <v>0</v>
      </c>
      <c r="P97">
        <f t="shared" si="22"/>
        <v>12.52999999999999</v>
      </c>
      <c r="Q97">
        <f t="shared" si="23"/>
        <v>0</v>
      </c>
      <c r="R97">
        <f t="shared" si="24"/>
        <v>6.62</v>
      </c>
      <c r="S97">
        <f t="shared" si="25"/>
        <v>6.62</v>
      </c>
      <c r="U97">
        <v>1969</v>
      </c>
      <c r="V97">
        <v>43.96</v>
      </c>
      <c r="X97" s="17">
        <f t="shared" si="26"/>
        <v>2.1610555050045496E-2</v>
      </c>
      <c r="Y97" s="17">
        <f t="shared" si="27"/>
        <v>8.5532302092811638E-2</v>
      </c>
      <c r="Z97" s="17">
        <f t="shared" si="28"/>
        <v>0.17675159235668766</v>
      </c>
      <c r="AA97" s="17">
        <f t="shared" si="29"/>
        <v>0.27456778889899908</v>
      </c>
      <c r="AB97" s="17">
        <f t="shared" si="30"/>
        <v>0.204049135577798</v>
      </c>
      <c r="AC97" s="17">
        <f t="shared" si="31"/>
        <v>8.0982711555959735E-2</v>
      </c>
      <c r="AD97" s="17">
        <f t="shared" si="32"/>
        <v>0</v>
      </c>
      <c r="AE97" s="17">
        <f t="shared" si="33"/>
        <v>0</v>
      </c>
      <c r="AF97" s="17">
        <f t="shared" si="34"/>
        <v>0</v>
      </c>
      <c r="AG97" s="17">
        <f t="shared" si="35"/>
        <v>0</v>
      </c>
      <c r="AH97" s="17">
        <f t="shared" si="36"/>
        <v>0</v>
      </c>
      <c r="AI97" s="17">
        <f t="shared" si="37"/>
        <v>0.15059144676979072</v>
      </c>
      <c r="AJ97" s="17">
        <f t="shared" si="38"/>
        <v>0</v>
      </c>
      <c r="AK97" s="17">
        <f t="shared" si="39"/>
        <v>0.28503184713375773</v>
      </c>
      <c r="AL97" s="17">
        <f t="shared" si="40"/>
        <v>0</v>
      </c>
      <c r="AM97" s="17">
        <f t="shared" si="41"/>
        <v>0.15059144676979072</v>
      </c>
      <c r="AN97" s="17">
        <f t="shared" si="42"/>
        <v>0.15059144676979072</v>
      </c>
    </row>
    <row r="98" spans="1:40" x14ac:dyDescent="0.25">
      <c r="A98">
        <v>1970</v>
      </c>
      <c r="B98">
        <v>0</v>
      </c>
      <c r="C98">
        <v>1.47</v>
      </c>
      <c r="D98">
        <v>2.82</v>
      </c>
      <c r="E98">
        <v>10.43</v>
      </c>
      <c r="F98">
        <v>13.7699999999999</v>
      </c>
      <c r="G98" s="13">
        <v>4.93</v>
      </c>
      <c r="H98" s="13">
        <v>1.8</v>
      </c>
      <c r="I98" s="14">
        <v>0</v>
      </c>
      <c r="J98" s="14">
        <v>0</v>
      </c>
      <c r="K98" s="14">
        <v>0</v>
      </c>
      <c r="L98" s="15">
        <v>0</v>
      </c>
      <c r="M98" s="15">
        <v>0</v>
      </c>
      <c r="N98" s="15">
        <v>0</v>
      </c>
      <c r="O98" s="15">
        <v>0</v>
      </c>
      <c r="P98">
        <f t="shared" si="22"/>
        <v>6.7299999999999995</v>
      </c>
      <c r="Q98">
        <f t="shared" si="23"/>
        <v>0</v>
      </c>
      <c r="R98">
        <f t="shared" si="24"/>
        <v>0</v>
      </c>
      <c r="S98">
        <f t="shared" si="25"/>
        <v>0</v>
      </c>
      <c r="U98">
        <v>1970</v>
      </c>
      <c r="V98">
        <v>35.47</v>
      </c>
      <c r="X98" s="17">
        <f t="shared" si="26"/>
        <v>4.144347335776713E-2</v>
      </c>
      <c r="Y98" s="17">
        <f t="shared" si="27"/>
        <v>7.9503806033267552E-2</v>
      </c>
      <c r="Z98" s="17">
        <f t="shared" si="28"/>
        <v>0.29405131096701437</v>
      </c>
      <c r="AA98" s="17">
        <f t="shared" si="29"/>
        <v>0.38821539329010152</v>
      </c>
      <c r="AB98" s="17">
        <f t="shared" si="30"/>
        <v>0.13899069636312375</v>
      </c>
      <c r="AC98" s="17">
        <f t="shared" si="31"/>
        <v>5.0747110234000567E-2</v>
      </c>
      <c r="AD98" s="17">
        <f t="shared" si="32"/>
        <v>0</v>
      </c>
      <c r="AE98" s="17">
        <f t="shared" si="33"/>
        <v>0</v>
      </c>
      <c r="AF98" s="17">
        <f t="shared" si="34"/>
        <v>0</v>
      </c>
      <c r="AG98" s="17">
        <f t="shared" si="35"/>
        <v>0</v>
      </c>
      <c r="AH98" s="17">
        <f t="shared" si="36"/>
        <v>0</v>
      </c>
      <c r="AI98" s="17">
        <f t="shared" si="37"/>
        <v>0</v>
      </c>
      <c r="AJ98" s="17">
        <f t="shared" si="38"/>
        <v>0</v>
      </c>
      <c r="AK98" s="17">
        <f t="shared" si="39"/>
        <v>0.18973780659712433</v>
      </c>
      <c r="AL98" s="17">
        <f t="shared" si="40"/>
        <v>0</v>
      </c>
      <c r="AM98" s="17">
        <f t="shared" si="41"/>
        <v>0</v>
      </c>
      <c r="AN98" s="17">
        <f t="shared" si="42"/>
        <v>0</v>
      </c>
    </row>
    <row r="99" spans="1:40" x14ac:dyDescent="0.25">
      <c r="A99">
        <v>1971</v>
      </c>
      <c r="B99">
        <v>0</v>
      </c>
      <c r="C99">
        <v>1.68</v>
      </c>
      <c r="D99">
        <v>4.55</v>
      </c>
      <c r="E99">
        <v>2.57</v>
      </c>
      <c r="F99">
        <v>8</v>
      </c>
      <c r="G99" s="13">
        <v>10.15</v>
      </c>
      <c r="H99" s="13">
        <v>3.71</v>
      </c>
      <c r="I99" s="14">
        <v>4.5</v>
      </c>
      <c r="J99" s="14">
        <v>5.4399999999999897</v>
      </c>
      <c r="K99" s="14">
        <v>3.02</v>
      </c>
      <c r="L99" s="15">
        <v>0</v>
      </c>
      <c r="M99" s="15">
        <v>0</v>
      </c>
      <c r="N99" s="15">
        <v>0</v>
      </c>
      <c r="O99" s="15">
        <v>0</v>
      </c>
      <c r="P99">
        <f t="shared" si="22"/>
        <v>13.86</v>
      </c>
      <c r="Q99">
        <f t="shared" si="23"/>
        <v>12.95999999999999</v>
      </c>
      <c r="R99">
        <f t="shared" si="24"/>
        <v>0</v>
      </c>
      <c r="S99">
        <f t="shared" si="25"/>
        <v>12.95999999999999</v>
      </c>
      <c r="U99">
        <v>1971</v>
      </c>
      <c r="V99">
        <v>43.92</v>
      </c>
      <c r="X99" s="17">
        <f t="shared" si="26"/>
        <v>3.8251366120218573E-2</v>
      </c>
      <c r="Y99" s="17">
        <f t="shared" si="27"/>
        <v>0.1035974499089253</v>
      </c>
      <c r="Z99" s="17">
        <f t="shared" si="28"/>
        <v>5.8515482695810556E-2</v>
      </c>
      <c r="AA99" s="17">
        <f t="shared" si="29"/>
        <v>0.18214936247723132</v>
      </c>
      <c r="AB99" s="17">
        <f t="shared" si="30"/>
        <v>0.23110200364298725</v>
      </c>
      <c r="AC99" s="17">
        <f t="shared" si="31"/>
        <v>8.4471766848816021E-2</v>
      </c>
      <c r="AD99" s="17">
        <f t="shared" si="32"/>
        <v>0.10245901639344263</v>
      </c>
      <c r="AE99" s="17">
        <f t="shared" si="33"/>
        <v>0.12386156648451707</v>
      </c>
      <c r="AF99" s="17">
        <f t="shared" si="34"/>
        <v>6.8761384335154829E-2</v>
      </c>
      <c r="AG99" s="17">
        <f t="shared" si="35"/>
        <v>0</v>
      </c>
      <c r="AH99" s="17">
        <f t="shared" si="36"/>
        <v>0</v>
      </c>
      <c r="AI99" s="17">
        <f t="shared" si="37"/>
        <v>0</v>
      </c>
      <c r="AJ99" s="17">
        <f t="shared" si="38"/>
        <v>0</v>
      </c>
      <c r="AK99" s="17">
        <f t="shared" si="39"/>
        <v>0.31557377049180324</v>
      </c>
      <c r="AL99" s="17">
        <f t="shared" si="40"/>
        <v>0.29508196721311453</v>
      </c>
      <c r="AM99" s="17">
        <f t="shared" si="41"/>
        <v>0</v>
      </c>
      <c r="AN99" s="17">
        <f t="shared" si="42"/>
        <v>0.29508196721311453</v>
      </c>
    </row>
    <row r="100" spans="1:40" x14ac:dyDescent="0.25">
      <c r="A100">
        <v>1972</v>
      </c>
      <c r="B100">
        <v>0</v>
      </c>
      <c r="C100">
        <v>1.85</v>
      </c>
      <c r="D100">
        <v>3.77</v>
      </c>
      <c r="E100">
        <v>4.38</v>
      </c>
      <c r="F100">
        <v>20.619999999999902</v>
      </c>
      <c r="G100" s="13">
        <v>13.329999999999901</v>
      </c>
      <c r="H100" s="13">
        <v>5.35</v>
      </c>
      <c r="I100" s="14">
        <v>2.15</v>
      </c>
      <c r="J100" s="14">
        <v>0</v>
      </c>
      <c r="K100" s="14">
        <v>0</v>
      </c>
      <c r="L100" s="15">
        <v>0</v>
      </c>
      <c r="M100" s="15">
        <v>0</v>
      </c>
      <c r="N100" s="15">
        <v>0</v>
      </c>
      <c r="O100" s="15">
        <v>0</v>
      </c>
      <c r="P100">
        <f t="shared" si="22"/>
        <v>18.6799999999999</v>
      </c>
      <c r="Q100">
        <f t="shared" si="23"/>
        <v>2.15</v>
      </c>
      <c r="R100">
        <f t="shared" si="24"/>
        <v>0</v>
      </c>
      <c r="S100">
        <f t="shared" si="25"/>
        <v>2.15</v>
      </c>
      <c r="U100">
        <v>1972</v>
      </c>
      <c r="V100">
        <v>51.68</v>
      </c>
      <c r="X100" s="17">
        <f t="shared" si="26"/>
        <v>3.5797213622291026E-2</v>
      </c>
      <c r="Y100" s="17">
        <f t="shared" si="27"/>
        <v>7.2948916408668726E-2</v>
      </c>
      <c r="Z100" s="17">
        <f t="shared" si="28"/>
        <v>8.4752321981424142E-2</v>
      </c>
      <c r="AA100" s="17">
        <f t="shared" si="29"/>
        <v>0.39899380804953372</v>
      </c>
      <c r="AB100" s="17">
        <f t="shared" si="30"/>
        <v>0.25793343653250583</v>
      </c>
      <c r="AC100" s="17">
        <f t="shared" si="31"/>
        <v>0.10352167182662537</v>
      </c>
      <c r="AD100" s="17">
        <f t="shared" si="32"/>
        <v>4.160216718266254E-2</v>
      </c>
      <c r="AE100" s="17">
        <f t="shared" si="33"/>
        <v>0</v>
      </c>
      <c r="AF100" s="17">
        <f t="shared" si="34"/>
        <v>0</v>
      </c>
      <c r="AG100" s="17">
        <f t="shared" si="35"/>
        <v>0</v>
      </c>
      <c r="AH100" s="17">
        <f t="shared" si="36"/>
        <v>0</v>
      </c>
      <c r="AI100" s="17">
        <f t="shared" si="37"/>
        <v>0</v>
      </c>
      <c r="AJ100" s="17">
        <f t="shared" si="38"/>
        <v>0</v>
      </c>
      <c r="AK100" s="17">
        <f t="shared" si="39"/>
        <v>0.36145510835913119</v>
      </c>
      <c r="AL100" s="17">
        <f t="shared" si="40"/>
        <v>4.160216718266254E-2</v>
      </c>
      <c r="AM100" s="17">
        <f t="shared" si="41"/>
        <v>0</v>
      </c>
      <c r="AN100" s="17">
        <f t="shared" si="42"/>
        <v>4.160216718266254E-2</v>
      </c>
    </row>
    <row r="101" spans="1:40" x14ac:dyDescent="0.25">
      <c r="A101">
        <v>1973</v>
      </c>
      <c r="B101">
        <v>0</v>
      </c>
      <c r="C101">
        <v>1.33</v>
      </c>
      <c r="D101">
        <v>3.85</v>
      </c>
      <c r="E101">
        <v>9</v>
      </c>
      <c r="F101">
        <v>10.79</v>
      </c>
      <c r="G101" s="13">
        <v>4.62</v>
      </c>
      <c r="H101" s="13">
        <v>3.79</v>
      </c>
      <c r="I101" s="14">
        <v>2.44</v>
      </c>
      <c r="J101" s="14">
        <v>2.7</v>
      </c>
      <c r="K101" s="14">
        <v>0</v>
      </c>
      <c r="L101" s="15">
        <v>0</v>
      </c>
      <c r="M101" s="15">
        <v>0</v>
      </c>
      <c r="N101" s="15">
        <v>0</v>
      </c>
      <c r="O101" s="15">
        <v>0</v>
      </c>
      <c r="P101">
        <f t="shared" si="22"/>
        <v>8.41</v>
      </c>
      <c r="Q101">
        <f t="shared" si="23"/>
        <v>5.1400000000000006</v>
      </c>
      <c r="R101">
        <f t="shared" si="24"/>
        <v>0</v>
      </c>
      <c r="S101">
        <f t="shared" si="25"/>
        <v>5.1400000000000006</v>
      </c>
      <c r="U101">
        <v>1973</v>
      </c>
      <c r="V101">
        <v>38.75</v>
      </c>
      <c r="X101" s="17">
        <f t="shared" si="26"/>
        <v>3.4322580645161291E-2</v>
      </c>
      <c r="Y101" s="17">
        <f t="shared" si="27"/>
        <v>9.9354838709677415E-2</v>
      </c>
      <c r="Z101" s="17">
        <f t="shared" si="28"/>
        <v>0.23225806451612904</v>
      </c>
      <c r="AA101" s="17">
        <f t="shared" si="29"/>
        <v>0.27845161290322579</v>
      </c>
      <c r="AB101" s="17">
        <f t="shared" si="30"/>
        <v>0.1192258064516129</v>
      </c>
      <c r="AC101" s="17">
        <f t="shared" si="31"/>
        <v>9.7806451612903231E-2</v>
      </c>
      <c r="AD101" s="17">
        <f t="shared" si="32"/>
        <v>6.2967741935483865E-2</v>
      </c>
      <c r="AE101" s="17">
        <f t="shared" si="33"/>
        <v>6.9677419354838718E-2</v>
      </c>
      <c r="AF101" s="17">
        <f t="shared" si="34"/>
        <v>0</v>
      </c>
      <c r="AG101" s="17">
        <f t="shared" si="35"/>
        <v>0</v>
      </c>
      <c r="AH101" s="17">
        <f t="shared" si="36"/>
        <v>0</v>
      </c>
      <c r="AI101" s="17">
        <f t="shared" si="37"/>
        <v>0</v>
      </c>
      <c r="AJ101" s="17">
        <f t="shared" si="38"/>
        <v>0</v>
      </c>
      <c r="AK101" s="17">
        <f t="shared" si="39"/>
        <v>0.21703225806451612</v>
      </c>
      <c r="AL101" s="17">
        <f t="shared" si="40"/>
        <v>0.13264516129032258</v>
      </c>
      <c r="AM101" s="17">
        <f t="shared" si="41"/>
        <v>0</v>
      </c>
      <c r="AN101" s="17">
        <f t="shared" si="42"/>
        <v>0.13264516129032258</v>
      </c>
    </row>
    <row r="102" spans="1:40" x14ac:dyDescent="0.25">
      <c r="A102">
        <v>1974</v>
      </c>
      <c r="B102">
        <v>0</v>
      </c>
      <c r="C102">
        <v>1.62</v>
      </c>
      <c r="D102">
        <v>5.4899999999999904</v>
      </c>
      <c r="E102">
        <v>5.35</v>
      </c>
      <c r="F102">
        <v>7.43</v>
      </c>
      <c r="G102" s="13">
        <v>7.3199999999999896</v>
      </c>
      <c r="H102" s="13">
        <v>3.3</v>
      </c>
      <c r="I102" s="14">
        <v>2.13</v>
      </c>
      <c r="J102" s="14">
        <v>0</v>
      </c>
      <c r="K102" s="14">
        <v>0</v>
      </c>
      <c r="L102" s="15">
        <v>0</v>
      </c>
      <c r="M102" s="15">
        <v>0</v>
      </c>
      <c r="N102" s="15">
        <v>0</v>
      </c>
      <c r="O102" s="15">
        <v>0</v>
      </c>
      <c r="P102">
        <f t="shared" si="22"/>
        <v>10.61999999999999</v>
      </c>
      <c r="Q102">
        <f t="shared" si="23"/>
        <v>2.13</v>
      </c>
      <c r="R102">
        <f t="shared" si="24"/>
        <v>0</v>
      </c>
      <c r="S102">
        <f t="shared" si="25"/>
        <v>2.13</v>
      </c>
      <c r="U102">
        <v>1974</v>
      </c>
      <c r="V102">
        <v>33</v>
      </c>
      <c r="X102" s="17">
        <f t="shared" si="26"/>
        <v>4.9090909090909095E-2</v>
      </c>
      <c r="Y102" s="17">
        <f t="shared" si="27"/>
        <v>0.16636363636363607</v>
      </c>
      <c r="Z102" s="17">
        <f t="shared" si="28"/>
        <v>0.16212121212121211</v>
      </c>
      <c r="AA102" s="17">
        <f t="shared" si="29"/>
        <v>0.22515151515151513</v>
      </c>
      <c r="AB102" s="17">
        <f t="shared" si="30"/>
        <v>0.2218181818181815</v>
      </c>
      <c r="AC102" s="17">
        <f t="shared" si="31"/>
        <v>9.9999999999999992E-2</v>
      </c>
      <c r="AD102" s="17">
        <f t="shared" si="32"/>
        <v>6.4545454545454545E-2</v>
      </c>
      <c r="AE102" s="17">
        <f t="shared" si="33"/>
        <v>0</v>
      </c>
      <c r="AF102" s="17">
        <f t="shared" si="34"/>
        <v>0</v>
      </c>
      <c r="AG102" s="17">
        <f t="shared" si="35"/>
        <v>0</v>
      </c>
      <c r="AH102" s="17">
        <f t="shared" si="36"/>
        <v>0</v>
      </c>
      <c r="AI102" s="17">
        <f t="shared" si="37"/>
        <v>0</v>
      </c>
      <c r="AJ102" s="17">
        <f t="shared" si="38"/>
        <v>0</v>
      </c>
      <c r="AK102" s="17">
        <f t="shared" si="39"/>
        <v>0.3218181818181815</v>
      </c>
      <c r="AL102" s="17">
        <f t="shared" si="40"/>
        <v>6.4545454545454545E-2</v>
      </c>
      <c r="AM102" s="17">
        <f t="shared" si="41"/>
        <v>0</v>
      </c>
      <c r="AN102" s="17">
        <f t="shared" si="42"/>
        <v>6.4545454545454545E-2</v>
      </c>
    </row>
    <row r="103" spans="1:40" x14ac:dyDescent="0.25">
      <c r="A103">
        <v>1975</v>
      </c>
      <c r="B103">
        <v>0</v>
      </c>
      <c r="C103">
        <v>2.0699999999999998</v>
      </c>
      <c r="D103">
        <v>3.61</v>
      </c>
      <c r="E103">
        <v>8.43</v>
      </c>
      <c r="F103">
        <v>15.76</v>
      </c>
      <c r="G103" s="13">
        <v>6.3799999999999901</v>
      </c>
      <c r="H103" s="13">
        <v>3.3899999999999899</v>
      </c>
      <c r="I103" s="14">
        <v>0</v>
      </c>
      <c r="J103" s="14">
        <v>0</v>
      </c>
      <c r="K103" s="14">
        <v>0</v>
      </c>
      <c r="L103" s="15">
        <v>0</v>
      </c>
      <c r="M103" s="15">
        <v>0</v>
      </c>
      <c r="N103" s="15">
        <v>0</v>
      </c>
      <c r="O103" s="15">
        <v>0</v>
      </c>
      <c r="P103">
        <f t="shared" si="22"/>
        <v>9.76999999999998</v>
      </c>
      <c r="Q103">
        <f t="shared" si="23"/>
        <v>0</v>
      </c>
      <c r="R103">
        <f t="shared" si="24"/>
        <v>0</v>
      </c>
      <c r="S103">
        <f t="shared" si="25"/>
        <v>0</v>
      </c>
      <c r="U103">
        <v>1975</v>
      </c>
      <c r="V103">
        <v>39.89</v>
      </c>
      <c r="X103" s="17">
        <f t="shared" si="26"/>
        <v>5.1892704938581093E-2</v>
      </c>
      <c r="Y103" s="17">
        <f t="shared" si="27"/>
        <v>9.0498871897718727E-2</v>
      </c>
      <c r="Z103" s="17">
        <f t="shared" si="28"/>
        <v>0.21133116069190272</v>
      </c>
      <c r="AA103" s="17">
        <f t="shared" si="29"/>
        <v>0.3950864878415643</v>
      </c>
      <c r="AB103" s="17">
        <f t="shared" si="30"/>
        <v>0.15993983454499849</v>
      </c>
      <c r="AC103" s="17">
        <f t="shared" si="31"/>
        <v>8.4983705189270245E-2</v>
      </c>
      <c r="AD103" s="17">
        <f t="shared" si="32"/>
        <v>0</v>
      </c>
      <c r="AE103" s="17">
        <f t="shared" si="33"/>
        <v>0</v>
      </c>
      <c r="AF103" s="17">
        <f t="shared" si="34"/>
        <v>0</v>
      </c>
      <c r="AG103" s="17">
        <f t="shared" si="35"/>
        <v>0</v>
      </c>
      <c r="AH103" s="17">
        <f t="shared" si="36"/>
        <v>0</v>
      </c>
      <c r="AI103" s="17">
        <f t="shared" si="37"/>
        <v>0</v>
      </c>
      <c r="AJ103" s="17">
        <f t="shared" si="38"/>
        <v>0</v>
      </c>
      <c r="AK103" s="17">
        <f t="shared" si="39"/>
        <v>0.24492353973426872</v>
      </c>
      <c r="AL103" s="17">
        <f t="shared" si="40"/>
        <v>0</v>
      </c>
      <c r="AM103" s="17">
        <f t="shared" si="41"/>
        <v>0</v>
      </c>
      <c r="AN103" s="17">
        <f t="shared" si="42"/>
        <v>0</v>
      </c>
    </row>
    <row r="104" spans="1:40" x14ac:dyDescent="0.25">
      <c r="A104">
        <v>1976</v>
      </c>
      <c r="B104">
        <v>0</v>
      </c>
      <c r="C104">
        <v>1.24</v>
      </c>
      <c r="D104">
        <v>4.1399999999999997</v>
      </c>
      <c r="E104">
        <v>7.75999999999999</v>
      </c>
      <c r="F104">
        <v>8.5</v>
      </c>
      <c r="G104" s="13">
        <v>3.78</v>
      </c>
      <c r="H104" s="13">
        <v>1.68</v>
      </c>
      <c r="I104" s="14">
        <v>0</v>
      </c>
      <c r="J104" s="14">
        <v>2.99</v>
      </c>
      <c r="K104" s="14">
        <v>0</v>
      </c>
      <c r="L104" s="15">
        <v>0</v>
      </c>
      <c r="M104" s="15">
        <v>0</v>
      </c>
      <c r="N104" s="15">
        <v>0</v>
      </c>
      <c r="O104" s="15">
        <v>0</v>
      </c>
      <c r="P104">
        <f t="shared" si="22"/>
        <v>5.46</v>
      </c>
      <c r="Q104">
        <f t="shared" si="23"/>
        <v>2.99</v>
      </c>
      <c r="R104">
        <f t="shared" si="24"/>
        <v>0</v>
      </c>
      <c r="S104">
        <f t="shared" si="25"/>
        <v>2.99</v>
      </c>
      <c r="U104">
        <v>1976</v>
      </c>
      <c r="V104">
        <v>30.29</v>
      </c>
      <c r="X104" s="17">
        <f t="shared" si="26"/>
        <v>4.0937603169362825E-2</v>
      </c>
      <c r="Y104" s="17">
        <f t="shared" si="27"/>
        <v>0.13667877187190491</v>
      </c>
      <c r="Z104" s="17">
        <f t="shared" si="28"/>
        <v>0.25619016176956061</v>
      </c>
      <c r="AA104" s="17">
        <f t="shared" si="29"/>
        <v>0.28062066688676129</v>
      </c>
      <c r="AB104" s="17">
        <f t="shared" si="30"/>
        <v>0.12479366127434796</v>
      </c>
      <c r="AC104" s="17">
        <f t="shared" si="31"/>
        <v>5.5463849455265765E-2</v>
      </c>
      <c r="AD104" s="17">
        <f t="shared" si="32"/>
        <v>0</v>
      </c>
      <c r="AE104" s="17">
        <f t="shared" si="33"/>
        <v>9.8712446351931341E-2</v>
      </c>
      <c r="AF104" s="17">
        <f t="shared" si="34"/>
        <v>0</v>
      </c>
      <c r="AG104" s="17">
        <f t="shared" si="35"/>
        <v>0</v>
      </c>
      <c r="AH104" s="17">
        <f t="shared" si="36"/>
        <v>0</v>
      </c>
      <c r="AI104" s="17">
        <f t="shared" si="37"/>
        <v>0</v>
      </c>
      <c r="AJ104" s="17">
        <f t="shared" si="38"/>
        <v>0</v>
      </c>
      <c r="AK104" s="17">
        <f t="shared" si="39"/>
        <v>0.18025751072961374</v>
      </c>
      <c r="AL104" s="17">
        <f t="shared" si="40"/>
        <v>9.8712446351931341E-2</v>
      </c>
      <c r="AM104" s="17">
        <f t="shared" si="41"/>
        <v>0</v>
      </c>
      <c r="AN104" s="17">
        <f t="shared" si="42"/>
        <v>9.8712446351931341E-2</v>
      </c>
    </row>
    <row r="105" spans="1:40" x14ac:dyDescent="0.25">
      <c r="A105">
        <v>1977</v>
      </c>
      <c r="B105">
        <v>0</v>
      </c>
      <c r="C105">
        <v>2.2000000000000002</v>
      </c>
      <c r="D105">
        <v>3.74</v>
      </c>
      <c r="E105">
        <v>7.5399999999999903</v>
      </c>
      <c r="F105">
        <v>9.01</v>
      </c>
      <c r="G105" s="13">
        <v>8.2099999999999902</v>
      </c>
      <c r="H105" s="13">
        <v>0</v>
      </c>
      <c r="I105" s="14">
        <v>0</v>
      </c>
      <c r="J105" s="14">
        <v>0</v>
      </c>
      <c r="K105" s="14">
        <v>3.66</v>
      </c>
      <c r="L105" s="15">
        <v>0</v>
      </c>
      <c r="M105" s="15">
        <v>0</v>
      </c>
      <c r="N105" s="15">
        <v>0</v>
      </c>
      <c r="O105" s="15">
        <v>0</v>
      </c>
      <c r="P105">
        <f t="shared" si="22"/>
        <v>8.2099999999999902</v>
      </c>
      <c r="Q105">
        <f t="shared" si="23"/>
        <v>3.66</v>
      </c>
      <c r="R105">
        <f t="shared" si="24"/>
        <v>0</v>
      </c>
      <c r="S105">
        <f t="shared" si="25"/>
        <v>3.66</v>
      </c>
      <c r="U105">
        <v>1977</v>
      </c>
      <c r="V105">
        <v>34.47</v>
      </c>
      <c r="X105" s="17">
        <f t="shared" si="26"/>
        <v>6.3823614737452863E-2</v>
      </c>
      <c r="Y105" s="17">
        <f t="shared" si="27"/>
        <v>0.10850014505366987</v>
      </c>
      <c r="Z105" s="17">
        <f t="shared" si="28"/>
        <v>0.21874093414563361</v>
      </c>
      <c r="AA105" s="17">
        <f t="shared" si="29"/>
        <v>0.26138671308384104</v>
      </c>
      <c r="AB105" s="17">
        <f t="shared" si="30"/>
        <v>0.23817812590658516</v>
      </c>
      <c r="AC105" s="17">
        <f t="shared" si="31"/>
        <v>0</v>
      </c>
      <c r="AD105" s="17">
        <f t="shared" si="32"/>
        <v>0</v>
      </c>
      <c r="AE105" s="17">
        <f t="shared" si="33"/>
        <v>0</v>
      </c>
      <c r="AF105" s="17">
        <f t="shared" si="34"/>
        <v>0.10617928633594431</v>
      </c>
      <c r="AG105" s="17">
        <f t="shared" si="35"/>
        <v>0</v>
      </c>
      <c r="AH105" s="17">
        <f t="shared" si="36"/>
        <v>0</v>
      </c>
      <c r="AI105" s="17">
        <f t="shared" si="37"/>
        <v>0</v>
      </c>
      <c r="AJ105" s="17">
        <f t="shared" si="38"/>
        <v>0</v>
      </c>
      <c r="AK105" s="17">
        <f t="shared" si="39"/>
        <v>0.23817812590658516</v>
      </c>
      <c r="AL105" s="17">
        <f t="shared" si="40"/>
        <v>0.10617928633594431</v>
      </c>
      <c r="AM105" s="17">
        <f t="shared" si="41"/>
        <v>0</v>
      </c>
      <c r="AN105" s="17">
        <f t="shared" si="42"/>
        <v>0.10617928633594431</v>
      </c>
    </row>
    <row r="106" spans="1:40" x14ac:dyDescent="0.25">
      <c r="A106">
        <v>1978</v>
      </c>
      <c r="B106">
        <v>0</v>
      </c>
      <c r="C106">
        <v>1.95</v>
      </c>
      <c r="D106">
        <v>4.24</v>
      </c>
      <c r="E106">
        <v>5.42</v>
      </c>
      <c r="F106">
        <v>12.77</v>
      </c>
      <c r="G106" s="13">
        <v>3.36</v>
      </c>
      <c r="H106" s="13">
        <v>3.31</v>
      </c>
      <c r="I106" s="14">
        <v>2.44</v>
      </c>
      <c r="J106" s="14">
        <v>0</v>
      </c>
      <c r="K106" s="14">
        <v>3.13</v>
      </c>
      <c r="L106" s="15">
        <v>0</v>
      </c>
      <c r="M106" s="15">
        <v>0</v>
      </c>
      <c r="N106" s="15">
        <v>0</v>
      </c>
      <c r="O106" s="15">
        <v>0</v>
      </c>
      <c r="P106">
        <f t="shared" si="22"/>
        <v>6.67</v>
      </c>
      <c r="Q106">
        <f t="shared" si="23"/>
        <v>5.57</v>
      </c>
      <c r="R106">
        <f t="shared" si="24"/>
        <v>0</v>
      </c>
      <c r="S106">
        <f t="shared" si="25"/>
        <v>5.57</v>
      </c>
      <c r="U106">
        <v>1978</v>
      </c>
      <c r="V106">
        <v>36.78</v>
      </c>
      <c r="X106" s="17">
        <f t="shared" si="26"/>
        <v>5.3017944535073407E-2</v>
      </c>
      <c r="Y106" s="17">
        <f t="shared" si="27"/>
        <v>0.11528004350190321</v>
      </c>
      <c r="Z106" s="17">
        <f t="shared" si="28"/>
        <v>0.1473626971179989</v>
      </c>
      <c r="AA106" s="17">
        <f t="shared" si="29"/>
        <v>0.34719956498096788</v>
      </c>
      <c r="AB106" s="17">
        <f t="shared" si="30"/>
        <v>9.1353996737357251E-2</v>
      </c>
      <c r="AC106" s="17">
        <f t="shared" si="31"/>
        <v>8.9994562262098968E-2</v>
      </c>
      <c r="AD106" s="17">
        <f t="shared" si="32"/>
        <v>6.6340402392604678E-2</v>
      </c>
      <c r="AE106" s="17">
        <f t="shared" si="33"/>
        <v>0</v>
      </c>
      <c r="AF106" s="17">
        <f t="shared" si="34"/>
        <v>8.5100598151169105E-2</v>
      </c>
      <c r="AG106" s="17">
        <f t="shared" si="35"/>
        <v>0</v>
      </c>
      <c r="AH106" s="17">
        <f t="shared" si="36"/>
        <v>0</v>
      </c>
      <c r="AI106" s="17">
        <f t="shared" si="37"/>
        <v>0</v>
      </c>
      <c r="AJ106" s="17">
        <f t="shared" si="38"/>
        <v>0</v>
      </c>
      <c r="AK106" s="17">
        <f t="shared" si="39"/>
        <v>0.18134855899945621</v>
      </c>
      <c r="AL106" s="17">
        <f t="shared" si="40"/>
        <v>0.1514410005437738</v>
      </c>
      <c r="AM106" s="17">
        <f t="shared" si="41"/>
        <v>0</v>
      </c>
      <c r="AN106" s="17">
        <f t="shared" si="42"/>
        <v>0.1514410005437738</v>
      </c>
    </row>
    <row r="107" spans="1:40" x14ac:dyDescent="0.25">
      <c r="A107">
        <v>1979</v>
      </c>
      <c r="B107">
        <v>0</v>
      </c>
      <c r="C107">
        <v>2.38</v>
      </c>
      <c r="D107">
        <v>3.05</v>
      </c>
      <c r="E107">
        <v>6.17</v>
      </c>
      <c r="F107">
        <v>14.42</v>
      </c>
      <c r="G107" s="13">
        <v>11.649999999999901</v>
      </c>
      <c r="H107" s="13">
        <v>3.26</v>
      </c>
      <c r="I107" s="14">
        <v>0</v>
      </c>
      <c r="J107" s="14">
        <v>5.27</v>
      </c>
      <c r="K107" s="14">
        <v>0</v>
      </c>
      <c r="L107" s="15">
        <v>0</v>
      </c>
      <c r="M107" s="15">
        <v>0</v>
      </c>
      <c r="N107" s="15">
        <v>0</v>
      </c>
      <c r="O107" s="15">
        <v>0</v>
      </c>
      <c r="P107">
        <f t="shared" si="22"/>
        <v>14.909999999999901</v>
      </c>
      <c r="Q107">
        <f t="shared" si="23"/>
        <v>5.27</v>
      </c>
      <c r="R107">
        <f t="shared" si="24"/>
        <v>0</v>
      </c>
      <c r="S107">
        <f t="shared" si="25"/>
        <v>5.27</v>
      </c>
      <c r="U107">
        <v>1979</v>
      </c>
      <c r="V107">
        <v>46.45</v>
      </c>
      <c r="X107" s="17">
        <f t="shared" si="26"/>
        <v>5.1237890204520985E-2</v>
      </c>
      <c r="Y107" s="17">
        <f t="shared" si="27"/>
        <v>6.5662002152852519E-2</v>
      </c>
      <c r="Z107" s="17">
        <f t="shared" si="28"/>
        <v>0.13283100107642626</v>
      </c>
      <c r="AA107" s="17">
        <f t="shared" si="29"/>
        <v>0.31044133476856833</v>
      </c>
      <c r="AB107" s="17">
        <f t="shared" si="30"/>
        <v>0.25080731969859849</v>
      </c>
      <c r="AC107" s="17">
        <f t="shared" si="31"/>
        <v>7.0182992465016136E-2</v>
      </c>
      <c r="AD107" s="17">
        <f t="shared" si="32"/>
        <v>0</v>
      </c>
      <c r="AE107" s="17">
        <f t="shared" si="33"/>
        <v>0.11345532831001075</v>
      </c>
      <c r="AF107" s="17">
        <f t="shared" si="34"/>
        <v>0</v>
      </c>
      <c r="AG107" s="17">
        <f t="shared" si="35"/>
        <v>0</v>
      </c>
      <c r="AH107" s="17">
        <f t="shared" si="36"/>
        <v>0</v>
      </c>
      <c r="AI107" s="17">
        <f t="shared" si="37"/>
        <v>0</v>
      </c>
      <c r="AJ107" s="17">
        <f t="shared" si="38"/>
        <v>0</v>
      </c>
      <c r="AK107" s="17">
        <f t="shared" si="39"/>
        <v>0.32099031216361462</v>
      </c>
      <c r="AL107" s="17">
        <f t="shared" si="40"/>
        <v>0.11345532831001075</v>
      </c>
      <c r="AM107" s="17">
        <f t="shared" si="41"/>
        <v>0</v>
      </c>
      <c r="AN107" s="17">
        <f t="shared" si="42"/>
        <v>0.11345532831001075</v>
      </c>
    </row>
    <row r="108" spans="1:40" x14ac:dyDescent="0.25">
      <c r="A108">
        <v>1980</v>
      </c>
      <c r="B108">
        <v>0</v>
      </c>
      <c r="C108">
        <v>1.54</v>
      </c>
      <c r="D108">
        <v>4.8099999999999996</v>
      </c>
      <c r="E108">
        <v>5.93</v>
      </c>
      <c r="F108">
        <v>13.57</v>
      </c>
      <c r="G108" s="13">
        <v>4.5</v>
      </c>
      <c r="H108" s="13">
        <v>1.77</v>
      </c>
      <c r="I108" s="14">
        <v>0</v>
      </c>
      <c r="J108" s="14">
        <v>0</v>
      </c>
      <c r="K108" s="14">
        <v>0</v>
      </c>
      <c r="L108" s="15">
        <v>0</v>
      </c>
      <c r="M108" s="15">
        <v>0</v>
      </c>
      <c r="N108" s="15">
        <v>0</v>
      </c>
      <c r="O108" s="15">
        <v>0</v>
      </c>
      <c r="P108">
        <f t="shared" si="22"/>
        <v>6.27</v>
      </c>
      <c r="Q108">
        <f t="shared" si="23"/>
        <v>0</v>
      </c>
      <c r="R108">
        <f t="shared" si="24"/>
        <v>0</v>
      </c>
      <c r="S108">
        <f t="shared" si="25"/>
        <v>0</v>
      </c>
      <c r="U108">
        <v>1980</v>
      </c>
      <c r="V108">
        <v>32.340000000000003</v>
      </c>
      <c r="X108" s="17">
        <f t="shared" si="26"/>
        <v>4.7619047619047616E-2</v>
      </c>
      <c r="Y108" s="17">
        <f t="shared" si="27"/>
        <v>0.14873222016079157</v>
      </c>
      <c r="Z108" s="17">
        <f t="shared" si="28"/>
        <v>0.1833642547928262</v>
      </c>
      <c r="AA108" s="17">
        <f t="shared" si="29"/>
        <v>0.41960420531849102</v>
      </c>
      <c r="AB108" s="17">
        <f t="shared" si="30"/>
        <v>0.13914656771799627</v>
      </c>
      <c r="AC108" s="17">
        <f t="shared" si="31"/>
        <v>5.473098330241187E-2</v>
      </c>
      <c r="AD108" s="17">
        <f t="shared" si="32"/>
        <v>0</v>
      </c>
      <c r="AE108" s="17">
        <f t="shared" si="33"/>
        <v>0</v>
      </c>
      <c r="AF108" s="17">
        <f t="shared" si="34"/>
        <v>0</v>
      </c>
      <c r="AG108" s="17">
        <f t="shared" si="35"/>
        <v>0</v>
      </c>
      <c r="AH108" s="17">
        <f t="shared" si="36"/>
        <v>0</v>
      </c>
      <c r="AI108" s="17">
        <f t="shared" si="37"/>
        <v>0</v>
      </c>
      <c r="AJ108" s="17">
        <f t="shared" si="38"/>
        <v>0</v>
      </c>
      <c r="AK108" s="17">
        <f t="shared" si="39"/>
        <v>0.19387755102040813</v>
      </c>
      <c r="AL108" s="17">
        <f t="shared" si="40"/>
        <v>0</v>
      </c>
      <c r="AM108" s="17">
        <f t="shared" si="41"/>
        <v>0</v>
      </c>
      <c r="AN108" s="17">
        <f t="shared" si="42"/>
        <v>0</v>
      </c>
    </row>
    <row r="109" spans="1:40" x14ac:dyDescent="0.25">
      <c r="A109">
        <v>1981</v>
      </c>
      <c r="B109">
        <v>0</v>
      </c>
      <c r="C109">
        <v>1.63</v>
      </c>
      <c r="D109">
        <v>3.86</v>
      </c>
      <c r="E109">
        <v>4.47</v>
      </c>
      <c r="F109">
        <v>13.9</v>
      </c>
      <c r="G109" s="13">
        <v>6.4799999999999898</v>
      </c>
      <c r="H109" s="13">
        <v>0</v>
      </c>
      <c r="I109" s="14">
        <v>0</v>
      </c>
      <c r="J109" s="14">
        <v>0</v>
      </c>
      <c r="K109" s="14">
        <v>0</v>
      </c>
      <c r="L109" s="15">
        <v>0</v>
      </c>
      <c r="M109" s="15">
        <v>0</v>
      </c>
      <c r="N109" s="15">
        <v>0</v>
      </c>
      <c r="O109" s="15">
        <v>0</v>
      </c>
      <c r="P109">
        <f t="shared" si="22"/>
        <v>6.4799999999999898</v>
      </c>
      <c r="Q109">
        <f t="shared" si="23"/>
        <v>0</v>
      </c>
      <c r="R109">
        <f t="shared" si="24"/>
        <v>0</v>
      </c>
      <c r="S109">
        <f t="shared" si="25"/>
        <v>0</v>
      </c>
      <c r="U109">
        <v>1981</v>
      </c>
      <c r="V109">
        <v>30.52</v>
      </c>
      <c r="X109" s="17">
        <f t="shared" si="26"/>
        <v>5.3407601572739181E-2</v>
      </c>
      <c r="Y109" s="17">
        <f t="shared" si="27"/>
        <v>0.12647444298820446</v>
      </c>
      <c r="Z109" s="17">
        <f t="shared" si="28"/>
        <v>0.14646133682830931</v>
      </c>
      <c r="AA109" s="17">
        <f t="shared" si="29"/>
        <v>0.45543905635648757</v>
      </c>
      <c r="AB109" s="17">
        <f t="shared" si="30"/>
        <v>0.21231979030144135</v>
      </c>
      <c r="AC109" s="17">
        <f t="shared" si="31"/>
        <v>0</v>
      </c>
      <c r="AD109" s="17">
        <f t="shared" si="32"/>
        <v>0</v>
      </c>
      <c r="AE109" s="17">
        <f t="shared" si="33"/>
        <v>0</v>
      </c>
      <c r="AF109" s="17">
        <f t="shared" si="34"/>
        <v>0</v>
      </c>
      <c r="AG109" s="17">
        <f t="shared" si="35"/>
        <v>0</v>
      </c>
      <c r="AH109" s="17">
        <f t="shared" si="36"/>
        <v>0</v>
      </c>
      <c r="AI109" s="17">
        <f t="shared" si="37"/>
        <v>0</v>
      </c>
      <c r="AJ109" s="17">
        <f t="shared" si="38"/>
        <v>0</v>
      </c>
      <c r="AK109" s="17">
        <f t="shared" si="39"/>
        <v>0.21231979030144135</v>
      </c>
      <c r="AL109" s="17">
        <f t="shared" si="40"/>
        <v>0</v>
      </c>
      <c r="AM109" s="17">
        <f t="shared" si="41"/>
        <v>0</v>
      </c>
      <c r="AN109" s="17">
        <f t="shared" si="42"/>
        <v>0</v>
      </c>
    </row>
    <row r="110" spans="1:40" x14ac:dyDescent="0.25">
      <c r="A110">
        <v>1982</v>
      </c>
      <c r="B110">
        <v>0</v>
      </c>
      <c r="C110">
        <v>1.3</v>
      </c>
      <c r="D110">
        <v>2.25</v>
      </c>
      <c r="E110">
        <v>9.3899999999999899</v>
      </c>
      <c r="F110">
        <v>11.309999999999899</v>
      </c>
      <c r="G110" s="13">
        <v>7.42</v>
      </c>
      <c r="H110" s="13">
        <v>0</v>
      </c>
      <c r="I110" s="14">
        <v>0</v>
      </c>
      <c r="J110" s="14">
        <v>0</v>
      </c>
      <c r="K110" s="14">
        <v>0</v>
      </c>
      <c r="L110" s="15">
        <v>0</v>
      </c>
      <c r="M110" s="15">
        <v>0</v>
      </c>
      <c r="N110" s="15">
        <v>0</v>
      </c>
      <c r="O110" s="15">
        <v>0</v>
      </c>
      <c r="P110">
        <f t="shared" si="22"/>
        <v>7.42</v>
      </c>
      <c r="Q110">
        <f t="shared" si="23"/>
        <v>0</v>
      </c>
      <c r="R110">
        <f t="shared" si="24"/>
        <v>0</v>
      </c>
      <c r="S110">
        <f t="shared" si="25"/>
        <v>0</v>
      </c>
      <c r="U110">
        <v>1982</v>
      </c>
      <c r="V110">
        <v>32</v>
      </c>
      <c r="X110" s="17">
        <f t="shared" si="26"/>
        <v>4.0625000000000001E-2</v>
      </c>
      <c r="Y110" s="17">
        <f t="shared" si="27"/>
        <v>7.03125E-2</v>
      </c>
      <c r="Z110" s="17">
        <f t="shared" si="28"/>
        <v>0.29343749999999968</v>
      </c>
      <c r="AA110" s="17">
        <f t="shared" si="29"/>
        <v>0.35343749999999685</v>
      </c>
      <c r="AB110" s="17">
        <f t="shared" si="30"/>
        <v>0.231875</v>
      </c>
      <c r="AC110" s="17">
        <f t="shared" si="31"/>
        <v>0</v>
      </c>
      <c r="AD110" s="17">
        <f t="shared" si="32"/>
        <v>0</v>
      </c>
      <c r="AE110" s="17">
        <f t="shared" si="33"/>
        <v>0</v>
      </c>
      <c r="AF110" s="17">
        <f t="shared" si="34"/>
        <v>0</v>
      </c>
      <c r="AG110" s="17">
        <f t="shared" si="35"/>
        <v>0</v>
      </c>
      <c r="AH110" s="17">
        <f t="shared" si="36"/>
        <v>0</v>
      </c>
      <c r="AI110" s="17">
        <f t="shared" si="37"/>
        <v>0</v>
      </c>
      <c r="AJ110" s="17">
        <f t="shared" si="38"/>
        <v>0</v>
      </c>
      <c r="AK110" s="17">
        <f t="shared" si="39"/>
        <v>0.231875</v>
      </c>
      <c r="AL110" s="17">
        <f t="shared" si="40"/>
        <v>0</v>
      </c>
      <c r="AM110" s="17">
        <f t="shared" si="41"/>
        <v>0</v>
      </c>
      <c r="AN110" s="17">
        <f t="shared" si="42"/>
        <v>0</v>
      </c>
    </row>
    <row r="111" spans="1:40" x14ac:dyDescent="0.25">
      <c r="A111">
        <v>1983</v>
      </c>
      <c r="B111">
        <v>0</v>
      </c>
      <c r="C111">
        <v>1.17</v>
      </c>
      <c r="D111">
        <v>4.25999999999999</v>
      </c>
      <c r="E111">
        <v>6.6</v>
      </c>
      <c r="F111">
        <v>15.92</v>
      </c>
      <c r="G111" s="13">
        <v>8.51</v>
      </c>
      <c r="H111" s="13">
        <v>1.53</v>
      </c>
      <c r="I111" s="14">
        <v>2.42</v>
      </c>
      <c r="J111" s="14">
        <v>0</v>
      </c>
      <c r="K111" s="14">
        <v>0</v>
      </c>
      <c r="L111" s="15">
        <v>0</v>
      </c>
      <c r="M111" s="15">
        <v>0</v>
      </c>
      <c r="N111" s="15">
        <v>0</v>
      </c>
      <c r="O111" s="15">
        <v>0</v>
      </c>
      <c r="P111">
        <f t="shared" si="22"/>
        <v>10.039999999999999</v>
      </c>
      <c r="Q111">
        <f t="shared" si="23"/>
        <v>2.42</v>
      </c>
      <c r="R111">
        <f t="shared" si="24"/>
        <v>0</v>
      </c>
      <c r="S111">
        <f t="shared" si="25"/>
        <v>2.42</v>
      </c>
      <c r="U111">
        <v>1983</v>
      </c>
      <c r="V111">
        <v>40.630000000000003</v>
      </c>
      <c r="X111" s="17">
        <f t="shared" si="26"/>
        <v>2.8796455820822048E-2</v>
      </c>
      <c r="Y111" s="17">
        <f t="shared" si="27"/>
        <v>0.10484863401427491</v>
      </c>
      <c r="Z111" s="17">
        <f t="shared" si="28"/>
        <v>0.16244154565591926</v>
      </c>
      <c r="AA111" s="17">
        <f t="shared" si="29"/>
        <v>0.39182869800639919</v>
      </c>
      <c r="AB111" s="17">
        <f t="shared" si="30"/>
        <v>0.2094511444745262</v>
      </c>
      <c r="AC111" s="17">
        <f t="shared" si="31"/>
        <v>3.7656903765690378E-2</v>
      </c>
      <c r="AD111" s="17">
        <f t="shared" si="32"/>
        <v>5.9561900073837062E-2</v>
      </c>
      <c r="AE111" s="17">
        <f t="shared" si="33"/>
        <v>0</v>
      </c>
      <c r="AF111" s="17">
        <f t="shared" si="34"/>
        <v>0</v>
      </c>
      <c r="AG111" s="17">
        <f t="shared" si="35"/>
        <v>0</v>
      </c>
      <c r="AH111" s="17">
        <f t="shared" si="36"/>
        <v>0</v>
      </c>
      <c r="AI111" s="17">
        <f t="shared" si="37"/>
        <v>0</v>
      </c>
      <c r="AJ111" s="17">
        <f t="shared" si="38"/>
        <v>0</v>
      </c>
      <c r="AK111" s="17">
        <f t="shared" si="39"/>
        <v>0.24710804824021657</v>
      </c>
      <c r="AL111" s="17">
        <f t="shared" si="40"/>
        <v>5.9561900073837062E-2</v>
      </c>
      <c r="AM111" s="17">
        <f t="shared" si="41"/>
        <v>0</v>
      </c>
      <c r="AN111" s="17">
        <f t="shared" si="42"/>
        <v>5.9561900073837062E-2</v>
      </c>
    </row>
    <row r="112" spans="1:40" x14ac:dyDescent="0.25">
      <c r="A112">
        <v>1984</v>
      </c>
      <c r="B112">
        <v>0</v>
      </c>
      <c r="C112">
        <v>1.39</v>
      </c>
      <c r="D112">
        <v>3.79</v>
      </c>
      <c r="E112">
        <v>9.82</v>
      </c>
      <c r="F112">
        <v>10.97</v>
      </c>
      <c r="G112" s="13">
        <v>1.26</v>
      </c>
      <c r="H112" s="13">
        <v>1.68</v>
      </c>
      <c r="I112" s="14">
        <v>8.66</v>
      </c>
      <c r="J112" s="14">
        <v>0</v>
      </c>
      <c r="K112" s="14">
        <v>0</v>
      </c>
      <c r="L112" s="15">
        <v>0</v>
      </c>
      <c r="M112" s="15">
        <v>0</v>
      </c>
      <c r="N112" s="15">
        <v>0</v>
      </c>
      <c r="O112" s="15">
        <v>0</v>
      </c>
      <c r="P112">
        <f t="shared" si="22"/>
        <v>2.94</v>
      </c>
      <c r="Q112">
        <f t="shared" si="23"/>
        <v>8.66</v>
      </c>
      <c r="R112">
        <f t="shared" si="24"/>
        <v>0</v>
      </c>
      <c r="S112">
        <f t="shared" si="25"/>
        <v>8.66</v>
      </c>
      <c r="U112">
        <v>1984</v>
      </c>
      <c r="V112">
        <v>37.799999999999997</v>
      </c>
      <c r="X112" s="17">
        <f t="shared" si="26"/>
        <v>3.6772486772486776E-2</v>
      </c>
      <c r="Y112" s="17">
        <f t="shared" si="27"/>
        <v>0.10026455026455028</v>
      </c>
      <c r="Z112" s="17">
        <f t="shared" si="28"/>
        <v>0.25978835978835979</v>
      </c>
      <c r="AA112" s="17">
        <f t="shared" si="29"/>
        <v>0.29021164021164025</v>
      </c>
      <c r="AB112" s="17">
        <f t="shared" si="30"/>
        <v>3.3333333333333333E-2</v>
      </c>
      <c r="AC112" s="17">
        <f t="shared" si="31"/>
        <v>4.4444444444444446E-2</v>
      </c>
      <c r="AD112" s="17">
        <f t="shared" si="32"/>
        <v>0.22910052910052911</v>
      </c>
      <c r="AE112" s="17">
        <f t="shared" si="33"/>
        <v>0</v>
      </c>
      <c r="AF112" s="17">
        <f t="shared" si="34"/>
        <v>0</v>
      </c>
      <c r="AG112" s="17">
        <f t="shared" si="35"/>
        <v>0</v>
      </c>
      <c r="AH112" s="17">
        <f t="shared" si="36"/>
        <v>0</v>
      </c>
      <c r="AI112" s="17">
        <f t="shared" si="37"/>
        <v>0</v>
      </c>
      <c r="AJ112" s="17">
        <f t="shared" si="38"/>
        <v>0</v>
      </c>
      <c r="AK112" s="17">
        <f t="shared" si="39"/>
        <v>7.7777777777777779E-2</v>
      </c>
      <c r="AL112" s="17">
        <f t="shared" si="40"/>
        <v>0.22910052910052911</v>
      </c>
      <c r="AM112" s="17">
        <f t="shared" si="41"/>
        <v>0</v>
      </c>
      <c r="AN112" s="17">
        <f t="shared" si="42"/>
        <v>0.22910052910052911</v>
      </c>
    </row>
    <row r="113" spans="1:43" ht="18.75" x14ac:dyDescent="0.3">
      <c r="A113">
        <v>1985</v>
      </c>
      <c r="B113">
        <v>0</v>
      </c>
      <c r="C113">
        <v>1.67</v>
      </c>
      <c r="D113">
        <v>4.0599999999999996</v>
      </c>
      <c r="E113">
        <v>5.41</v>
      </c>
      <c r="F113">
        <v>9.86</v>
      </c>
      <c r="G113" s="13">
        <v>6.3199999999999896</v>
      </c>
      <c r="H113" s="13">
        <v>0</v>
      </c>
      <c r="I113" s="14">
        <v>0</v>
      </c>
      <c r="J113" s="14">
        <v>0</v>
      </c>
      <c r="K113" s="14">
        <v>0</v>
      </c>
      <c r="L113" s="15">
        <v>0</v>
      </c>
      <c r="M113" s="15">
        <v>0</v>
      </c>
      <c r="N113" s="15">
        <v>0</v>
      </c>
      <c r="O113" s="15">
        <v>0</v>
      </c>
      <c r="P113">
        <f t="shared" si="22"/>
        <v>6.3199999999999896</v>
      </c>
      <c r="Q113">
        <f t="shared" si="23"/>
        <v>0</v>
      </c>
      <c r="R113">
        <f t="shared" si="24"/>
        <v>0</v>
      </c>
      <c r="S113">
        <f t="shared" si="25"/>
        <v>0</v>
      </c>
      <c r="U113">
        <v>1985</v>
      </c>
      <c r="V113">
        <v>27.54</v>
      </c>
      <c r="X113" s="17">
        <f t="shared" si="26"/>
        <v>6.0639070442992014E-2</v>
      </c>
      <c r="Y113" s="17">
        <f t="shared" si="27"/>
        <v>0.14742193173565721</v>
      </c>
      <c r="Z113" s="17">
        <f t="shared" si="28"/>
        <v>0.19644153957879448</v>
      </c>
      <c r="AA113" s="17">
        <f t="shared" si="29"/>
        <v>0.35802469135802467</v>
      </c>
      <c r="AB113" s="17">
        <f t="shared" si="30"/>
        <v>0.22948438634713109</v>
      </c>
      <c r="AC113" s="17">
        <f t="shared" si="31"/>
        <v>0</v>
      </c>
      <c r="AD113" s="17">
        <f t="shared" si="32"/>
        <v>0</v>
      </c>
      <c r="AE113" s="17">
        <f t="shared" si="33"/>
        <v>0</v>
      </c>
      <c r="AF113" s="17">
        <f t="shared" si="34"/>
        <v>0</v>
      </c>
      <c r="AG113" s="17">
        <f t="shared" si="35"/>
        <v>0</v>
      </c>
      <c r="AH113" s="17">
        <f t="shared" si="36"/>
        <v>0</v>
      </c>
      <c r="AI113" s="17">
        <f t="shared" si="37"/>
        <v>0</v>
      </c>
      <c r="AJ113" s="17">
        <f t="shared" si="38"/>
        <v>0</v>
      </c>
      <c r="AK113" s="17">
        <f t="shared" si="39"/>
        <v>0.22948438634713109</v>
      </c>
      <c r="AL113" s="17">
        <f t="shared" si="40"/>
        <v>0</v>
      </c>
      <c r="AM113" s="17">
        <f t="shared" si="41"/>
        <v>0</v>
      </c>
      <c r="AN113" s="17">
        <f t="shared" si="42"/>
        <v>0</v>
      </c>
      <c r="AP113" s="7" t="s">
        <v>15</v>
      </c>
      <c r="AQ113" s="7"/>
    </row>
    <row r="114" spans="1:43" ht="18.75" x14ac:dyDescent="0.3">
      <c r="A114">
        <v>1986</v>
      </c>
      <c r="B114">
        <v>0</v>
      </c>
      <c r="C114">
        <v>1.03</v>
      </c>
      <c r="D114">
        <v>4.5</v>
      </c>
      <c r="E114">
        <v>4.8499999999999996</v>
      </c>
      <c r="F114">
        <v>9.57</v>
      </c>
      <c r="G114" s="13">
        <v>8.65</v>
      </c>
      <c r="H114" s="13">
        <v>3.5999999999999899</v>
      </c>
      <c r="I114" s="14">
        <v>0</v>
      </c>
      <c r="J114" s="14">
        <v>0</v>
      </c>
      <c r="K114" s="14">
        <v>0</v>
      </c>
      <c r="L114" s="15">
        <v>0</v>
      </c>
      <c r="M114" s="15">
        <v>0</v>
      </c>
      <c r="N114" s="15">
        <v>0</v>
      </c>
      <c r="O114" s="15">
        <v>0</v>
      </c>
      <c r="P114">
        <f t="shared" si="22"/>
        <v>12.249999999999989</v>
      </c>
      <c r="Q114">
        <f t="shared" si="23"/>
        <v>0</v>
      </c>
      <c r="R114">
        <f t="shared" si="24"/>
        <v>0</v>
      </c>
      <c r="S114">
        <f t="shared" si="25"/>
        <v>0</v>
      </c>
      <c r="U114">
        <v>1986</v>
      </c>
      <c r="V114">
        <v>32.57</v>
      </c>
      <c r="X114" s="17">
        <f t="shared" si="26"/>
        <v>3.1624194043598404E-2</v>
      </c>
      <c r="Y114" s="17">
        <f t="shared" si="27"/>
        <v>0.1381639545594105</v>
      </c>
      <c r="Z114" s="17">
        <f t="shared" si="28"/>
        <v>0.14891003991403132</v>
      </c>
      <c r="AA114" s="17">
        <f t="shared" si="29"/>
        <v>0.29382867669634632</v>
      </c>
      <c r="AB114" s="17">
        <f t="shared" si="30"/>
        <v>0.2655818237642002</v>
      </c>
      <c r="AC114" s="17">
        <f t="shared" si="31"/>
        <v>0.11053116364752809</v>
      </c>
      <c r="AD114" s="17">
        <f t="shared" si="32"/>
        <v>0</v>
      </c>
      <c r="AE114" s="17">
        <f t="shared" si="33"/>
        <v>0</v>
      </c>
      <c r="AF114" s="17">
        <f t="shared" si="34"/>
        <v>0</v>
      </c>
      <c r="AG114" s="17">
        <f t="shared" si="35"/>
        <v>0</v>
      </c>
      <c r="AH114" s="17">
        <f t="shared" si="36"/>
        <v>0</v>
      </c>
      <c r="AI114" s="17">
        <f t="shared" si="37"/>
        <v>0</v>
      </c>
      <c r="AJ114" s="17">
        <f t="shared" si="38"/>
        <v>0</v>
      </c>
      <c r="AK114" s="17">
        <f t="shared" si="39"/>
        <v>0.37611298741172827</v>
      </c>
      <c r="AL114" s="17">
        <f t="shared" si="40"/>
        <v>0</v>
      </c>
      <c r="AM114" s="17">
        <f t="shared" si="41"/>
        <v>0</v>
      </c>
      <c r="AN114" s="17">
        <f t="shared" si="42"/>
        <v>0</v>
      </c>
      <c r="AP114" s="7" t="s">
        <v>16</v>
      </c>
      <c r="AQ114" s="7" t="s">
        <v>17</v>
      </c>
    </row>
    <row r="115" spans="1:43" ht="18.75" x14ac:dyDescent="0.3">
      <c r="A115">
        <v>1987</v>
      </c>
      <c r="B115">
        <v>0</v>
      </c>
      <c r="C115">
        <v>1.26</v>
      </c>
      <c r="D115">
        <v>2.66</v>
      </c>
      <c r="E115">
        <v>7.05</v>
      </c>
      <c r="F115">
        <v>9.4499999999999993</v>
      </c>
      <c r="G115" s="13">
        <v>13.82</v>
      </c>
      <c r="H115" s="13">
        <v>5.09</v>
      </c>
      <c r="I115" s="14">
        <v>2.27</v>
      </c>
      <c r="J115" s="14">
        <v>0</v>
      </c>
      <c r="K115" s="14">
        <v>0</v>
      </c>
      <c r="L115" s="15">
        <v>0</v>
      </c>
      <c r="M115" s="15">
        <v>0</v>
      </c>
      <c r="N115" s="15">
        <v>0</v>
      </c>
      <c r="O115" s="15">
        <v>0</v>
      </c>
      <c r="P115">
        <f t="shared" si="22"/>
        <v>18.91</v>
      </c>
      <c r="Q115">
        <f t="shared" si="23"/>
        <v>2.27</v>
      </c>
      <c r="R115">
        <f t="shared" si="24"/>
        <v>0</v>
      </c>
      <c r="S115">
        <f t="shared" si="25"/>
        <v>2.27</v>
      </c>
      <c r="U115">
        <v>1987</v>
      </c>
      <c r="V115">
        <v>41.78</v>
      </c>
      <c r="X115" s="17">
        <f t="shared" si="26"/>
        <v>3.0157970320727621E-2</v>
      </c>
      <c r="Y115" s="17">
        <f t="shared" si="27"/>
        <v>6.3666826232647203E-2</v>
      </c>
      <c r="Z115" s="17">
        <f t="shared" si="28"/>
        <v>0.16874102441359501</v>
      </c>
      <c r="AA115" s="17">
        <f t="shared" si="29"/>
        <v>0.22618477740545714</v>
      </c>
      <c r="AB115" s="17">
        <f t="shared" si="30"/>
        <v>0.33078027764480611</v>
      </c>
      <c r="AC115" s="17">
        <f t="shared" si="31"/>
        <v>0.12182862613690761</v>
      </c>
      <c r="AD115" s="17">
        <f t="shared" si="32"/>
        <v>5.4332216371469601E-2</v>
      </c>
      <c r="AE115" s="17">
        <f t="shared" si="33"/>
        <v>0</v>
      </c>
      <c r="AF115" s="17">
        <f t="shared" si="34"/>
        <v>0</v>
      </c>
      <c r="AG115" s="17">
        <f t="shared" si="35"/>
        <v>0</v>
      </c>
      <c r="AH115" s="17">
        <f t="shared" si="36"/>
        <v>0</v>
      </c>
      <c r="AI115" s="17">
        <f t="shared" si="37"/>
        <v>0</v>
      </c>
      <c r="AJ115" s="17">
        <f t="shared" si="38"/>
        <v>0</v>
      </c>
      <c r="AK115" s="17">
        <f t="shared" si="39"/>
        <v>0.45260890378171376</v>
      </c>
      <c r="AL115" s="17">
        <f t="shared" si="40"/>
        <v>5.4332216371469601E-2</v>
      </c>
      <c r="AM115" s="17">
        <f t="shared" si="41"/>
        <v>0</v>
      </c>
      <c r="AN115" s="17">
        <f t="shared" si="42"/>
        <v>5.4332216371469601E-2</v>
      </c>
      <c r="AP115" s="7" t="s">
        <v>0</v>
      </c>
      <c r="AQ115" s="7" t="s">
        <v>18</v>
      </c>
    </row>
    <row r="116" spans="1:43" ht="18.75" x14ac:dyDescent="0.3">
      <c r="A116">
        <v>1988</v>
      </c>
      <c r="B116">
        <v>0</v>
      </c>
      <c r="C116">
        <v>1.23</v>
      </c>
      <c r="D116">
        <v>2.92</v>
      </c>
      <c r="E116">
        <v>3.93</v>
      </c>
      <c r="F116">
        <v>8.3199999999999896</v>
      </c>
      <c r="G116" s="13">
        <v>8.27</v>
      </c>
      <c r="H116" s="13">
        <v>0</v>
      </c>
      <c r="I116" s="14">
        <v>0</v>
      </c>
      <c r="J116" s="14">
        <v>0</v>
      </c>
      <c r="K116" s="14">
        <v>0</v>
      </c>
      <c r="L116" s="15">
        <v>0</v>
      </c>
      <c r="M116" s="15">
        <v>0</v>
      </c>
      <c r="N116" s="15">
        <v>0</v>
      </c>
      <c r="O116" s="15">
        <v>0</v>
      </c>
      <c r="P116">
        <f t="shared" si="22"/>
        <v>8.27</v>
      </c>
      <c r="Q116">
        <f t="shared" si="23"/>
        <v>0</v>
      </c>
      <c r="R116">
        <f t="shared" si="24"/>
        <v>0</v>
      </c>
      <c r="S116">
        <f t="shared" si="25"/>
        <v>0</v>
      </c>
      <c r="U116">
        <v>1988</v>
      </c>
      <c r="V116">
        <v>24.91</v>
      </c>
      <c r="X116" s="17">
        <f t="shared" si="26"/>
        <v>4.9377759935768768E-2</v>
      </c>
      <c r="Y116" s="17">
        <f t="shared" si="27"/>
        <v>0.11722199919710959</v>
      </c>
      <c r="Z116" s="17">
        <f t="shared" si="28"/>
        <v>0.15776796467282217</v>
      </c>
      <c r="AA116" s="17">
        <f t="shared" si="29"/>
        <v>0.33400240867121594</v>
      </c>
      <c r="AB116" s="17">
        <f t="shared" si="30"/>
        <v>0.33199518265756722</v>
      </c>
      <c r="AC116" s="17">
        <f t="shared" si="31"/>
        <v>0</v>
      </c>
      <c r="AD116" s="17">
        <f t="shared" si="32"/>
        <v>0</v>
      </c>
      <c r="AE116" s="17">
        <f t="shared" si="33"/>
        <v>0</v>
      </c>
      <c r="AF116" s="17">
        <f t="shared" si="34"/>
        <v>0</v>
      </c>
      <c r="AG116" s="17">
        <f t="shared" si="35"/>
        <v>0</v>
      </c>
      <c r="AH116" s="17">
        <f t="shared" si="36"/>
        <v>0</v>
      </c>
      <c r="AI116" s="17">
        <f t="shared" si="37"/>
        <v>0</v>
      </c>
      <c r="AJ116" s="17">
        <f t="shared" si="38"/>
        <v>0</v>
      </c>
      <c r="AK116" s="17">
        <f t="shared" si="39"/>
        <v>0.33199518265756722</v>
      </c>
      <c r="AL116" s="17">
        <f t="shared" si="40"/>
        <v>0</v>
      </c>
      <c r="AM116" s="17">
        <f t="shared" si="41"/>
        <v>0</v>
      </c>
      <c r="AN116" s="17">
        <f t="shared" si="42"/>
        <v>0</v>
      </c>
      <c r="AP116" s="7" t="s">
        <v>1</v>
      </c>
      <c r="AQ116" s="7" t="s">
        <v>19</v>
      </c>
    </row>
    <row r="117" spans="1:43" ht="18.75" x14ac:dyDescent="0.3">
      <c r="A117">
        <v>1989</v>
      </c>
      <c r="B117">
        <v>0</v>
      </c>
      <c r="C117">
        <v>0.33</v>
      </c>
      <c r="D117">
        <v>1.1499999999999999</v>
      </c>
      <c r="E117">
        <v>0.9</v>
      </c>
      <c r="F117">
        <v>6.2099999999999902</v>
      </c>
      <c r="G117" s="13">
        <v>1.27</v>
      </c>
      <c r="H117" s="13">
        <v>3.3899999999999899</v>
      </c>
      <c r="I117" s="14">
        <v>2.31</v>
      </c>
      <c r="J117" s="14">
        <v>0</v>
      </c>
      <c r="K117" s="14">
        <v>3.56</v>
      </c>
      <c r="L117" s="15">
        <v>0</v>
      </c>
      <c r="M117" s="15">
        <v>0</v>
      </c>
      <c r="N117" s="15">
        <v>0</v>
      </c>
      <c r="O117" s="15">
        <v>0</v>
      </c>
      <c r="P117">
        <f t="shared" si="22"/>
        <v>4.6599999999999895</v>
      </c>
      <c r="Q117">
        <f t="shared" si="23"/>
        <v>5.87</v>
      </c>
      <c r="R117">
        <f t="shared" si="24"/>
        <v>0</v>
      </c>
      <c r="S117">
        <f t="shared" si="25"/>
        <v>5.87</v>
      </c>
      <c r="U117">
        <v>1989</v>
      </c>
      <c r="V117">
        <v>19.25</v>
      </c>
      <c r="X117" s="17">
        <f t="shared" si="26"/>
        <v>1.7142857142857144E-2</v>
      </c>
      <c r="Y117" s="17">
        <f t="shared" si="27"/>
        <v>5.9740259740259732E-2</v>
      </c>
      <c r="Z117" s="17">
        <f t="shared" si="28"/>
        <v>4.6753246753246755E-2</v>
      </c>
      <c r="AA117" s="17">
        <f t="shared" si="29"/>
        <v>0.32259740259740211</v>
      </c>
      <c r="AB117" s="17">
        <f t="shared" si="30"/>
        <v>6.5974025974025977E-2</v>
      </c>
      <c r="AC117" s="17">
        <f t="shared" si="31"/>
        <v>0.17610389610389557</v>
      </c>
      <c r="AD117" s="17">
        <f t="shared" si="32"/>
        <v>0.12000000000000001</v>
      </c>
      <c r="AE117" s="17">
        <f t="shared" si="33"/>
        <v>0</v>
      </c>
      <c r="AF117" s="17">
        <f t="shared" si="34"/>
        <v>0.18493506493506492</v>
      </c>
      <c r="AG117" s="17">
        <f t="shared" si="35"/>
        <v>0</v>
      </c>
      <c r="AH117" s="17">
        <f t="shared" si="36"/>
        <v>0</v>
      </c>
      <c r="AI117" s="17">
        <f t="shared" si="37"/>
        <v>0</v>
      </c>
      <c r="AJ117" s="17">
        <f t="shared" si="38"/>
        <v>0</v>
      </c>
      <c r="AK117" s="17">
        <f t="shared" si="39"/>
        <v>0.24207792207792153</v>
      </c>
      <c r="AL117" s="17">
        <f t="shared" si="40"/>
        <v>0.30493506493506495</v>
      </c>
      <c r="AM117" s="17">
        <f t="shared" si="41"/>
        <v>0</v>
      </c>
      <c r="AN117" s="17">
        <f t="shared" si="42"/>
        <v>0.30493506493506495</v>
      </c>
      <c r="AP117" s="7" t="s">
        <v>2</v>
      </c>
      <c r="AQ117" s="7" t="s">
        <v>20</v>
      </c>
    </row>
    <row r="118" spans="1:43" ht="18.75" x14ac:dyDescent="0.3">
      <c r="A118">
        <v>1990</v>
      </c>
      <c r="B118">
        <v>0</v>
      </c>
      <c r="C118">
        <v>1.1000000000000001</v>
      </c>
      <c r="D118">
        <v>4.83</v>
      </c>
      <c r="E118">
        <v>7.61</v>
      </c>
      <c r="F118">
        <v>13.87</v>
      </c>
      <c r="G118" s="13">
        <v>2.06</v>
      </c>
      <c r="H118" s="13">
        <v>3.24</v>
      </c>
      <c r="I118" s="14">
        <v>2.39</v>
      </c>
      <c r="J118" s="14">
        <v>0</v>
      </c>
      <c r="K118" s="14">
        <v>0</v>
      </c>
      <c r="L118" s="15">
        <v>0</v>
      </c>
      <c r="M118" s="15">
        <v>0</v>
      </c>
      <c r="N118" s="15">
        <v>0</v>
      </c>
      <c r="O118" s="15">
        <v>0</v>
      </c>
      <c r="P118">
        <f t="shared" si="22"/>
        <v>5.3000000000000007</v>
      </c>
      <c r="Q118">
        <f t="shared" si="23"/>
        <v>2.39</v>
      </c>
      <c r="R118">
        <f t="shared" si="24"/>
        <v>0</v>
      </c>
      <c r="S118">
        <f t="shared" si="25"/>
        <v>2.39</v>
      </c>
      <c r="U118">
        <v>1990</v>
      </c>
      <c r="V118">
        <v>35.340000000000003</v>
      </c>
      <c r="X118" s="17">
        <f t="shared" si="26"/>
        <v>3.1126202603282398E-2</v>
      </c>
      <c r="Y118" s="17">
        <f t="shared" si="27"/>
        <v>0.13667232597623089</v>
      </c>
      <c r="Z118" s="17">
        <f t="shared" si="28"/>
        <v>0.21533672891907185</v>
      </c>
      <c r="AA118" s="17">
        <f t="shared" si="29"/>
        <v>0.39247311827956982</v>
      </c>
      <c r="AB118" s="17">
        <f t="shared" si="30"/>
        <v>5.829088851160158E-2</v>
      </c>
      <c r="AC118" s="17">
        <f t="shared" si="31"/>
        <v>9.168081494057724E-2</v>
      </c>
      <c r="AD118" s="17">
        <f t="shared" si="32"/>
        <v>6.7628749292586304E-2</v>
      </c>
      <c r="AE118" s="17">
        <f t="shared" si="33"/>
        <v>0</v>
      </c>
      <c r="AF118" s="17">
        <f t="shared" si="34"/>
        <v>0</v>
      </c>
      <c r="AG118" s="17">
        <f t="shared" si="35"/>
        <v>0</v>
      </c>
      <c r="AH118" s="17">
        <f t="shared" si="36"/>
        <v>0</v>
      </c>
      <c r="AI118" s="17">
        <f t="shared" si="37"/>
        <v>0</v>
      </c>
      <c r="AJ118" s="17">
        <f t="shared" si="38"/>
        <v>0</v>
      </c>
      <c r="AK118" s="17">
        <f t="shared" si="39"/>
        <v>0.14997170345217883</v>
      </c>
      <c r="AL118" s="17">
        <f t="shared" si="40"/>
        <v>6.7628749292586304E-2</v>
      </c>
      <c r="AM118" s="17">
        <f t="shared" si="41"/>
        <v>0</v>
      </c>
      <c r="AN118" s="17">
        <f t="shared" si="42"/>
        <v>6.7628749292586304E-2</v>
      </c>
      <c r="AP118" s="7" t="s">
        <v>3</v>
      </c>
      <c r="AQ118" s="7" t="s">
        <v>21</v>
      </c>
    </row>
    <row r="119" spans="1:43" ht="18.75" x14ac:dyDescent="0.3">
      <c r="A119">
        <v>1991</v>
      </c>
      <c r="B119">
        <v>0</v>
      </c>
      <c r="C119">
        <v>1.47</v>
      </c>
      <c r="D119">
        <v>3.23</v>
      </c>
      <c r="E119">
        <v>6.28</v>
      </c>
      <c r="F119">
        <v>12.8799999999999</v>
      </c>
      <c r="G119" s="13">
        <v>5.0999999999999996</v>
      </c>
      <c r="H119" s="13">
        <v>3.21</v>
      </c>
      <c r="I119" s="14">
        <v>2.11</v>
      </c>
      <c r="J119" s="14">
        <v>2.86</v>
      </c>
      <c r="K119" s="14">
        <v>0</v>
      </c>
      <c r="L119" s="15">
        <v>0</v>
      </c>
      <c r="M119" s="15">
        <v>0</v>
      </c>
      <c r="N119" s="15">
        <v>0</v>
      </c>
      <c r="O119" s="15">
        <v>0</v>
      </c>
      <c r="P119">
        <f t="shared" si="22"/>
        <v>8.3099999999999987</v>
      </c>
      <c r="Q119">
        <f t="shared" si="23"/>
        <v>4.97</v>
      </c>
      <c r="R119">
        <f t="shared" si="24"/>
        <v>0</v>
      </c>
      <c r="S119">
        <f t="shared" si="25"/>
        <v>4.97</v>
      </c>
      <c r="U119">
        <v>1991</v>
      </c>
      <c r="V119">
        <v>37.31</v>
      </c>
      <c r="X119" s="17">
        <f t="shared" si="26"/>
        <v>3.9399624765478418E-2</v>
      </c>
      <c r="Y119" s="17">
        <f t="shared" si="27"/>
        <v>8.6571964620745109E-2</v>
      </c>
      <c r="Z119" s="17">
        <f t="shared" si="28"/>
        <v>0.16831948539265612</v>
      </c>
      <c r="AA119" s="17">
        <f t="shared" si="29"/>
        <v>0.34521575984990349</v>
      </c>
      <c r="AB119" s="17">
        <f t="shared" si="30"/>
        <v>0.13669257571696594</v>
      </c>
      <c r="AC119" s="17">
        <f t="shared" si="31"/>
        <v>8.6035915304207983E-2</v>
      </c>
      <c r="AD119" s="17">
        <f t="shared" si="32"/>
        <v>5.6553202894666303E-2</v>
      </c>
      <c r="AE119" s="17">
        <f t="shared" si="33"/>
        <v>7.6655052264808357E-2</v>
      </c>
      <c r="AF119" s="17">
        <f t="shared" si="34"/>
        <v>0</v>
      </c>
      <c r="AG119" s="17">
        <f t="shared" si="35"/>
        <v>0</v>
      </c>
      <c r="AH119" s="17">
        <f t="shared" si="36"/>
        <v>0</v>
      </c>
      <c r="AI119" s="17">
        <f t="shared" si="37"/>
        <v>0</v>
      </c>
      <c r="AJ119" s="17">
        <f t="shared" si="38"/>
        <v>0</v>
      </c>
      <c r="AK119" s="17">
        <f t="shared" si="39"/>
        <v>0.2227284910211739</v>
      </c>
      <c r="AL119" s="17">
        <f t="shared" si="40"/>
        <v>0.13320825515947465</v>
      </c>
      <c r="AM119" s="17">
        <f t="shared" si="41"/>
        <v>0</v>
      </c>
      <c r="AN119" s="17">
        <f t="shared" si="42"/>
        <v>0.13320825515947465</v>
      </c>
      <c r="AP119" s="7" t="s">
        <v>4</v>
      </c>
      <c r="AQ119" s="7" t="s">
        <v>22</v>
      </c>
    </row>
    <row r="120" spans="1:43" ht="18.75" x14ac:dyDescent="0.3">
      <c r="A120">
        <v>1992</v>
      </c>
      <c r="B120">
        <v>0</v>
      </c>
      <c r="C120">
        <v>1.7</v>
      </c>
      <c r="D120">
        <v>4.43</v>
      </c>
      <c r="E120">
        <v>6.68</v>
      </c>
      <c r="F120">
        <v>10.45</v>
      </c>
      <c r="G120" s="13">
        <v>6.4799999999999898</v>
      </c>
      <c r="H120" s="13">
        <v>5.35</v>
      </c>
      <c r="I120" s="14">
        <v>2.06</v>
      </c>
      <c r="J120" s="14">
        <v>0</v>
      </c>
      <c r="K120" s="14">
        <v>0</v>
      </c>
      <c r="L120" s="15">
        <v>0</v>
      </c>
      <c r="M120" s="15">
        <v>0</v>
      </c>
      <c r="N120" s="15">
        <v>0</v>
      </c>
      <c r="O120" s="15">
        <v>0</v>
      </c>
      <c r="P120">
        <f t="shared" si="22"/>
        <v>11.829999999999989</v>
      </c>
      <c r="Q120">
        <f t="shared" si="23"/>
        <v>2.06</v>
      </c>
      <c r="R120">
        <f t="shared" si="24"/>
        <v>0</v>
      </c>
      <c r="S120">
        <f t="shared" si="25"/>
        <v>2.06</v>
      </c>
      <c r="U120">
        <v>1992</v>
      </c>
      <c r="V120">
        <v>37.49</v>
      </c>
      <c r="X120" s="17">
        <f t="shared" si="26"/>
        <v>4.5345425446785805E-2</v>
      </c>
      <c r="Y120" s="17">
        <f t="shared" si="27"/>
        <v>0.11816484395838889</v>
      </c>
      <c r="Z120" s="17">
        <f t="shared" si="28"/>
        <v>0.17818084822619362</v>
      </c>
      <c r="AA120" s="17">
        <f t="shared" si="29"/>
        <v>0.27874099759935977</v>
      </c>
      <c r="AB120" s="17">
        <f t="shared" si="30"/>
        <v>0.1728460922912774</v>
      </c>
      <c r="AC120" s="17">
        <f t="shared" si="31"/>
        <v>0.14270472125900238</v>
      </c>
      <c r="AD120" s="17">
        <f t="shared" si="32"/>
        <v>5.4947986129634571E-2</v>
      </c>
      <c r="AE120" s="17">
        <f t="shared" si="33"/>
        <v>0</v>
      </c>
      <c r="AF120" s="17">
        <f t="shared" si="34"/>
        <v>0</v>
      </c>
      <c r="AG120" s="17">
        <f t="shared" si="35"/>
        <v>0</v>
      </c>
      <c r="AH120" s="17">
        <f t="shared" si="36"/>
        <v>0</v>
      </c>
      <c r="AI120" s="17">
        <f t="shared" si="37"/>
        <v>0</v>
      </c>
      <c r="AJ120" s="17">
        <f t="shared" si="38"/>
        <v>0</v>
      </c>
      <c r="AK120" s="17">
        <f t="shared" si="39"/>
        <v>0.31555081355027975</v>
      </c>
      <c r="AL120" s="17">
        <f t="shared" si="40"/>
        <v>5.4947986129634571E-2</v>
      </c>
      <c r="AM120" s="17">
        <f t="shared" si="41"/>
        <v>0</v>
      </c>
      <c r="AN120" s="17">
        <f t="shared" si="42"/>
        <v>5.4947986129634571E-2</v>
      </c>
      <c r="AP120" s="7" t="s">
        <v>23</v>
      </c>
      <c r="AQ120" s="7" t="s">
        <v>37</v>
      </c>
    </row>
    <row r="121" spans="1:43" ht="18.75" x14ac:dyDescent="0.3">
      <c r="A121">
        <v>1993</v>
      </c>
      <c r="B121">
        <v>0</v>
      </c>
      <c r="C121">
        <v>1.54</v>
      </c>
      <c r="D121">
        <v>3.69</v>
      </c>
      <c r="E121">
        <v>6.1899999999999897</v>
      </c>
      <c r="F121">
        <v>11.09</v>
      </c>
      <c r="G121" s="13">
        <v>7.3</v>
      </c>
      <c r="H121" s="13">
        <v>0</v>
      </c>
      <c r="I121" s="14">
        <v>0</v>
      </c>
      <c r="J121" s="14">
        <v>0</v>
      </c>
      <c r="K121" s="14">
        <v>6.58</v>
      </c>
      <c r="L121" s="15">
        <v>0</v>
      </c>
      <c r="M121" s="15">
        <v>0</v>
      </c>
      <c r="N121" s="15">
        <v>0</v>
      </c>
      <c r="O121" s="15">
        <v>0</v>
      </c>
      <c r="P121">
        <f t="shared" si="22"/>
        <v>7.3</v>
      </c>
      <c r="Q121">
        <f t="shared" si="23"/>
        <v>6.58</v>
      </c>
      <c r="R121">
        <f t="shared" si="24"/>
        <v>0</v>
      </c>
      <c r="S121">
        <f t="shared" si="25"/>
        <v>6.58</v>
      </c>
      <c r="U121">
        <v>1993</v>
      </c>
      <c r="V121">
        <v>36.68</v>
      </c>
      <c r="X121" s="17">
        <f t="shared" si="26"/>
        <v>4.1984732824427481E-2</v>
      </c>
      <c r="Y121" s="17">
        <f t="shared" si="27"/>
        <v>0.10059978189749182</v>
      </c>
      <c r="Z121" s="17">
        <f t="shared" si="28"/>
        <v>0.1687568157033803</v>
      </c>
      <c r="AA121" s="17">
        <f t="shared" si="29"/>
        <v>0.30234460196292257</v>
      </c>
      <c r="AB121" s="17">
        <f t="shared" si="30"/>
        <v>0.19901853871319519</v>
      </c>
      <c r="AC121" s="17">
        <f t="shared" si="31"/>
        <v>0</v>
      </c>
      <c r="AD121" s="17">
        <f t="shared" si="32"/>
        <v>0</v>
      </c>
      <c r="AE121" s="17">
        <f t="shared" si="33"/>
        <v>0</v>
      </c>
      <c r="AF121" s="17">
        <f t="shared" si="34"/>
        <v>0.17938931297709923</v>
      </c>
      <c r="AG121" s="17">
        <f t="shared" si="35"/>
        <v>0</v>
      </c>
      <c r="AH121" s="17">
        <f t="shared" si="36"/>
        <v>0</v>
      </c>
      <c r="AI121" s="17">
        <f t="shared" si="37"/>
        <v>0</v>
      </c>
      <c r="AJ121" s="17">
        <f t="shared" si="38"/>
        <v>0</v>
      </c>
      <c r="AK121" s="17">
        <f t="shared" si="39"/>
        <v>0.19901853871319519</v>
      </c>
      <c r="AL121" s="17">
        <f t="shared" si="40"/>
        <v>0.17938931297709923</v>
      </c>
      <c r="AM121" s="17">
        <f t="shared" si="41"/>
        <v>0</v>
      </c>
      <c r="AN121" s="17">
        <f t="shared" si="42"/>
        <v>0.17938931297709923</v>
      </c>
      <c r="AP121" s="7" t="s">
        <v>25</v>
      </c>
      <c r="AQ121" s="7" t="s">
        <v>38</v>
      </c>
    </row>
    <row r="122" spans="1:43" x14ac:dyDescent="0.25">
      <c r="A122">
        <v>1994</v>
      </c>
      <c r="B122">
        <v>0</v>
      </c>
      <c r="C122">
        <v>1.28</v>
      </c>
      <c r="D122">
        <v>4.67</v>
      </c>
      <c r="E122">
        <v>7.45</v>
      </c>
      <c r="F122">
        <v>8.08</v>
      </c>
      <c r="G122" s="13">
        <v>16.079999999999998</v>
      </c>
      <c r="H122" s="13">
        <v>1.66</v>
      </c>
      <c r="I122" s="14">
        <v>0</v>
      </c>
      <c r="J122" s="14">
        <v>0</v>
      </c>
      <c r="K122" s="14">
        <v>0</v>
      </c>
      <c r="L122" s="15">
        <v>0</v>
      </c>
      <c r="M122" s="15">
        <v>0</v>
      </c>
      <c r="N122" s="15">
        <v>0</v>
      </c>
      <c r="O122" s="15">
        <v>0</v>
      </c>
      <c r="P122">
        <f t="shared" si="22"/>
        <v>17.739999999999998</v>
      </c>
      <c r="Q122">
        <f t="shared" si="23"/>
        <v>0</v>
      </c>
      <c r="R122">
        <f t="shared" si="24"/>
        <v>0</v>
      </c>
      <c r="S122">
        <f t="shared" si="25"/>
        <v>0</v>
      </c>
      <c r="U122">
        <v>1994</v>
      </c>
      <c r="V122">
        <v>39.44</v>
      </c>
      <c r="X122" s="17">
        <f t="shared" si="26"/>
        <v>3.2454361054766734E-2</v>
      </c>
      <c r="Y122" s="17">
        <f t="shared" si="27"/>
        <v>0.11840770791075052</v>
      </c>
      <c r="Z122" s="17">
        <f t="shared" si="28"/>
        <v>0.18889452332657203</v>
      </c>
      <c r="AA122" s="17">
        <f t="shared" si="29"/>
        <v>0.20486815415821502</v>
      </c>
      <c r="AB122" s="17">
        <f t="shared" si="30"/>
        <v>0.40770791075050705</v>
      </c>
      <c r="AC122" s="17">
        <f t="shared" si="31"/>
        <v>4.2089249492900611E-2</v>
      </c>
      <c r="AD122" s="17">
        <f t="shared" si="32"/>
        <v>0</v>
      </c>
      <c r="AE122" s="17">
        <f t="shared" si="33"/>
        <v>0</v>
      </c>
      <c r="AF122" s="17">
        <f t="shared" si="34"/>
        <v>0</v>
      </c>
      <c r="AG122" s="17">
        <f t="shared" si="35"/>
        <v>0</v>
      </c>
      <c r="AH122" s="17">
        <f t="shared" si="36"/>
        <v>0</v>
      </c>
      <c r="AI122" s="17">
        <f t="shared" si="37"/>
        <v>0</v>
      </c>
      <c r="AJ122" s="17">
        <f t="shared" si="38"/>
        <v>0</v>
      </c>
      <c r="AK122" s="17">
        <f t="shared" si="39"/>
        <v>0.44979716024340771</v>
      </c>
      <c r="AL122" s="17">
        <f t="shared" si="40"/>
        <v>0</v>
      </c>
      <c r="AM122" s="17">
        <f t="shared" si="41"/>
        <v>0</v>
      </c>
      <c r="AN122" s="17">
        <f t="shared" si="42"/>
        <v>0</v>
      </c>
    </row>
    <row r="123" spans="1:43" x14ac:dyDescent="0.25">
      <c r="A123">
        <v>1995</v>
      </c>
      <c r="B123">
        <v>0</v>
      </c>
      <c r="C123">
        <v>1.0499999999999901</v>
      </c>
      <c r="D123">
        <v>2.74</v>
      </c>
      <c r="E123">
        <v>7.43</v>
      </c>
      <c r="F123">
        <v>13.38</v>
      </c>
      <c r="G123" s="13">
        <v>3.51</v>
      </c>
      <c r="H123" s="13">
        <v>3.2</v>
      </c>
      <c r="I123" s="14">
        <v>4.51</v>
      </c>
      <c r="J123" s="14">
        <v>0</v>
      </c>
      <c r="K123" s="14">
        <v>0</v>
      </c>
      <c r="L123" s="15">
        <v>0</v>
      </c>
      <c r="M123" s="15">
        <v>0</v>
      </c>
      <c r="N123" s="15">
        <v>0</v>
      </c>
      <c r="O123" s="15">
        <v>0</v>
      </c>
      <c r="P123">
        <f t="shared" si="22"/>
        <v>6.71</v>
      </c>
      <c r="Q123">
        <f t="shared" si="23"/>
        <v>4.51</v>
      </c>
      <c r="R123">
        <f t="shared" si="24"/>
        <v>0</v>
      </c>
      <c r="S123">
        <f t="shared" si="25"/>
        <v>4.51</v>
      </c>
      <c r="U123">
        <v>1995</v>
      </c>
      <c r="V123">
        <v>36.06</v>
      </c>
      <c r="X123" s="17">
        <f t="shared" si="26"/>
        <v>2.9118136439267608E-2</v>
      </c>
      <c r="Y123" s="17">
        <f t="shared" si="27"/>
        <v>7.5984470327232392E-2</v>
      </c>
      <c r="Z123" s="17">
        <f t="shared" si="28"/>
        <v>0.20604547975596227</v>
      </c>
      <c r="AA123" s="17">
        <f t="shared" si="29"/>
        <v>0.37104825291181365</v>
      </c>
      <c r="AB123" s="17">
        <f t="shared" si="30"/>
        <v>9.733777038269549E-2</v>
      </c>
      <c r="AC123" s="17">
        <f t="shared" si="31"/>
        <v>8.8740987243483088E-2</v>
      </c>
      <c r="AD123" s="17">
        <f t="shared" si="32"/>
        <v>0.12506932889628397</v>
      </c>
      <c r="AE123" s="17">
        <f t="shared" si="33"/>
        <v>0</v>
      </c>
      <c r="AF123" s="17">
        <f t="shared" si="34"/>
        <v>0</v>
      </c>
      <c r="AG123" s="17">
        <f t="shared" si="35"/>
        <v>0</v>
      </c>
      <c r="AH123" s="17">
        <f t="shared" si="36"/>
        <v>0</v>
      </c>
      <c r="AI123" s="17">
        <f t="shared" si="37"/>
        <v>0</v>
      </c>
      <c r="AJ123" s="17">
        <f t="shared" si="38"/>
        <v>0</v>
      </c>
      <c r="AK123" s="17">
        <f t="shared" si="39"/>
        <v>0.18607875762617856</v>
      </c>
      <c r="AL123" s="17">
        <f t="shared" si="40"/>
        <v>0.12506932889628397</v>
      </c>
      <c r="AM123" s="17">
        <f t="shared" si="41"/>
        <v>0</v>
      </c>
      <c r="AN123" s="17">
        <f t="shared" si="42"/>
        <v>0.12506932889628397</v>
      </c>
    </row>
    <row r="124" spans="1:43" x14ac:dyDescent="0.25">
      <c r="A124">
        <v>1996</v>
      </c>
      <c r="B124">
        <v>0</v>
      </c>
      <c r="C124">
        <v>1.42</v>
      </c>
      <c r="D124">
        <v>4.2799999999999896</v>
      </c>
      <c r="E124">
        <v>9.44</v>
      </c>
      <c r="F124">
        <v>12.3</v>
      </c>
      <c r="G124" s="13">
        <v>8.6199999999999992</v>
      </c>
      <c r="H124" s="13">
        <v>0</v>
      </c>
      <c r="I124" s="14">
        <v>6.66</v>
      </c>
      <c r="J124" s="14">
        <v>2.94</v>
      </c>
      <c r="K124" s="14">
        <v>0</v>
      </c>
      <c r="L124" s="15">
        <v>0</v>
      </c>
      <c r="M124" s="15">
        <v>0</v>
      </c>
      <c r="N124" s="15">
        <v>0</v>
      </c>
      <c r="O124" s="15">
        <v>0</v>
      </c>
      <c r="P124">
        <f t="shared" si="22"/>
        <v>8.6199999999999992</v>
      </c>
      <c r="Q124">
        <f t="shared" si="23"/>
        <v>9.6</v>
      </c>
      <c r="R124">
        <f t="shared" si="24"/>
        <v>0</v>
      </c>
      <c r="S124">
        <f t="shared" si="25"/>
        <v>9.6</v>
      </c>
      <c r="U124">
        <v>1996</v>
      </c>
      <c r="V124">
        <v>45.93</v>
      </c>
      <c r="X124" s="17">
        <f t="shared" si="26"/>
        <v>3.0916612236011321E-2</v>
      </c>
      <c r="Y124" s="17">
        <f t="shared" si="27"/>
        <v>9.3185281950794466E-2</v>
      </c>
      <c r="Z124" s="17">
        <f t="shared" si="28"/>
        <v>0.20553015458306118</v>
      </c>
      <c r="AA124" s="17">
        <f t="shared" si="29"/>
        <v>0.26779882429784457</v>
      </c>
      <c r="AB124" s="17">
        <f t="shared" si="30"/>
        <v>0.18767689962987152</v>
      </c>
      <c r="AC124" s="17">
        <f t="shared" si="31"/>
        <v>0</v>
      </c>
      <c r="AD124" s="17">
        <f t="shared" si="32"/>
        <v>0.14500326583932072</v>
      </c>
      <c r="AE124" s="17">
        <f t="shared" si="33"/>
        <v>6.4010450685826253E-2</v>
      </c>
      <c r="AF124" s="17">
        <f t="shared" si="34"/>
        <v>0</v>
      </c>
      <c r="AG124" s="17">
        <f t="shared" si="35"/>
        <v>0</v>
      </c>
      <c r="AH124" s="17">
        <f t="shared" si="36"/>
        <v>0</v>
      </c>
      <c r="AI124" s="17">
        <f t="shared" si="37"/>
        <v>0</v>
      </c>
      <c r="AJ124" s="17">
        <f t="shared" si="38"/>
        <v>0</v>
      </c>
      <c r="AK124" s="17">
        <f t="shared" si="39"/>
        <v>0.18767689962987152</v>
      </c>
      <c r="AL124" s="17">
        <f t="shared" si="40"/>
        <v>0.20901371652514697</v>
      </c>
      <c r="AM124" s="17">
        <f t="shared" si="41"/>
        <v>0</v>
      </c>
      <c r="AN124" s="17">
        <f t="shared" si="42"/>
        <v>0.20901371652514697</v>
      </c>
    </row>
    <row r="125" spans="1:43" x14ac:dyDescent="0.25">
      <c r="A125">
        <v>1997</v>
      </c>
      <c r="B125">
        <v>0</v>
      </c>
      <c r="C125">
        <v>1.45</v>
      </c>
      <c r="D125">
        <v>5.0599999999999996</v>
      </c>
      <c r="E125">
        <v>8.94</v>
      </c>
      <c r="F125">
        <v>14.8399999999999</v>
      </c>
      <c r="G125" s="13">
        <v>2.14</v>
      </c>
      <c r="H125" s="13">
        <v>3.76</v>
      </c>
      <c r="I125" s="14">
        <v>0</v>
      </c>
      <c r="J125" s="14">
        <v>2.6</v>
      </c>
      <c r="K125" s="14">
        <v>0</v>
      </c>
      <c r="L125" s="15">
        <v>0</v>
      </c>
      <c r="M125" s="15">
        <v>0</v>
      </c>
      <c r="N125" s="15">
        <v>6.09</v>
      </c>
      <c r="O125" s="15">
        <v>0</v>
      </c>
      <c r="P125">
        <f t="shared" si="22"/>
        <v>5.9</v>
      </c>
      <c r="Q125">
        <f t="shared" si="23"/>
        <v>2.6</v>
      </c>
      <c r="R125">
        <f t="shared" si="24"/>
        <v>6.09</v>
      </c>
      <c r="S125">
        <f t="shared" si="25"/>
        <v>8.69</v>
      </c>
      <c r="U125">
        <v>1997</v>
      </c>
      <c r="V125">
        <v>45.12</v>
      </c>
      <c r="X125" s="17">
        <f t="shared" si="26"/>
        <v>3.2136524822695037E-2</v>
      </c>
      <c r="Y125" s="17">
        <f t="shared" si="27"/>
        <v>0.11214539007092199</v>
      </c>
      <c r="Z125" s="17">
        <f t="shared" si="28"/>
        <v>0.19813829787234041</v>
      </c>
      <c r="AA125" s="17">
        <f t="shared" si="29"/>
        <v>0.32890070921985598</v>
      </c>
      <c r="AB125" s="17">
        <f t="shared" si="30"/>
        <v>4.7429078014184403E-2</v>
      </c>
      <c r="AC125" s="17">
        <f t="shared" si="31"/>
        <v>8.3333333333333329E-2</v>
      </c>
      <c r="AD125" s="17">
        <f t="shared" si="32"/>
        <v>0</v>
      </c>
      <c r="AE125" s="17">
        <f t="shared" si="33"/>
        <v>5.7624113475177312E-2</v>
      </c>
      <c r="AF125" s="17">
        <f t="shared" si="34"/>
        <v>0</v>
      </c>
      <c r="AG125" s="17">
        <f t="shared" si="35"/>
        <v>0</v>
      </c>
      <c r="AH125" s="17">
        <f t="shared" si="36"/>
        <v>0</v>
      </c>
      <c r="AI125" s="17">
        <f t="shared" si="37"/>
        <v>0.13497340425531915</v>
      </c>
      <c r="AJ125" s="17">
        <f t="shared" si="38"/>
        <v>0</v>
      </c>
      <c r="AK125" s="17">
        <f t="shared" si="39"/>
        <v>0.13076241134751776</v>
      </c>
      <c r="AL125" s="17">
        <f t="shared" si="40"/>
        <v>5.7624113475177312E-2</v>
      </c>
      <c r="AM125" s="17">
        <f t="shared" si="41"/>
        <v>0.13497340425531915</v>
      </c>
      <c r="AN125" s="17">
        <f t="shared" si="42"/>
        <v>0.19259751773049646</v>
      </c>
    </row>
    <row r="126" spans="1:43" x14ac:dyDescent="0.25">
      <c r="A126">
        <v>1998</v>
      </c>
      <c r="B126">
        <v>0</v>
      </c>
      <c r="C126">
        <v>1.1299999999999999</v>
      </c>
      <c r="D126">
        <v>2.84</v>
      </c>
      <c r="E126">
        <v>7.41</v>
      </c>
      <c r="F126">
        <v>14</v>
      </c>
      <c r="G126" s="13">
        <v>10.92</v>
      </c>
      <c r="H126" s="13">
        <v>0</v>
      </c>
      <c r="I126" s="14">
        <v>2.31</v>
      </c>
      <c r="J126" s="14">
        <v>2.91</v>
      </c>
      <c r="K126" s="14">
        <v>0</v>
      </c>
      <c r="L126" s="15">
        <v>0</v>
      </c>
      <c r="M126" s="15">
        <v>0</v>
      </c>
      <c r="N126" s="15">
        <v>0</v>
      </c>
      <c r="O126" s="15">
        <v>0</v>
      </c>
      <c r="P126">
        <f t="shared" si="22"/>
        <v>10.92</v>
      </c>
      <c r="Q126">
        <f t="shared" si="23"/>
        <v>5.2200000000000006</v>
      </c>
      <c r="R126">
        <f t="shared" si="24"/>
        <v>0</v>
      </c>
      <c r="S126">
        <f t="shared" si="25"/>
        <v>5.2200000000000006</v>
      </c>
      <c r="U126">
        <v>1998</v>
      </c>
      <c r="V126">
        <v>41.76</v>
      </c>
      <c r="X126" s="17">
        <f t="shared" si="26"/>
        <v>2.7059386973180076E-2</v>
      </c>
      <c r="Y126" s="17">
        <f t="shared" si="27"/>
        <v>6.8007662835249047E-2</v>
      </c>
      <c r="Z126" s="17">
        <f t="shared" si="28"/>
        <v>0.17744252873563218</v>
      </c>
      <c r="AA126" s="17">
        <f t="shared" si="29"/>
        <v>0.33524904214559387</v>
      </c>
      <c r="AB126" s="17">
        <f t="shared" si="30"/>
        <v>0.2614942528735632</v>
      </c>
      <c r="AC126" s="17">
        <f t="shared" si="31"/>
        <v>0</v>
      </c>
      <c r="AD126" s="17">
        <f t="shared" si="32"/>
        <v>5.531609195402299E-2</v>
      </c>
      <c r="AE126" s="17">
        <f t="shared" si="33"/>
        <v>6.9683908045977017E-2</v>
      </c>
      <c r="AF126" s="17">
        <f t="shared" si="34"/>
        <v>0</v>
      </c>
      <c r="AG126" s="17">
        <f t="shared" si="35"/>
        <v>0</v>
      </c>
      <c r="AH126" s="17">
        <f t="shared" si="36"/>
        <v>0</v>
      </c>
      <c r="AI126" s="17">
        <f t="shared" si="37"/>
        <v>0</v>
      </c>
      <c r="AJ126" s="17">
        <f t="shared" si="38"/>
        <v>0</v>
      </c>
      <c r="AK126" s="17">
        <f t="shared" si="39"/>
        <v>0.2614942528735632</v>
      </c>
      <c r="AL126" s="17">
        <f t="shared" si="40"/>
        <v>0.12500000000000003</v>
      </c>
      <c r="AM126" s="17">
        <f t="shared" si="41"/>
        <v>0</v>
      </c>
      <c r="AN126" s="17">
        <f t="shared" si="42"/>
        <v>0.12500000000000003</v>
      </c>
    </row>
    <row r="127" spans="1:43" x14ac:dyDescent="0.25">
      <c r="A127">
        <v>1999</v>
      </c>
      <c r="B127">
        <v>0</v>
      </c>
      <c r="C127">
        <v>1.54</v>
      </c>
      <c r="D127">
        <v>3.55</v>
      </c>
      <c r="E127">
        <v>5.01</v>
      </c>
      <c r="F127">
        <v>12.28</v>
      </c>
      <c r="G127" s="13">
        <v>9.73</v>
      </c>
      <c r="H127" s="13">
        <v>1.93</v>
      </c>
      <c r="I127" s="14">
        <v>4.16</v>
      </c>
      <c r="J127" s="14">
        <v>0</v>
      </c>
      <c r="K127" s="14">
        <v>0</v>
      </c>
      <c r="L127" s="15">
        <v>0</v>
      </c>
      <c r="M127" s="15">
        <v>0</v>
      </c>
      <c r="N127" s="15">
        <v>0</v>
      </c>
      <c r="O127" s="15">
        <v>0</v>
      </c>
      <c r="P127">
        <f t="shared" si="22"/>
        <v>11.66</v>
      </c>
      <c r="Q127">
        <f t="shared" si="23"/>
        <v>4.16</v>
      </c>
      <c r="R127">
        <f t="shared" si="24"/>
        <v>0</v>
      </c>
      <c r="S127">
        <f t="shared" si="25"/>
        <v>4.16</v>
      </c>
      <c r="U127">
        <v>1999</v>
      </c>
      <c r="V127">
        <v>38.35</v>
      </c>
      <c r="X127" s="17">
        <f t="shared" si="26"/>
        <v>4.0156453715775746E-2</v>
      </c>
      <c r="Y127" s="17">
        <f t="shared" si="27"/>
        <v>9.2568448500651879E-2</v>
      </c>
      <c r="Z127" s="17">
        <f t="shared" si="28"/>
        <v>0.13063885267275097</v>
      </c>
      <c r="AA127" s="17">
        <f t="shared" si="29"/>
        <v>0.32020860495436765</v>
      </c>
      <c r="AB127" s="17">
        <f t="shared" si="30"/>
        <v>0.25371577574967408</v>
      </c>
      <c r="AC127" s="17">
        <f t="shared" si="31"/>
        <v>5.0325945241199474E-2</v>
      </c>
      <c r="AD127" s="17">
        <f t="shared" si="32"/>
        <v>0.10847457627118644</v>
      </c>
      <c r="AE127" s="17">
        <f t="shared" si="33"/>
        <v>0</v>
      </c>
      <c r="AF127" s="17">
        <f t="shared" si="34"/>
        <v>0</v>
      </c>
      <c r="AG127" s="17">
        <f t="shared" si="35"/>
        <v>0</v>
      </c>
      <c r="AH127" s="17">
        <f t="shared" si="36"/>
        <v>0</v>
      </c>
      <c r="AI127" s="17">
        <f t="shared" si="37"/>
        <v>0</v>
      </c>
      <c r="AJ127" s="17">
        <f t="shared" si="38"/>
        <v>0</v>
      </c>
      <c r="AK127" s="17">
        <f t="shared" si="39"/>
        <v>0.30404172099087351</v>
      </c>
      <c r="AL127" s="17">
        <f t="shared" si="40"/>
        <v>0.10847457627118644</v>
      </c>
      <c r="AM127" s="17">
        <f t="shared" si="41"/>
        <v>0</v>
      </c>
      <c r="AN127" s="17">
        <f t="shared" si="42"/>
        <v>0.10847457627118644</v>
      </c>
    </row>
    <row r="128" spans="1:43" x14ac:dyDescent="0.25">
      <c r="A128">
        <v>2000</v>
      </c>
      <c r="B128">
        <v>0</v>
      </c>
      <c r="C128">
        <v>1.1299999999999999</v>
      </c>
      <c r="D128">
        <v>3.19999999999999</v>
      </c>
      <c r="E128">
        <v>5.6899999999999897</v>
      </c>
      <c r="F128">
        <v>8.23</v>
      </c>
      <c r="G128" s="13">
        <v>9.41</v>
      </c>
      <c r="H128" s="13">
        <v>6.79</v>
      </c>
      <c r="I128" s="14">
        <v>4.76</v>
      </c>
      <c r="J128" s="14">
        <v>2.7</v>
      </c>
      <c r="K128" s="14">
        <v>0</v>
      </c>
      <c r="L128" s="15">
        <v>0</v>
      </c>
      <c r="M128" s="15">
        <v>5.42</v>
      </c>
      <c r="N128" s="15">
        <v>0</v>
      </c>
      <c r="O128" s="15">
        <v>0</v>
      </c>
      <c r="P128">
        <f t="shared" si="22"/>
        <v>16.2</v>
      </c>
      <c r="Q128">
        <f t="shared" si="23"/>
        <v>7.46</v>
      </c>
      <c r="R128">
        <f t="shared" si="24"/>
        <v>5.42</v>
      </c>
      <c r="S128">
        <f t="shared" si="25"/>
        <v>12.879999999999999</v>
      </c>
      <c r="U128">
        <v>2000</v>
      </c>
      <c r="V128">
        <v>47.54</v>
      </c>
      <c r="X128" s="17">
        <f t="shared" si="26"/>
        <v>2.3769457299116531E-2</v>
      </c>
      <c r="Y128" s="17">
        <f t="shared" si="27"/>
        <v>6.7311737484223602E-2</v>
      </c>
      <c r="Z128" s="17">
        <f t="shared" si="28"/>
        <v>0.11968868321413526</v>
      </c>
      <c r="AA128" s="17">
        <f t="shared" si="29"/>
        <v>0.17311737484223813</v>
      </c>
      <c r="AB128" s="17">
        <f t="shared" si="30"/>
        <v>0.19793857803954565</v>
      </c>
      <c r="AC128" s="17">
        <f t="shared" si="31"/>
        <v>0.14282709297433741</v>
      </c>
      <c r="AD128" s="17">
        <f t="shared" si="32"/>
        <v>0.10012620950778292</v>
      </c>
      <c r="AE128" s="17">
        <f t="shared" si="33"/>
        <v>5.6794278502313847E-2</v>
      </c>
      <c r="AF128" s="17">
        <f t="shared" si="34"/>
        <v>0</v>
      </c>
      <c r="AG128" s="17">
        <f t="shared" si="35"/>
        <v>0</v>
      </c>
      <c r="AH128" s="17">
        <f t="shared" si="36"/>
        <v>0.11400925536390408</v>
      </c>
      <c r="AI128" s="17">
        <f t="shared" si="37"/>
        <v>0</v>
      </c>
      <c r="AJ128" s="17">
        <f t="shared" si="38"/>
        <v>0</v>
      </c>
      <c r="AK128" s="17">
        <f t="shared" si="39"/>
        <v>0.34076567101388305</v>
      </c>
      <c r="AL128" s="17">
        <f t="shared" si="40"/>
        <v>0.15692048801009675</v>
      </c>
      <c r="AM128" s="17">
        <f t="shared" si="41"/>
        <v>0.11400925536390408</v>
      </c>
      <c r="AN128" s="17">
        <f t="shared" si="42"/>
        <v>0.27092974337400083</v>
      </c>
    </row>
    <row r="129" spans="1:43" x14ac:dyDescent="0.25">
      <c r="A129">
        <v>2001</v>
      </c>
      <c r="B129">
        <v>0</v>
      </c>
      <c r="C129">
        <v>1.29</v>
      </c>
      <c r="D129">
        <v>2.6</v>
      </c>
      <c r="E129">
        <v>7.43</v>
      </c>
      <c r="F129">
        <v>6.4</v>
      </c>
      <c r="G129" s="13">
        <v>2.46</v>
      </c>
      <c r="H129" s="13">
        <v>1.65</v>
      </c>
      <c r="I129" s="14">
        <v>0</v>
      </c>
      <c r="J129" s="14">
        <v>0</v>
      </c>
      <c r="K129" s="14">
        <v>3.51</v>
      </c>
      <c r="L129" s="15">
        <v>0</v>
      </c>
      <c r="M129" s="15">
        <v>0</v>
      </c>
      <c r="N129" s="15">
        <v>0</v>
      </c>
      <c r="O129" s="15">
        <v>0</v>
      </c>
      <c r="P129">
        <f t="shared" si="22"/>
        <v>4.1099999999999994</v>
      </c>
      <c r="Q129">
        <f t="shared" si="23"/>
        <v>3.51</v>
      </c>
      <c r="R129">
        <f t="shared" si="24"/>
        <v>0</v>
      </c>
      <c r="S129">
        <f t="shared" si="25"/>
        <v>3.51</v>
      </c>
      <c r="U129">
        <v>2001</v>
      </c>
      <c r="V129">
        <v>25.57</v>
      </c>
      <c r="X129" s="17">
        <f t="shared" si="26"/>
        <v>5.0449745795854518E-2</v>
      </c>
      <c r="Y129" s="17">
        <f t="shared" si="27"/>
        <v>0.10168165819319515</v>
      </c>
      <c r="Z129" s="17">
        <f t="shared" si="28"/>
        <v>0.29057489245209228</v>
      </c>
      <c r="AA129" s="17">
        <f t="shared" si="29"/>
        <v>0.25029331247555731</v>
      </c>
      <c r="AB129" s="17">
        <f t="shared" si="30"/>
        <v>9.6206491982792339E-2</v>
      </c>
      <c r="AC129" s="17">
        <f t="shared" si="31"/>
        <v>6.4528744622604606E-2</v>
      </c>
      <c r="AD129" s="17">
        <f t="shared" si="32"/>
        <v>0</v>
      </c>
      <c r="AE129" s="17">
        <f t="shared" si="33"/>
        <v>0</v>
      </c>
      <c r="AF129" s="17">
        <f t="shared" si="34"/>
        <v>0.13727023856081344</v>
      </c>
      <c r="AG129" s="17">
        <f t="shared" si="35"/>
        <v>0</v>
      </c>
      <c r="AH129" s="17">
        <f t="shared" si="36"/>
        <v>0</v>
      </c>
      <c r="AI129" s="17">
        <f t="shared" si="37"/>
        <v>0</v>
      </c>
      <c r="AJ129" s="17">
        <f t="shared" si="38"/>
        <v>0</v>
      </c>
      <c r="AK129" s="17">
        <f t="shared" si="39"/>
        <v>0.16073523660539693</v>
      </c>
      <c r="AL129" s="17">
        <f t="shared" si="40"/>
        <v>0.13727023856081344</v>
      </c>
      <c r="AM129" s="17">
        <f t="shared" si="41"/>
        <v>0</v>
      </c>
      <c r="AN129" s="17">
        <f t="shared" si="42"/>
        <v>0.13727023856081344</v>
      </c>
    </row>
    <row r="130" spans="1:43" x14ac:dyDescent="0.25">
      <c r="A130">
        <v>2002</v>
      </c>
      <c r="B130">
        <v>0</v>
      </c>
      <c r="C130">
        <v>1.44</v>
      </c>
      <c r="D130">
        <v>2.6599999999999899</v>
      </c>
      <c r="E130">
        <v>6.1299999999999901</v>
      </c>
      <c r="F130">
        <v>12.85</v>
      </c>
      <c r="G130" s="13">
        <v>7.38</v>
      </c>
      <c r="H130" s="13">
        <v>3.49</v>
      </c>
      <c r="I130" s="14">
        <v>2.0499999999999998</v>
      </c>
      <c r="J130" s="14">
        <v>0</v>
      </c>
      <c r="K130" s="14">
        <v>6.82</v>
      </c>
      <c r="L130" s="15">
        <v>0</v>
      </c>
      <c r="M130" s="15">
        <v>0</v>
      </c>
      <c r="N130" s="15">
        <v>0</v>
      </c>
      <c r="O130" s="15">
        <v>0</v>
      </c>
      <c r="P130">
        <f t="shared" si="22"/>
        <v>10.870000000000001</v>
      </c>
      <c r="Q130">
        <f t="shared" si="23"/>
        <v>8.870000000000001</v>
      </c>
      <c r="R130">
        <f t="shared" si="24"/>
        <v>0</v>
      </c>
      <c r="S130">
        <f t="shared" si="25"/>
        <v>8.870000000000001</v>
      </c>
      <c r="U130">
        <v>2002</v>
      </c>
      <c r="V130">
        <v>43.12</v>
      </c>
      <c r="X130" s="17">
        <f t="shared" si="26"/>
        <v>3.3395176252319109E-2</v>
      </c>
      <c r="Y130" s="17">
        <f t="shared" si="27"/>
        <v>6.1688311688311459E-2</v>
      </c>
      <c r="Z130" s="17">
        <f t="shared" si="28"/>
        <v>0.14216141001855265</v>
      </c>
      <c r="AA130" s="17">
        <f t="shared" si="29"/>
        <v>0.29800556586270871</v>
      </c>
      <c r="AB130" s="17">
        <f t="shared" si="30"/>
        <v>0.17115027829313545</v>
      </c>
      <c r="AC130" s="17">
        <f t="shared" si="31"/>
        <v>8.0936920222634517E-2</v>
      </c>
      <c r="AD130" s="17">
        <f t="shared" si="32"/>
        <v>4.7541743970315395E-2</v>
      </c>
      <c r="AE130" s="17">
        <f t="shared" si="33"/>
        <v>0</v>
      </c>
      <c r="AF130" s="17">
        <f t="shared" si="34"/>
        <v>0.15816326530612246</v>
      </c>
      <c r="AG130" s="17">
        <f t="shared" si="35"/>
        <v>0</v>
      </c>
      <c r="AH130" s="17">
        <f t="shared" si="36"/>
        <v>0</v>
      </c>
      <c r="AI130" s="17">
        <f t="shared" si="37"/>
        <v>0</v>
      </c>
      <c r="AJ130" s="17">
        <f t="shared" si="38"/>
        <v>0</v>
      </c>
      <c r="AK130" s="17">
        <f t="shared" si="39"/>
        <v>0.25208719851576999</v>
      </c>
      <c r="AL130" s="17">
        <f t="shared" si="40"/>
        <v>0.20570500927643789</v>
      </c>
      <c r="AM130" s="17">
        <f t="shared" si="41"/>
        <v>0</v>
      </c>
      <c r="AN130" s="17">
        <f t="shared" si="42"/>
        <v>0.20570500927643789</v>
      </c>
    </row>
    <row r="131" spans="1:43" x14ac:dyDescent="0.25">
      <c r="A131">
        <v>2003</v>
      </c>
      <c r="B131">
        <v>0</v>
      </c>
      <c r="C131">
        <v>1.71</v>
      </c>
      <c r="D131">
        <v>3.94</v>
      </c>
      <c r="E131">
        <v>7.09</v>
      </c>
      <c r="F131">
        <v>14.659999999999901</v>
      </c>
      <c r="G131" s="13">
        <v>5.16</v>
      </c>
      <c r="H131" s="13">
        <v>9.4600000000000009</v>
      </c>
      <c r="I131" s="14">
        <v>2.08</v>
      </c>
      <c r="J131" s="14">
        <v>0</v>
      </c>
      <c r="K131" s="14">
        <v>0</v>
      </c>
      <c r="L131" s="15">
        <v>0</v>
      </c>
      <c r="M131" s="15">
        <v>0</v>
      </c>
      <c r="N131" s="15">
        <v>0</v>
      </c>
      <c r="O131" s="15">
        <v>0</v>
      </c>
      <c r="P131">
        <f t="shared" ref="P131:P145" si="43">SUM(G131:H131)</f>
        <v>14.620000000000001</v>
      </c>
      <c r="Q131">
        <f t="shared" ref="Q131:Q145" si="44">SUM(I131:K131)</f>
        <v>2.08</v>
      </c>
      <c r="R131">
        <f t="shared" ref="R131:R145" si="45">SUM(L131:O131)</f>
        <v>0</v>
      </c>
      <c r="S131">
        <f t="shared" ref="S131:S145" si="46">SUM(Q131:R131)</f>
        <v>2.08</v>
      </c>
      <c r="U131">
        <v>2003</v>
      </c>
      <c r="V131">
        <v>44.49</v>
      </c>
      <c r="X131" s="17">
        <f t="shared" ref="X131:X145" si="47">(C131/$V131)</f>
        <v>3.843560350640593E-2</v>
      </c>
      <c r="Y131" s="17">
        <f t="shared" ref="Y131:Y145" si="48">(D131/$V131)</f>
        <v>8.8559226792537638E-2</v>
      </c>
      <c r="Z131" s="17">
        <f t="shared" ref="Z131:Z145" si="49">(E131/$V131)</f>
        <v>0.15936165430433805</v>
      </c>
      <c r="AA131" s="17">
        <f t="shared" ref="AA131:AA145" si="50">(F131/$V131)</f>
        <v>0.32951224994380535</v>
      </c>
      <c r="AB131" s="17">
        <f t="shared" ref="AB131:AB145" si="51">(G131/$V131)</f>
        <v>0.11598111935266352</v>
      </c>
      <c r="AC131" s="17">
        <f t="shared" ref="AC131:AC145" si="52">(H131/$V131)</f>
        <v>0.21263205214654979</v>
      </c>
      <c r="AD131" s="17">
        <f t="shared" ref="AD131:AD145" si="53">(I131/$V131)</f>
        <v>4.6752079118903125E-2</v>
      </c>
      <c r="AE131" s="17">
        <f t="shared" ref="AE131:AE145" si="54">(J131/$V131)</f>
        <v>0</v>
      </c>
      <c r="AF131" s="17">
        <f t="shared" ref="AF131:AF145" si="55">(K131/$V131)</f>
        <v>0</v>
      </c>
      <c r="AG131" s="17">
        <f t="shared" ref="AG131:AG145" si="56">(L131/$V131)</f>
        <v>0</v>
      </c>
      <c r="AH131" s="17">
        <f t="shared" ref="AH131:AH145" si="57">(M131/$V131)</f>
        <v>0</v>
      </c>
      <c r="AI131" s="17">
        <f t="shared" ref="AI131:AI145" si="58">(N131/$V131)</f>
        <v>0</v>
      </c>
      <c r="AJ131" s="17">
        <f t="shared" ref="AJ131:AJ145" si="59">(O131/$V131)</f>
        <v>0</v>
      </c>
      <c r="AK131" s="17">
        <f t="shared" ref="AK131:AK145" si="60">(P131/$V131)</f>
        <v>0.32861317149921332</v>
      </c>
      <c r="AL131" s="17">
        <f t="shared" ref="AL131:AL145" si="61">(Q131/$V131)</f>
        <v>4.6752079118903125E-2</v>
      </c>
      <c r="AM131" s="17">
        <f t="shared" ref="AM131:AM145" si="62">(R131/$V131)</f>
        <v>0</v>
      </c>
      <c r="AN131" s="17">
        <f t="shared" ref="AN131:AN145" si="63">(S131/$V131)</f>
        <v>4.6752079118903125E-2</v>
      </c>
    </row>
    <row r="132" spans="1:43" x14ac:dyDescent="0.25">
      <c r="A132">
        <v>2004</v>
      </c>
      <c r="B132">
        <v>0</v>
      </c>
      <c r="C132">
        <v>1.7</v>
      </c>
      <c r="D132">
        <v>3.68</v>
      </c>
      <c r="E132">
        <v>7.22</v>
      </c>
      <c r="F132">
        <v>6.97</v>
      </c>
      <c r="G132" s="13">
        <v>12.52</v>
      </c>
      <c r="H132" s="13">
        <v>1.87</v>
      </c>
      <c r="I132" s="14">
        <v>2.08</v>
      </c>
      <c r="J132" s="14">
        <v>0</v>
      </c>
      <c r="K132" s="14">
        <v>3.12</v>
      </c>
      <c r="L132" s="15">
        <v>0</v>
      </c>
      <c r="M132" s="15">
        <v>0</v>
      </c>
      <c r="N132" s="15">
        <v>0</v>
      </c>
      <c r="O132" s="15">
        <v>0</v>
      </c>
      <c r="P132">
        <f t="shared" si="43"/>
        <v>14.39</v>
      </c>
      <c r="Q132">
        <f t="shared" si="44"/>
        <v>5.2</v>
      </c>
      <c r="R132">
        <f t="shared" si="45"/>
        <v>0</v>
      </c>
      <c r="S132">
        <f t="shared" si="46"/>
        <v>5.2</v>
      </c>
      <c r="U132">
        <v>2004</v>
      </c>
      <c r="V132">
        <v>39.5</v>
      </c>
      <c r="X132" s="17">
        <f t="shared" si="47"/>
        <v>4.3037974683544304E-2</v>
      </c>
      <c r="Y132" s="17">
        <f t="shared" si="48"/>
        <v>9.3164556962025316E-2</v>
      </c>
      <c r="Z132" s="17">
        <f t="shared" si="49"/>
        <v>0.18278481012658226</v>
      </c>
      <c r="AA132" s="17">
        <f t="shared" si="50"/>
        <v>0.17645569620253163</v>
      </c>
      <c r="AB132" s="17">
        <f t="shared" si="51"/>
        <v>0.31696202531645568</v>
      </c>
      <c r="AC132" s="17">
        <f t="shared" si="52"/>
        <v>4.7341772151898734E-2</v>
      </c>
      <c r="AD132" s="17">
        <f t="shared" si="53"/>
        <v>5.2658227848101265E-2</v>
      </c>
      <c r="AE132" s="17">
        <f t="shared" si="54"/>
        <v>0</v>
      </c>
      <c r="AF132" s="17">
        <f t="shared" si="55"/>
        <v>7.8987341772151901E-2</v>
      </c>
      <c r="AG132" s="17">
        <f t="shared" si="56"/>
        <v>0</v>
      </c>
      <c r="AH132" s="17">
        <f t="shared" si="57"/>
        <v>0</v>
      </c>
      <c r="AI132" s="17">
        <f t="shared" si="58"/>
        <v>0</v>
      </c>
      <c r="AJ132" s="17">
        <f t="shared" si="59"/>
        <v>0</v>
      </c>
      <c r="AK132" s="17">
        <f t="shared" si="60"/>
        <v>0.36430379746835445</v>
      </c>
      <c r="AL132" s="17">
        <f t="shared" si="61"/>
        <v>0.13164556962025317</v>
      </c>
      <c r="AM132" s="17">
        <f t="shared" si="62"/>
        <v>0</v>
      </c>
      <c r="AN132" s="17">
        <f t="shared" si="63"/>
        <v>0.13164556962025317</v>
      </c>
    </row>
    <row r="133" spans="1:43" x14ac:dyDescent="0.25">
      <c r="A133">
        <v>2005</v>
      </c>
      <c r="B133">
        <v>0</v>
      </c>
      <c r="C133">
        <v>1.6</v>
      </c>
      <c r="D133">
        <v>3.33</v>
      </c>
      <c r="E133">
        <v>2.35</v>
      </c>
      <c r="F133">
        <v>14.81</v>
      </c>
      <c r="G133" s="13">
        <v>13.8799999999999</v>
      </c>
      <c r="H133" s="13">
        <v>5.4</v>
      </c>
      <c r="I133" s="14">
        <v>2.16</v>
      </c>
      <c r="J133" s="14">
        <v>0</v>
      </c>
      <c r="K133" s="14">
        <v>0</v>
      </c>
      <c r="L133" s="15">
        <v>0</v>
      </c>
      <c r="M133" s="15">
        <v>0</v>
      </c>
      <c r="N133" s="15">
        <v>0</v>
      </c>
      <c r="O133" s="15">
        <v>0</v>
      </c>
      <c r="P133">
        <f t="shared" si="43"/>
        <v>19.279999999999902</v>
      </c>
      <c r="Q133">
        <f t="shared" si="44"/>
        <v>2.16</v>
      </c>
      <c r="R133">
        <f t="shared" si="45"/>
        <v>0</v>
      </c>
      <c r="S133">
        <f t="shared" si="46"/>
        <v>2.16</v>
      </c>
      <c r="U133">
        <v>2005</v>
      </c>
      <c r="V133">
        <v>43.79</v>
      </c>
      <c r="X133" s="17">
        <f t="shared" si="47"/>
        <v>3.6538022379538709E-2</v>
      </c>
      <c r="Y133" s="17">
        <f t="shared" si="48"/>
        <v>7.6044759077414939E-2</v>
      </c>
      <c r="Z133" s="17">
        <f t="shared" si="49"/>
        <v>5.3665220369947482E-2</v>
      </c>
      <c r="AA133" s="17">
        <f t="shared" si="50"/>
        <v>0.33820506965060521</v>
      </c>
      <c r="AB133" s="17">
        <f t="shared" si="51"/>
        <v>0.316967344142496</v>
      </c>
      <c r="AC133" s="17">
        <f t="shared" si="52"/>
        <v>0.12331582553094315</v>
      </c>
      <c r="AD133" s="17">
        <f t="shared" si="53"/>
        <v>4.9326330212377256E-2</v>
      </c>
      <c r="AE133" s="17">
        <f t="shared" si="54"/>
        <v>0</v>
      </c>
      <c r="AF133" s="17">
        <f t="shared" si="55"/>
        <v>0</v>
      </c>
      <c r="AG133" s="17">
        <f t="shared" si="56"/>
        <v>0</v>
      </c>
      <c r="AH133" s="17">
        <f t="shared" si="57"/>
        <v>0</v>
      </c>
      <c r="AI133" s="17">
        <f t="shared" si="58"/>
        <v>0</v>
      </c>
      <c r="AJ133" s="17">
        <f t="shared" si="59"/>
        <v>0</v>
      </c>
      <c r="AK133" s="17">
        <f t="shared" si="60"/>
        <v>0.44028316967343917</v>
      </c>
      <c r="AL133" s="17">
        <f t="shared" si="61"/>
        <v>4.9326330212377256E-2</v>
      </c>
      <c r="AM133" s="17">
        <f t="shared" si="62"/>
        <v>0</v>
      </c>
      <c r="AN133" s="17">
        <f t="shared" si="63"/>
        <v>4.9326330212377256E-2</v>
      </c>
    </row>
    <row r="134" spans="1:43" ht="18.75" x14ac:dyDescent="0.3">
      <c r="A134">
        <v>2006</v>
      </c>
      <c r="B134">
        <v>0</v>
      </c>
      <c r="C134">
        <v>1.33</v>
      </c>
      <c r="D134">
        <v>2.52</v>
      </c>
      <c r="E134">
        <v>5.0199999999999996</v>
      </c>
      <c r="F134">
        <v>8.9099999999999895</v>
      </c>
      <c r="G134" s="13">
        <v>10.68</v>
      </c>
      <c r="H134" s="13">
        <v>10.1</v>
      </c>
      <c r="I134" s="14">
        <v>2.35</v>
      </c>
      <c r="J134" s="14">
        <v>0</v>
      </c>
      <c r="K134" s="14">
        <v>0</v>
      </c>
      <c r="L134" s="15">
        <v>0</v>
      </c>
      <c r="M134" s="15">
        <v>0</v>
      </c>
      <c r="N134" s="15">
        <v>0</v>
      </c>
      <c r="O134" s="15">
        <v>0</v>
      </c>
      <c r="P134">
        <f t="shared" si="43"/>
        <v>20.78</v>
      </c>
      <c r="Q134">
        <f t="shared" si="44"/>
        <v>2.35</v>
      </c>
      <c r="R134">
        <f t="shared" si="45"/>
        <v>0</v>
      </c>
      <c r="S134">
        <f t="shared" si="46"/>
        <v>2.35</v>
      </c>
      <c r="U134">
        <v>2006</v>
      </c>
      <c r="V134">
        <v>41.14</v>
      </c>
      <c r="X134" s="17">
        <f t="shared" si="47"/>
        <v>3.2328633932912007E-2</v>
      </c>
      <c r="Y134" s="17">
        <f t="shared" si="48"/>
        <v>6.1254253767622752E-2</v>
      </c>
      <c r="Z134" s="17">
        <f t="shared" si="49"/>
        <v>0.12202236266407389</v>
      </c>
      <c r="AA134" s="17">
        <f t="shared" si="50"/>
        <v>0.2165775401069516</v>
      </c>
      <c r="AB134" s="17">
        <f t="shared" si="51"/>
        <v>0.25960136120563926</v>
      </c>
      <c r="AC134" s="17">
        <f t="shared" si="52"/>
        <v>0.24550315994166261</v>
      </c>
      <c r="AD134" s="17">
        <f t="shared" si="53"/>
        <v>5.7122022362664074E-2</v>
      </c>
      <c r="AE134" s="17">
        <f t="shared" si="54"/>
        <v>0</v>
      </c>
      <c r="AF134" s="17">
        <f t="shared" si="55"/>
        <v>0</v>
      </c>
      <c r="AG134" s="17">
        <f t="shared" si="56"/>
        <v>0</v>
      </c>
      <c r="AH134" s="17">
        <f t="shared" si="57"/>
        <v>0</v>
      </c>
      <c r="AI134" s="17">
        <f t="shared" si="58"/>
        <v>0</v>
      </c>
      <c r="AJ134" s="17">
        <f t="shared" si="59"/>
        <v>0</v>
      </c>
      <c r="AK134" s="17">
        <f t="shared" si="60"/>
        <v>0.50510452114730187</v>
      </c>
      <c r="AL134" s="17">
        <f t="shared" si="61"/>
        <v>5.7122022362664074E-2</v>
      </c>
      <c r="AM134" s="17">
        <f t="shared" si="62"/>
        <v>0</v>
      </c>
      <c r="AN134" s="17">
        <f t="shared" si="63"/>
        <v>5.7122022362664074E-2</v>
      </c>
      <c r="AP134" s="7" t="s">
        <v>15</v>
      </c>
      <c r="AQ134" s="7"/>
    </row>
    <row r="135" spans="1:43" ht="18.75" x14ac:dyDescent="0.3">
      <c r="A135">
        <v>2007</v>
      </c>
      <c r="B135">
        <v>0</v>
      </c>
      <c r="C135">
        <v>1.73</v>
      </c>
      <c r="D135">
        <v>3.69999999999999</v>
      </c>
      <c r="E135">
        <v>5.49</v>
      </c>
      <c r="F135">
        <v>11.34</v>
      </c>
      <c r="G135" s="13">
        <v>7.25</v>
      </c>
      <c r="H135" s="13">
        <v>6.41</v>
      </c>
      <c r="I135" s="14">
        <v>6.7299999999999898</v>
      </c>
      <c r="J135" s="14">
        <v>0</v>
      </c>
      <c r="K135" s="14">
        <v>0</v>
      </c>
      <c r="L135" s="15">
        <v>0</v>
      </c>
      <c r="M135" s="15">
        <v>0</v>
      </c>
      <c r="N135" s="15">
        <v>0</v>
      </c>
      <c r="O135" s="15">
        <v>0</v>
      </c>
      <c r="P135">
        <f t="shared" si="43"/>
        <v>13.66</v>
      </c>
      <c r="Q135">
        <f t="shared" si="44"/>
        <v>6.7299999999999898</v>
      </c>
      <c r="R135">
        <f t="shared" si="45"/>
        <v>0</v>
      </c>
      <c r="S135">
        <f t="shared" si="46"/>
        <v>6.7299999999999898</v>
      </c>
      <c r="U135">
        <v>2007</v>
      </c>
      <c r="V135">
        <v>42.86</v>
      </c>
      <c r="X135" s="17">
        <f t="shared" si="47"/>
        <v>4.0363975734951006E-2</v>
      </c>
      <c r="Y135" s="17">
        <f t="shared" si="48"/>
        <v>8.632757816145567E-2</v>
      </c>
      <c r="Z135" s="17">
        <f t="shared" si="49"/>
        <v>0.12809146056929538</v>
      </c>
      <c r="AA135" s="17">
        <f t="shared" si="50"/>
        <v>0.2645823611759216</v>
      </c>
      <c r="AB135" s="17">
        <f t="shared" si="51"/>
        <v>0.16915538964069063</v>
      </c>
      <c r="AC135" s="17">
        <f t="shared" si="52"/>
        <v>0.149556696220252</v>
      </c>
      <c r="AD135" s="17">
        <f t="shared" si="53"/>
        <v>0.15702286514232361</v>
      </c>
      <c r="AE135" s="17">
        <f t="shared" si="54"/>
        <v>0</v>
      </c>
      <c r="AF135" s="17">
        <f t="shared" si="55"/>
        <v>0</v>
      </c>
      <c r="AG135" s="17">
        <f t="shared" si="56"/>
        <v>0</v>
      </c>
      <c r="AH135" s="17">
        <f t="shared" si="57"/>
        <v>0</v>
      </c>
      <c r="AI135" s="17">
        <f t="shared" si="58"/>
        <v>0</v>
      </c>
      <c r="AJ135" s="17">
        <f t="shared" si="59"/>
        <v>0</v>
      </c>
      <c r="AK135" s="17">
        <f t="shared" si="60"/>
        <v>0.31871208586094263</v>
      </c>
      <c r="AL135" s="17">
        <f t="shared" si="61"/>
        <v>0.15702286514232361</v>
      </c>
      <c r="AM135" s="17">
        <f t="shared" si="62"/>
        <v>0</v>
      </c>
      <c r="AN135" s="17">
        <f t="shared" si="63"/>
        <v>0.15702286514232361</v>
      </c>
      <c r="AP135" s="7" t="s">
        <v>16</v>
      </c>
      <c r="AQ135" s="7" t="s">
        <v>17</v>
      </c>
    </row>
    <row r="136" spans="1:43" ht="18.75" x14ac:dyDescent="0.3">
      <c r="A136">
        <v>2008</v>
      </c>
      <c r="B136">
        <v>0</v>
      </c>
      <c r="C136">
        <v>1.62</v>
      </c>
      <c r="D136">
        <v>3</v>
      </c>
      <c r="E136">
        <v>6.1799999999999899</v>
      </c>
      <c r="F136">
        <v>11.3799999999999</v>
      </c>
      <c r="G136" s="13">
        <v>10.49</v>
      </c>
      <c r="H136" s="13">
        <v>5.49</v>
      </c>
      <c r="I136" s="14">
        <v>2.2799999999999998</v>
      </c>
      <c r="J136" s="14">
        <v>0</v>
      </c>
      <c r="K136" s="14">
        <v>0</v>
      </c>
      <c r="L136" s="15">
        <v>4.12</v>
      </c>
      <c r="M136" s="15">
        <v>0</v>
      </c>
      <c r="N136" s="15">
        <v>0</v>
      </c>
      <c r="O136" s="15">
        <v>0</v>
      </c>
      <c r="P136">
        <f t="shared" si="43"/>
        <v>15.98</v>
      </c>
      <c r="Q136">
        <f t="shared" si="44"/>
        <v>2.2799999999999998</v>
      </c>
      <c r="R136">
        <f t="shared" si="45"/>
        <v>4.12</v>
      </c>
      <c r="S136">
        <f t="shared" si="46"/>
        <v>6.4</v>
      </c>
      <c r="U136">
        <v>2008</v>
      </c>
      <c r="V136">
        <v>44.88</v>
      </c>
      <c r="X136" s="17">
        <f t="shared" si="47"/>
        <v>3.6096256684491977E-2</v>
      </c>
      <c r="Y136" s="17">
        <f t="shared" si="48"/>
        <v>6.6844919786096246E-2</v>
      </c>
      <c r="Z136" s="17">
        <f t="shared" si="49"/>
        <v>0.13770053475935806</v>
      </c>
      <c r="AA136" s="17">
        <f t="shared" si="50"/>
        <v>0.25356506238858956</v>
      </c>
      <c r="AB136" s="17">
        <f t="shared" si="51"/>
        <v>0.23373440285204991</v>
      </c>
      <c r="AC136" s="17">
        <f t="shared" si="52"/>
        <v>0.12232620320855615</v>
      </c>
      <c r="AD136" s="17">
        <f t="shared" si="53"/>
        <v>5.080213903743315E-2</v>
      </c>
      <c r="AE136" s="17">
        <f t="shared" si="54"/>
        <v>0</v>
      </c>
      <c r="AF136" s="17">
        <f t="shared" si="55"/>
        <v>0</v>
      </c>
      <c r="AG136" s="17">
        <f t="shared" si="56"/>
        <v>9.1800356506238856E-2</v>
      </c>
      <c r="AH136" s="17">
        <f t="shared" si="57"/>
        <v>0</v>
      </c>
      <c r="AI136" s="17">
        <f t="shared" si="58"/>
        <v>0</v>
      </c>
      <c r="AJ136" s="17">
        <f t="shared" si="59"/>
        <v>0</v>
      </c>
      <c r="AK136" s="17">
        <f t="shared" si="60"/>
        <v>0.35606060606060608</v>
      </c>
      <c r="AL136" s="17">
        <f t="shared" si="61"/>
        <v>5.080213903743315E-2</v>
      </c>
      <c r="AM136" s="17">
        <f t="shared" si="62"/>
        <v>9.1800356506238856E-2</v>
      </c>
      <c r="AN136" s="17">
        <f t="shared" si="63"/>
        <v>0.14260249554367202</v>
      </c>
      <c r="AP136" s="7" t="s">
        <v>0</v>
      </c>
      <c r="AQ136" s="7" t="s">
        <v>18</v>
      </c>
    </row>
    <row r="137" spans="1:43" ht="18.75" x14ac:dyDescent="0.3">
      <c r="A137">
        <v>2009</v>
      </c>
      <c r="B137">
        <v>0</v>
      </c>
      <c r="C137">
        <v>2.0299999999999998</v>
      </c>
      <c r="D137">
        <v>3.42</v>
      </c>
      <c r="E137">
        <v>7.17</v>
      </c>
      <c r="F137">
        <v>13.38</v>
      </c>
      <c r="G137" s="13">
        <v>16.8399999999999</v>
      </c>
      <c r="H137" s="13">
        <v>5.4</v>
      </c>
      <c r="I137" s="14">
        <v>4.6100000000000003</v>
      </c>
      <c r="J137" s="14">
        <v>7.97</v>
      </c>
      <c r="K137" s="14">
        <v>3.15</v>
      </c>
      <c r="L137" s="15">
        <v>0</v>
      </c>
      <c r="M137" s="15">
        <v>0</v>
      </c>
      <c r="N137" s="15">
        <v>0</v>
      </c>
      <c r="O137" s="15">
        <v>0</v>
      </c>
      <c r="P137">
        <f t="shared" si="43"/>
        <v>22.239999999999903</v>
      </c>
      <c r="Q137">
        <f t="shared" si="44"/>
        <v>15.73</v>
      </c>
      <c r="R137">
        <f t="shared" si="45"/>
        <v>0</v>
      </c>
      <c r="S137">
        <f t="shared" si="46"/>
        <v>15.73</v>
      </c>
      <c r="U137">
        <v>2009</v>
      </c>
      <c r="V137">
        <v>64.180000000000007</v>
      </c>
      <c r="X137" s="17">
        <f t="shared" si="47"/>
        <v>3.1629791212215638E-2</v>
      </c>
      <c r="Y137" s="17">
        <f t="shared" si="48"/>
        <v>5.3287628544717976E-2</v>
      </c>
      <c r="Z137" s="17">
        <f t="shared" si="49"/>
        <v>0.11171704580866312</v>
      </c>
      <c r="AA137" s="17">
        <f t="shared" si="50"/>
        <v>0.2084761607977563</v>
      </c>
      <c r="AB137" s="17">
        <f t="shared" si="51"/>
        <v>0.26238703645995481</v>
      </c>
      <c r="AC137" s="17">
        <f t="shared" si="52"/>
        <v>8.4138360860081016E-2</v>
      </c>
      <c r="AD137" s="17">
        <f t="shared" si="53"/>
        <v>7.1829230289809906E-2</v>
      </c>
      <c r="AE137" s="17">
        <f t="shared" si="54"/>
        <v>0.12418198815830475</v>
      </c>
      <c r="AF137" s="17">
        <f t="shared" si="55"/>
        <v>4.908071050171392E-2</v>
      </c>
      <c r="AG137" s="17">
        <f t="shared" si="56"/>
        <v>0</v>
      </c>
      <c r="AH137" s="17">
        <f t="shared" si="57"/>
        <v>0</v>
      </c>
      <c r="AI137" s="17">
        <f t="shared" si="58"/>
        <v>0</v>
      </c>
      <c r="AJ137" s="17">
        <f t="shared" si="59"/>
        <v>0</v>
      </c>
      <c r="AK137" s="17">
        <f t="shared" si="60"/>
        <v>0.34652539732003584</v>
      </c>
      <c r="AL137" s="17">
        <f t="shared" si="61"/>
        <v>0.24509192894982859</v>
      </c>
      <c r="AM137" s="17">
        <f t="shared" si="62"/>
        <v>0</v>
      </c>
      <c r="AN137" s="17">
        <f t="shared" si="63"/>
        <v>0.24509192894982859</v>
      </c>
      <c r="AP137" s="7" t="s">
        <v>1</v>
      </c>
      <c r="AQ137" s="7" t="s">
        <v>19</v>
      </c>
    </row>
    <row r="138" spans="1:43" ht="18.75" x14ac:dyDescent="0.3">
      <c r="A138">
        <v>2010</v>
      </c>
      <c r="B138">
        <v>0</v>
      </c>
      <c r="C138">
        <v>1.61</v>
      </c>
      <c r="D138">
        <v>2.93</v>
      </c>
      <c r="E138">
        <v>4.34</v>
      </c>
      <c r="F138">
        <v>10.409999999999901</v>
      </c>
      <c r="G138" s="13">
        <v>9.2399999999999896</v>
      </c>
      <c r="H138" s="13">
        <v>8.93</v>
      </c>
      <c r="I138" s="14">
        <v>2.0499999999999998</v>
      </c>
      <c r="J138" s="14">
        <v>5.6899999999999897</v>
      </c>
      <c r="K138" s="14">
        <v>0</v>
      </c>
      <c r="L138" s="15">
        <v>0</v>
      </c>
      <c r="M138" s="15">
        <v>0</v>
      </c>
      <c r="N138" s="15">
        <v>0</v>
      </c>
      <c r="O138" s="15">
        <v>0</v>
      </c>
      <c r="P138">
        <f t="shared" si="43"/>
        <v>18.169999999999987</v>
      </c>
      <c r="Q138">
        <f t="shared" si="44"/>
        <v>7.7399999999999896</v>
      </c>
      <c r="R138">
        <f t="shared" si="45"/>
        <v>0</v>
      </c>
      <c r="S138">
        <f t="shared" si="46"/>
        <v>7.7399999999999896</v>
      </c>
      <c r="U138">
        <v>2010</v>
      </c>
      <c r="V138">
        <v>45.39</v>
      </c>
      <c r="X138" s="17">
        <f t="shared" si="47"/>
        <v>3.5470367922449883E-2</v>
      </c>
      <c r="Y138" s="17">
        <f t="shared" si="48"/>
        <v>6.4551663361974002E-2</v>
      </c>
      <c r="Z138" s="17">
        <f t="shared" si="49"/>
        <v>9.5615774399647496E-2</v>
      </c>
      <c r="AA138" s="17">
        <f t="shared" si="50"/>
        <v>0.22934567085260851</v>
      </c>
      <c r="AB138" s="17">
        <f t="shared" si="51"/>
        <v>0.20356906807666864</v>
      </c>
      <c r="AC138" s="17">
        <f t="shared" si="52"/>
        <v>0.19673936990526547</v>
      </c>
      <c r="AD138" s="17">
        <f t="shared" si="53"/>
        <v>4.5164133068957918E-2</v>
      </c>
      <c r="AE138" s="17">
        <f t="shared" si="54"/>
        <v>0.12535800837188785</v>
      </c>
      <c r="AF138" s="17">
        <f t="shared" si="55"/>
        <v>0</v>
      </c>
      <c r="AG138" s="17">
        <f t="shared" si="56"/>
        <v>0</v>
      </c>
      <c r="AH138" s="17">
        <f t="shared" si="57"/>
        <v>0</v>
      </c>
      <c r="AI138" s="17">
        <f t="shared" si="58"/>
        <v>0</v>
      </c>
      <c r="AJ138" s="17">
        <f t="shared" si="59"/>
        <v>0</v>
      </c>
      <c r="AK138" s="17">
        <f t="shared" si="60"/>
        <v>0.40030843798193405</v>
      </c>
      <c r="AL138" s="17">
        <f t="shared" si="61"/>
        <v>0.17052214144084576</v>
      </c>
      <c r="AM138" s="17">
        <f t="shared" si="62"/>
        <v>0</v>
      </c>
      <c r="AN138" s="17">
        <f t="shared" si="63"/>
        <v>0.17052214144084576</v>
      </c>
      <c r="AP138" s="7" t="s">
        <v>2</v>
      </c>
      <c r="AQ138" s="7" t="s">
        <v>20</v>
      </c>
    </row>
    <row r="139" spans="1:43" ht="18.75" x14ac:dyDescent="0.3">
      <c r="A139">
        <v>2011</v>
      </c>
      <c r="B139">
        <v>0</v>
      </c>
      <c r="C139">
        <v>1.52</v>
      </c>
      <c r="D139">
        <v>3.29</v>
      </c>
      <c r="E139">
        <v>6.43</v>
      </c>
      <c r="F139">
        <v>17.259999999999899</v>
      </c>
      <c r="G139" s="13">
        <v>6.0699999999999896</v>
      </c>
      <c r="H139" s="13">
        <v>3.53</v>
      </c>
      <c r="I139" s="14">
        <v>2.11</v>
      </c>
      <c r="J139" s="14">
        <v>0</v>
      </c>
      <c r="K139" s="14">
        <v>0</v>
      </c>
      <c r="L139" s="15">
        <v>4.0999999999999996</v>
      </c>
      <c r="M139" s="15">
        <v>0</v>
      </c>
      <c r="N139" s="15">
        <v>0</v>
      </c>
      <c r="O139" s="15">
        <v>0</v>
      </c>
      <c r="P139">
        <f t="shared" si="43"/>
        <v>9.599999999999989</v>
      </c>
      <c r="Q139">
        <f t="shared" si="44"/>
        <v>2.11</v>
      </c>
      <c r="R139">
        <f t="shared" si="45"/>
        <v>4.0999999999999996</v>
      </c>
      <c r="S139">
        <f t="shared" si="46"/>
        <v>6.2099999999999991</v>
      </c>
      <c r="U139">
        <v>2011</v>
      </c>
      <c r="V139">
        <v>44.54</v>
      </c>
      <c r="X139" s="17">
        <f t="shared" si="47"/>
        <v>3.4126627750336778E-2</v>
      </c>
      <c r="Y139" s="17">
        <f t="shared" si="48"/>
        <v>7.3866187696452631E-2</v>
      </c>
      <c r="Z139" s="17">
        <f t="shared" si="49"/>
        <v>0.1443646160754378</v>
      </c>
      <c r="AA139" s="17">
        <f t="shared" si="50"/>
        <v>0.38751683879658505</v>
      </c>
      <c r="AB139" s="17">
        <f t="shared" si="51"/>
        <v>0.13628199371351571</v>
      </c>
      <c r="AC139" s="17">
        <f t="shared" si="52"/>
        <v>7.9254602604400537E-2</v>
      </c>
      <c r="AD139" s="17">
        <f t="shared" si="53"/>
        <v>4.7373147732375394E-2</v>
      </c>
      <c r="AE139" s="17">
        <f t="shared" si="54"/>
        <v>0</v>
      </c>
      <c r="AF139" s="17">
        <f t="shared" si="55"/>
        <v>0</v>
      </c>
      <c r="AG139" s="17">
        <f t="shared" si="56"/>
        <v>9.2052088010776828E-2</v>
      </c>
      <c r="AH139" s="17">
        <f t="shared" si="57"/>
        <v>0</v>
      </c>
      <c r="AI139" s="17">
        <f t="shared" si="58"/>
        <v>0</v>
      </c>
      <c r="AJ139" s="17">
        <f t="shared" si="59"/>
        <v>0</v>
      </c>
      <c r="AK139" s="17">
        <f t="shared" si="60"/>
        <v>0.21553659631791625</v>
      </c>
      <c r="AL139" s="17">
        <f t="shared" si="61"/>
        <v>4.7373147732375394E-2</v>
      </c>
      <c r="AM139" s="17">
        <f t="shared" si="62"/>
        <v>9.2052088010776828E-2</v>
      </c>
      <c r="AN139" s="17">
        <f t="shared" si="63"/>
        <v>0.13942523574315221</v>
      </c>
      <c r="AP139" s="7" t="s">
        <v>3</v>
      </c>
      <c r="AQ139" s="7" t="s">
        <v>21</v>
      </c>
    </row>
    <row r="140" spans="1:43" ht="18.75" x14ac:dyDescent="0.3">
      <c r="A140">
        <v>2012</v>
      </c>
      <c r="B140">
        <v>0</v>
      </c>
      <c r="C140">
        <v>1.73</v>
      </c>
      <c r="D140">
        <v>4.4000000000000004</v>
      </c>
      <c r="E140">
        <v>5.69</v>
      </c>
      <c r="F140">
        <v>10.7099999999999</v>
      </c>
      <c r="G140" s="13">
        <v>8.81</v>
      </c>
      <c r="H140" s="13">
        <v>6.83</v>
      </c>
      <c r="I140" s="14">
        <v>4.43</v>
      </c>
      <c r="J140" s="14">
        <v>0</v>
      </c>
      <c r="K140" s="14">
        <v>0</v>
      </c>
      <c r="L140" s="15">
        <v>0</v>
      </c>
      <c r="M140" s="15">
        <v>0</v>
      </c>
      <c r="N140" s="15">
        <v>0</v>
      </c>
      <c r="O140" s="15">
        <v>7.16</v>
      </c>
      <c r="P140">
        <f t="shared" si="43"/>
        <v>15.64</v>
      </c>
      <c r="Q140">
        <f t="shared" si="44"/>
        <v>4.43</v>
      </c>
      <c r="R140">
        <f t="shared" si="45"/>
        <v>7.16</v>
      </c>
      <c r="S140">
        <f t="shared" si="46"/>
        <v>11.59</v>
      </c>
      <c r="U140">
        <v>2012</v>
      </c>
      <c r="V140">
        <v>49.99</v>
      </c>
      <c r="X140" s="17">
        <f t="shared" si="47"/>
        <v>3.4606921384276852E-2</v>
      </c>
      <c r="Y140" s="17">
        <f t="shared" si="48"/>
        <v>8.8017603520704146E-2</v>
      </c>
      <c r="Z140" s="17">
        <f t="shared" si="49"/>
        <v>0.11382276455291059</v>
      </c>
      <c r="AA140" s="17">
        <f t="shared" si="50"/>
        <v>0.21424284856971193</v>
      </c>
      <c r="AB140" s="17">
        <f t="shared" si="51"/>
        <v>0.17623524704940988</v>
      </c>
      <c r="AC140" s="17">
        <f t="shared" si="52"/>
        <v>0.13662732546509301</v>
      </c>
      <c r="AD140" s="17">
        <f t="shared" si="53"/>
        <v>8.8617723544708926E-2</v>
      </c>
      <c r="AE140" s="17">
        <f t="shared" si="54"/>
        <v>0</v>
      </c>
      <c r="AF140" s="17">
        <f t="shared" si="55"/>
        <v>0</v>
      </c>
      <c r="AG140" s="17">
        <f t="shared" si="56"/>
        <v>0</v>
      </c>
      <c r="AH140" s="17">
        <f t="shared" si="57"/>
        <v>0</v>
      </c>
      <c r="AI140" s="17">
        <f t="shared" si="58"/>
        <v>0</v>
      </c>
      <c r="AJ140" s="17">
        <f t="shared" si="59"/>
        <v>0.14322864572914581</v>
      </c>
      <c r="AK140" s="17">
        <f t="shared" si="60"/>
        <v>0.31286257251450289</v>
      </c>
      <c r="AL140" s="17">
        <f t="shared" si="61"/>
        <v>8.8617723544708926E-2</v>
      </c>
      <c r="AM140" s="17">
        <f t="shared" si="62"/>
        <v>0.14322864572914581</v>
      </c>
      <c r="AN140" s="17">
        <f t="shared" si="63"/>
        <v>0.23184636927385477</v>
      </c>
      <c r="AP140" s="7" t="s">
        <v>4</v>
      </c>
      <c r="AQ140" s="7" t="s">
        <v>22</v>
      </c>
    </row>
    <row r="141" spans="1:43" ht="18.75" x14ac:dyDescent="0.3">
      <c r="A141">
        <v>2013</v>
      </c>
      <c r="B141">
        <v>0</v>
      </c>
      <c r="C141">
        <v>2.02</v>
      </c>
      <c r="D141">
        <v>3.34</v>
      </c>
      <c r="E141">
        <v>7.32</v>
      </c>
      <c r="F141">
        <v>7.72</v>
      </c>
      <c r="G141" s="13">
        <v>12.98</v>
      </c>
      <c r="H141" s="13">
        <v>1.92</v>
      </c>
      <c r="I141" s="14">
        <v>4.75</v>
      </c>
      <c r="J141" s="14">
        <v>2.62</v>
      </c>
      <c r="K141" s="14">
        <v>0</v>
      </c>
      <c r="L141" s="15">
        <v>0</v>
      </c>
      <c r="M141" s="15">
        <v>0</v>
      </c>
      <c r="N141" s="15">
        <v>0</v>
      </c>
      <c r="O141" s="15">
        <v>0</v>
      </c>
      <c r="P141">
        <f t="shared" si="43"/>
        <v>14.9</v>
      </c>
      <c r="Q141">
        <f t="shared" si="44"/>
        <v>7.37</v>
      </c>
      <c r="R141">
        <f t="shared" si="45"/>
        <v>0</v>
      </c>
      <c r="S141">
        <f t="shared" si="46"/>
        <v>7.37</v>
      </c>
      <c r="U141">
        <v>2013</v>
      </c>
      <c r="V141">
        <v>43.03</v>
      </c>
      <c r="X141" s="17">
        <f t="shared" si="47"/>
        <v>4.6943992563327909E-2</v>
      </c>
      <c r="Y141" s="17">
        <f t="shared" si="48"/>
        <v>7.7620264931443167E-2</v>
      </c>
      <c r="Z141" s="17">
        <f t="shared" si="49"/>
        <v>0.17011387404136649</v>
      </c>
      <c r="AA141" s="17">
        <f t="shared" si="50"/>
        <v>0.17940971415291657</v>
      </c>
      <c r="AB141" s="17">
        <f t="shared" si="51"/>
        <v>0.30165001161980015</v>
      </c>
      <c r="AC141" s="17">
        <f t="shared" si="52"/>
        <v>4.462003253544039E-2</v>
      </c>
      <c r="AD141" s="17">
        <f t="shared" si="53"/>
        <v>0.11038810132465721</v>
      </c>
      <c r="AE141" s="17">
        <f t="shared" si="54"/>
        <v>6.0887752730653034E-2</v>
      </c>
      <c r="AF141" s="17">
        <f t="shared" si="55"/>
        <v>0</v>
      </c>
      <c r="AG141" s="17">
        <f t="shared" si="56"/>
        <v>0</v>
      </c>
      <c r="AH141" s="17">
        <f t="shared" si="57"/>
        <v>0</v>
      </c>
      <c r="AI141" s="17">
        <f t="shared" si="58"/>
        <v>0</v>
      </c>
      <c r="AJ141" s="17">
        <f t="shared" si="59"/>
        <v>0</v>
      </c>
      <c r="AK141" s="17">
        <f t="shared" si="60"/>
        <v>0.34627004415524054</v>
      </c>
      <c r="AL141" s="17">
        <f t="shared" si="61"/>
        <v>0.17127585405531023</v>
      </c>
      <c r="AM141" s="17">
        <f t="shared" si="62"/>
        <v>0</v>
      </c>
      <c r="AN141" s="17">
        <f t="shared" si="63"/>
        <v>0.17127585405531023</v>
      </c>
      <c r="AP141" s="7" t="s">
        <v>23</v>
      </c>
      <c r="AQ141" s="7" t="s">
        <v>37</v>
      </c>
    </row>
    <row r="142" spans="1:43" ht="18.75" x14ac:dyDescent="0.3">
      <c r="A142">
        <v>2014</v>
      </c>
      <c r="B142">
        <v>0</v>
      </c>
      <c r="C142">
        <v>1.69</v>
      </c>
      <c r="D142">
        <v>4.3099999999999996</v>
      </c>
      <c r="E142">
        <v>4.5</v>
      </c>
      <c r="F142">
        <v>8.21999999999999</v>
      </c>
      <c r="G142" s="13">
        <v>12.25</v>
      </c>
      <c r="H142" s="13">
        <v>5.77</v>
      </c>
      <c r="I142" s="14">
        <v>6.61</v>
      </c>
      <c r="J142" s="14">
        <v>2.76</v>
      </c>
      <c r="K142" s="14">
        <v>3.04</v>
      </c>
      <c r="L142" s="15">
        <v>0</v>
      </c>
      <c r="M142" s="15">
        <v>0</v>
      </c>
      <c r="N142" s="15">
        <v>0</v>
      </c>
      <c r="O142" s="15">
        <v>0</v>
      </c>
      <c r="P142">
        <f t="shared" si="43"/>
        <v>18.02</v>
      </c>
      <c r="Q142">
        <f t="shared" si="44"/>
        <v>12.41</v>
      </c>
      <c r="R142">
        <f t="shared" si="45"/>
        <v>0</v>
      </c>
      <c r="S142">
        <f t="shared" si="46"/>
        <v>12.41</v>
      </c>
      <c r="U142">
        <v>2014</v>
      </c>
      <c r="V142">
        <v>49.44</v>
      </c>
      <c r="X142" s="17">
        <f t="shared" si="47"/>
        <v>3.4182847896440133E-2</v>
      </c>
      <c r="Y142" s="17">
        <f t="shared" si="48"/>
        <v>8.7176375404530743E-2</v>
      </c>
      <c r="Z142" s="17">
        <f t="shared" si="49"/>
        <v>9.1019417475728157E-2</v>
      </c>
      <c r="AA142" s="17">
        <f t="shared" si="50"/>
        <v>0.16626213592232991</v>
      </c>
      <c r="AB142" s="17">
        <f t="shared" si="51"/>
        <v>0.24777508090614889</v>
      </c>
      <c r="AC142" s="17">
        <f t="shared" si="52"/>
        <v>0.11670711974110032</v>
      </c>
      <c r="AD142" s="17">
        <f t="shared" si="53"/>
        <v>0.13369741100323626</v>
      </c>
      <c r="AE142" s="17">
        <f t="shared" si="54"/>
        <v>5.5825242718446598E-2</v>
      </c>
      <c r="AF142" s="17">
        <f t="shared" si="55"/>
        <v>6.1488673139158581E-2</v>
      </c>
      <c r="AG142" s="17">
        <f t="shared" si="56"/>
        <v>0</v>
      </c>
      <c r="AH142" s="17">
        <f t="shared" si="57"/>
        <v>0</v>
      </c>
      <c r="AI142" s="17">
        <f t="shared" si="58"/>
        <v>0</v>
      </c>
      <c r="AJ142" s="17">
        <f t="shared" si="59"/>
        <v>0</v>
      </c>
      <c r="AK142" s="17">
        <f t="shared" si="60"/>
        <v>0.36448220064724918</v>
      </c>
      <c r="AL142" s="17">
        <f t="shared" si="61"/>
        <v>0.25101132686084143</v>
      </c>
      <c r="AM142" s="17">
        <f t="shared" si="62"/>
        <v>0</v>
      </c>
      <c r="AN142" s="17">
        <f t="shared" si="63"/>
        <v>0.25101132686084143</v>
      </c>
      <c r="AP142" s="7" t="s">
        <v>25</v>
      </c>
      <c r="AQ142" s="7" t="s">
        <v>38</v>
      </c>
    </row>
    <row r="143" spans="1:43" x14ac:dyDescent="0.25">
      <c r="A143">
        <v>2015</v>
      </c>
      <c r="B143">
        <v>0</v>
      </c>
      <c r="C143">
        <v>1.44</v>
      </c>
      <c r="D143">
        <v>2.81</v>
      </c>
      <c r="E143">
        <v>6.56</v>
      </c>
      <c r="F143">
        <v>14.29</v>
      </c>
      <c r="G143" s="13">
        <v>7.37</v>
      </c>
      <c r="H143" s="13">
        <v>1.76</v>
      </c>
      <c r="I143" s="14">
        <v>4.8</v>
      </c>
      <c r="J143" s="14">
        <v>2.72</v>
      </c>
      <c r="K143" s="14">
        <v>0</v>
      </c>
      <c r="L143" s="15">
        <v>0</v>
      </c>
      <c r="M143" s="15">
        <v>0</v>
      </c>
      <c r="N143" s="15">
        <v>0</v>
      </c>
      <c r="O143" s="15">
        <v>0</v>
      </c>
      <c r="P143">
        <f t="shared" si="43"/>
        <v>9.1300000000000008</v>
      </c>
      <c r="Q143">
        <f t="shared" si="44"/>
        <v>7.52</v>
      </c>
      <c r="R143">
        <f t="shared" si="45"/>
        <v>0</v>
      </c>
      <c r="S143">
        <f t="shared" si="46"/>
        <v>7.52</v>
      </c>
      <c r="U143">
        <v>2015</v>
      </c>
      <c r="V143">
        <v>42.04</v>
      </c>
      <c r="X143" s="17">
        <f t="shared" si="47"/>
        <v>3.4253092293054233E-2</v>
      </c>
      <c r="Y143" s="17">
        <f t="shared" si="48"/>
        <v>6.6841103710751665E-2</v>
      </c>
      <c r="Z143" s="17">
        <f t="shared" si="49"/>
        <v>0.15604186489058039</v>
      </c>
      <c r="AA143" s="17">
        <f t="shared" si="50"/>
        <v>0.33991436726926733</v>
      </c>
      <c r="AB143" s="17">
        <f t="shared" si="51"/>
        <v>0.17530922930542342</v>
      </c>
      <c r="AC143" s="17">
        <f t="shared" si="52"/>
        <v>4.1864890580399619E-2</v>
      </c>
      <c r="AD143" s="17">
        <f t="shared" si="53"/>
        <v>0.11417697431018078</v>
      </c>
      <c r="AE143" s="17">
        <f t="shared" si="54"/>
        <v>6.4700285442435779E-2</v>
      </c>
      <c r="AF143" s="17">
        <f t="shared" si="55"/>
        <v>0</v>
      </c>
      <c r="AG143" s="17">
        <f t="shared" si="56"/>
        <v>0</v>
      </c>
      <c r="AH143" s="17">
        <f t="shared" si="57"/>
        <v>0</v>
      </c>
      <c r="AI143" s="17">
        <f t="shared" si="58"/>
        <v>0</v>
      </c>
      <c r="AJ143" s="17">
        <f t="shared" si="59"/>
        <v>0</v>
      </c>
      <c r="AK143" s="17">
        <f t="shared" si="60"/>
        <v>0.21717411988582305</v>
      </c>
      <c r="AL143" s="17">
        <f t="shared" si="61"/>
        <v>0.17887725975261654</v>
      </c>
      <c r="AM143" s="17">
        <f t="shared" si="62"/>
        <v>0</v>
      </c>
      <c r="AN143" s="17">
        <f t="shared" si="63"/>
        <v>0.17887725975261654</v>
      </c>
    </row>
    <row r="144" spans="1:43" x14ac:dyDescent="0.25">
      <c r="A144">
        <v>2016</v>
      </c>
      <c r="B144">
        <v>0</v>
      </c>
      <c r="C144">
        <v>1.47</v>
      </c>
      <c r="D144">
        <v>4.0999999999999996</v>
      </c>
      <c r="E144">
        <v>8.9499999999999993</v>
      </c>
      <c r="F144">
        <v>12.2799999999999</v>
      </c>
      <c r="G144" s="13">
        <v>5.5299999999999896</v>
      </c>
      <c r="H144" s="13">
        <v>1.68</v>
      </c>
      <c r="I144" s="14">
        <v>2.14</v>
      </c>
      <c r="J144" s="14">
        <v>2.96</v>
      </c>
      <c r="K144" s="14">
        <v>0</v>
      </c>
      <c r="L144" s="15">
        <v>4.32</v>
      </c>
      <c r="M144" s="15">
        <v>0</v>
      </c>
      <c r="N144" s="15">
        <v>0</v>
      </c>
      <c r="O144" s="15">
        <v>0</v>
      </c>
      <c r="P144">
        <f t="shared" si="43"/>
        <v>7.2099999999999893</v>
      </c>
      <c r="Q144">
        <f t="shared" si="44"/>
        <v>5.0999999999999996</v>
      </c>
      <c r="R144">
        <f t="shared" si="45"/>
        <v>4.32</v>
      </c>
      <c r="S144">
        <f t="shared" si="46"/>
        <v>9.42</v>
      </c>
      <c r="U144">
        <v>2016</v>
      </c>
      <c r="V144">
        <v>43.61</v>
      </c>
      <c r="X144" s="17">
        <f t="shared" si="47"/>
        <v>3.3707865168539325E-2</v>
      </c>
      <c r="Y144" s="17">
        <f t="shared" si="48"/>
        <v>9.4015134143545051E-2</v>
      </c>
      <c r="Z144" s="17">
        <f t="shared" si="49"/>
        <v>0.20522815867920199</v>
      </c>
      <c r="AA144" s="17">
        <f t="shared" si="50"/>
        <v>0.28158679202017656</v>
      </c>
      <c r="AB144" s="17">
        <f t="shared" si="51"/>
        <v>0.1268057784911715</v>
      </c>
      <c r="AC144" s="17">
        <f t="shared" si="52"/>
        <v>3.8523274478330656E-2</v>
      </c>
      <c r="AD144" s="17">
        <f t="shared" si="53"/>
        <v>4.9071313918825958E-2</v>
      </c>
      <c r="AE144" s="17">
        <f t="shared" si="54"/>
        <v>6.787434074753497E-2</v>
      </c>
      <c r="AF144" s="17">
        <f t="shared" si="55"/>
        <v>0</v>
      </c>
      <c r="AG144" s="17">
        <f t="shared" si="56"/>
        <v>9.9059848658564556E-2</v>
      </c>
      <c r="AH144" s="17">
        <f t="shared" si="57"/>
        <v>0</v>
      </c>
      <c r="AI144" s="17">
        <f t="shared" si="58"/>
        <v>0</v>
      </c>
      <c r="AJ144" s="17">
        <f t="shared" si="59"/>
        <v>0</v>
      </c>
      <c r="AK144" s="17">
        <f t="shared" si="60"/>
        <v>0.16532905296950218</v>
      </c>
      <c r="AL144" s="17">
        <f t="shared" si="61"/>
        <v>0.11694565466636092</v>
      </c>
      <c r="AM144" s="17">
        <f t="shared" si="62"/>
        <v>9.9059848658564556E-2</v>
      </c>
      <c r="AN144" s="17">
        <f t="shared" si="63"/>
        <v>0.21600550332492549</v>
      </c>
    </row>
    <row r="145" spans="1:40" x14ac:dyDescent="0.25">
      <c r="A145">
        <v>2017</v>
      </c>
      <c r="B145">
        <v>0</v>
      </c>
      <c r="C145">
        <v>1.83</v>
      </c>
      <c r="D145">
        <v>3.46999999999999</v>
      </c>
      <c r="E145">
        <v>6.67</v>
      </c>
      <c r="F145">
        <v>6.18</v>
      </c>
      <c r="G145" s="13">
        <v>9.6999999999999993</v>
      </c>
      <c r="H145" s="13">
        <v>6.6099999999999897</v>
      </c>
      <c r="I145" s="14">
        <v>0</v>
      </c>
      <c r="J145" s="14">
        <v>5.47</v>
      </c>
      <c r="K145" s="14">
        <v>6.45</v>
      </c>
      <c r="L145" s="15">
        <v>0</v>
      </c>
      <c r="M145" s="15">
        <v>0</v>
      </c>
      <c r="N145" s="15">
        <v>0</v>
      </c>
      <c r="O145" s="15">
        <v>0</v>
      </c>
      <c r="P145">
        <f t="shared" si="43"/>
        <v>16.309999999999988</v>
      </c>
      <c r="Q145">
        <f t="shared" si="44"/>
        <v>11.92</v>
      </c>
      <c r="R145">
        <f t="shared" si="45"/>
        <v>0</v>
      </c>
      <c r="S145">
        <f t="shared" si="46"/>
        <v>11.92</v>
      </c>
      <c r="U145">
        <v>2017</v>
      </c>
      <c r="V145">
        <v>46.62</v>
      </c>
      <c r="X145" s="17">
        <f t="shared" si="47"/>
        <v>3.9253539253539256E-2</v>
      </c>
      <c r="Y145" s="17">
        <f t="shared" si="48"/>
        <v>7.4431574431574221E-2</v>
      </c>
      <c r="Z145" s="17">
        <f t="shared" si="49"/>
        <v>0.14307164307164308</v>
      </c>
      <c r="AA145" s="17">
        <f t="shared" si="50"/>
        <v>0.13256113256113256</v>
      </c>
      <c r="AB145" s="17">
        <f t="shared" si="51"/>
        <v>0.20806520806520806</v>
      </c>
      <c r="AC145" s="17">
        <f t="shared" si="52"/>
        <v>0.14178464178464156</v>
      </c>
      <c r="AD145" s="17">
        <f t="shared" si="53"/>
        <v>0</v>
      </c>
      <c r="AE145" s="17">
        <f t="shared" si="54"/>
        <v>0.11733161733161733</v>
      </c>
      <c r="AF145" s="17">
        <f t="shared" si="55"/>
        <v>0.13835263835263836</v>
      </c>
      <c r="AG145" s="17">
        <f t="shared" si="56"/>
        <v>0</v>
      </c>
      <c r="AH145" s="17">
        <f t="shared" si="57"/>
        <v>0</v>
      </c>
      <c r="AI145" s="17">
        <f t="shared" si="58"/>
        <v>0</v>
      </c>
      <c r="AJ145" s="17">
        <f t="shared" si="59"/>
        <v>0</v>
      </c>
      <c r="AK145" s="17">
        <f t="shared" si="60"/>
        <v>0.34984984984984963</v>
      </c>
      <c r="AL145" s="17">
        <f t="shared" si="61"/>
        <v>0.25568425568425568</v>
      </c>
      <c r="AM145" s="17">
        <f t="shared" si="62"/>
        <v>0</v>
      </c>
      <c r="AN145" s="17">
        <f t="shared" si="63"/>
        <v>0.25568425568425568</v>
      </c>
    </row>
    <row r="147" spans="1:40" x14ac:dyDescent="0.25">
      <c r="A147" s="28" t="s">
        <v>58</v>
      </c>
      <c r="B147">
        <f>AVERAGE(B109:B138)</f>
        <v>0</v>
      </c>
      <c r="C147" s="21">
        <f>AVERAGE(C116:C145)</f>
        <v>1.4709999999999996</v>
      </c>
      <c r="D147" s="21">
        <f t="shared" ref="D147:AN147" si="64">AVERAGE(D116:D145)</f>
        <v>3.4696666666666656</v>
      </c>
      <c r="E147" s="21">
        <f t="shared" si="64"/>
        <v>6.2499999999999973</v>
      </c>
      <c r="F147" s="21">
        <f t="shared" si="64"/>
        <v>11.123333333333306</v>
      </c>
      <c r="G147" s="21">
        <f t="shared" si="64"/>
        <v>8.3166666666666575</v>
      </c>
      <c r="H147" s="21">
        <f t="shared" si="64"/>
        <v>3.9609999999999994</v>
      </c>
      <c r="I147" s="21">
        <f t="shared" si="64"/>
        <v>2.7499999999999991</v>
      </c>
      <c r="J147" s="21">
        <f t="shared" si="64"/>
        <v>1.4733333333333329</v>
      </c>
      <c r="K147" s="21">
        <f t="shared" si="64"/>
        <v>1.2076666666666667</v>
      </c>
      <c r="L147" s="21">
        <f t="shared" si="64"/>
        <v>0.41799999999999998</v>
      </c>
      <c r="M147" s="21">
        <f t="shared" si="64"/>
        <v>0.18066666666666667</v>
      </c>
      <c r="N147" s="21">
        <f t="shared" si="64"/>
        <v>0.20299999999999999</v>
      </c>
      <c r="O147" s="21">
        <f t="shared" si="64"/>
        <v>0.23866666666666667</v>
      </c>
      <c r="P147" s="21">
        <f t="shared" si="64"/>
        <v>12.277666666666654</v>
      </c>
      <c r="Q147" s="21">
        <f t="shared" si="64"/>
        <v>5.4309999999999992</v>
      </c>
      <c r="R147" s="21">
        <f t="shared" si="64"/>
        <v>1.0403333333333333</v>
      </c>
      <c r="S147" s="21">
        <f t="shared" si="64"/>
        <v>6.4713333333333329</v>
      </c>
      <c r="T147" s="21"/>
      <c r="U147" s="21"/>
      <c r="V147" s="21">
        <f>AVERAGE(V116:V145)</f>
        <v>41.312333333333328</v>
      </c>
      <c r="W147" s="21" t="e">
        <f t="shared" si="64"/>
        <v>#DIV/0!</v>
      </c>
      <c r="X147" s="27">
        <f t="shared" si="64"/>
        <v>3.5826932322453695E-2</v>
      </c>
      <c r="Y147" s="27">
        <f t="shared" si="64"/>
        <v>8.5398489154813448E-2</v>
      </c>
      <c r="Z147" s="27">
        <f t="shared" si="64"/>
        <v>0.15362837046957481</v>
      </c>
      <c r="AA147" s="27">
        <f t="shared" si="64"/>
        <v>0.27476925900798199</v>
      </c>
      <c r="AB147" s="27">
        <f t="shared" si="64"/>
        <v>0.1978651545259299</v>
      </c>
      <c r="AC147" s="27">
        <f t="shared" si="64"/>
        <v>9.4341431596426398E-2</v>
      </c>
      <c r="AD147" s="27">
        <f t="shared" si="64"/>
        <v>6.5155428455678482E-2</v>
      </c>
      <c r="AE147" s="27">
        <f t="shared" si="64"/>
        <v>3.1364234615832771E-2</v>
      </c>
      <c r="AF147" s="27">
        <f t="shared" si="64"/>
        <v>3.2922241518158764E-2</v>
      </c>
      <c r="AG147" s="27">
        <f t="shared" si="64"/>
        <v>9.4304097725193426E-3</v>
      </c>
      <c r="AH147" s="27">
        <f t="shared" si="64"/>
        <v>3.8003085121301361E-3</v>
      </c>
      <c r="AI147" s="27">
        <f t="shared" si="64"/>
        <v>4.4991134751773045E-3</v>
      </c>
      <c r="AJ147" s="27">
        <f t="shared" si="64"/>
        <v>4.7742881909715274E-3</v>
      </c>
      <c r="AK147" s="27">
        <f t="shared" si="64"/>
        <v>0.29220658612235634</v>
      </c>
      <c r="AL147" s="27">
        <f t="shared" si="64"/>
        <v>0.12944190458967003</v>
      </c>
      <c r="AM147" s="27">
        <f t="shared" si="64"/>
        <v>2.2504119950798311E-2</v>
      </c>
      <c r="AN147" s="27">
        <f t="shared" si="64"/>
        <v>0.15194602454046832</v>
      </c>
    </row>
    <row r="148" spans="1:40" x14ac:dyDescent="0.25">
      <c r="A148" s="28" t="s">
        <v>59</v>
      </c>
      <c r="B148">
        <f>AVERAGE(B2:B145)</f>
        <v>0</v>
      </c>
      <c r="C148" s="21">
        <f>AVERAGE(C2:C115)</f>
        <v>1.7239473684210513</v>
      </c>
      <c r="D148" s="21">
        <f t="shared" ref="D148:AN148" si="65">AVERAGE(D2:D115)</f>
        <v>4.0545614035087718</v>
      </c>
      <c r="E148" s="21">
        <f t="shared" si="65"/>
        <v>7.4622807017543762</v>
      </c>
      <c r="F148" s="21">
        <f t="shared" si="65"/>
        <v>12.171140350877165</v>
      </c>
      <c r="G148" s="21">
        <f t="shared" si="65"/>
        <v>6.6681578947368338</v>
      </c>
      <c r="H148" s="21">
        <f t="shared" si="65"/>
        <v>3.1526315789473673</v>
      </c>
      <c r="I148" s="21">
        <f t="shared" si="65"/>
        <v>1.7639473684210529</v>
      </c>
      <c r="J148" s="21">
        <f t="shared" si="65"/>
        <v>0.97631578947368403</v>
      </c>
      <c r="K148" s="21">
        <f t="shared" si="65"/>
        <v>0.94447368421052624</v>
      </c>
      <c r="L148" s="21">
        <f t="shared" si="65"/>
        <v>0.38631578947368428</v>
      </c>
      <c r="M148" s="21">
        <f t="shared" si="65"/>
        <v>0.18578947368421053</v>
      </c>
      <c r="N148" s="21">
        <f t="shared" si="65"/>
        <v>0.17184210526315791</v>
      </c>
      <c r="O148" s="21">
        <f t="shared" si="65"/>
        <v>0.42684210526315786</v>
      </c>
      <c r="P148" s="21">
        <f t="shared" si="65"/>
        <v>9.8207894736842043</v>
      </c>
      <c r="Q148" s="21">
        <f t="shared" si="65"/>
        <v>3.6847368421052629</v>
      </c>
      <c r="R148" s="21">
        <f t="shared" si="65"/>
        <v>1.1707894736842106</v>
      </c>
      <c r="S148" s="21">
        <f t="shared" si="65"/>
        <v>4.8555263157894721</v>
      </c>
      <c r="T148" s="21"/>
      <c r="U148" s="21"/>
      <c r="V148" s="21">
        <f t="shared" si="65"/>
        <v>40.367192982456125</v>
      </c>
      <c r="W148" s="21" t="e">
        <f t="shared" si="65"/>
        <v>#DIV/0!</v>
      </c>
      <c r="X148" s="27">
        <f t="shared" si="65"/>
        <v>4.3883832260967363E-2</v>
      </c>
      <c r="Y148" s="27">
        <f t="shared" si="65"/>
        <v>0.10327144016381261</v>
      </c>
      <c r="Z148" s="27">
        <f t="shared" si="65"/>
        <v>0.18934917083750022</v>
      </c>
      <c r="AA148" s="27">
        <f t="shared" si="65"/>
        <v>0.30481223099677163</v>
      </c>
      <c r="AB148" s="27">
        <f t="shared" si="65"/>
        <v>0.16450488558418136</v>
      </c>
      <c r="AC148" s="27">
        <f t="shared" si="65"/>
        <v>7.6039167443429867E-2</v>
      </c>
      <c r="AD148" s="27">
        <f t="shared" si="65"/>
        <v>4.3128214481572821E-2</v>
      </c>
      <c r="AE148" s="27">
        <f t="shared" si="65"/>
        <v>2.2940385980655439E-2</v>
      </c>
      <c r="AF148" s="27">
        <f t="shared" si="65"/>
        <v>2.1796233412417935E-2</v>
      </c>
      <c r="AG148" s="27">
        <f t="shared" si="65"/>
        <v>7.4525094138076656E-3</v>
      </c>
      <c r="AH148" s="27">
        <f t="shared" si="65"/>
        <v>3.6804655820218335E-3</v>
      </c>
      <c r="AI148" s="27">
        <f t="shared" si="65"/>
        <v>3.945136535468091E-3</v>
      </c>
      <c r="AJ148" s="27">
        <f t="shared" si="65"/>
        <v>8.0850806601094165E-3</v>
      </c>
      <c r="AK148" s="27">
        <f t="shared" si="65"/>
        <v>0.24054405302761117</v>
      </c>
      <c r="AL148" s="27">
        <f t="shared" si="65"/>
        <v>8.7864833874646206E-2</v>
      </c>
      <c r="AM148" s="27">
        <f t="shared" si="65"/>
        <v>2.3163192191407004E-2</v>
      </c>
      <c r="AN148" s="27">
        <f t="shared" si="65"/>
        <v>0.11102802606605319</v>
      </c>
    </row>
    <row r="149" spans="1:40" x14ac:dyDescent="0.25">
      <c r="V149" s="25">
        <f>V147-V148</f>
        <v>0.94514035087720316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126"/>
  <sheetViews>
    <sheetView zoomScale="70" zoomScaleNormal="70" workbookViewId="0">
      <pane ySplit="1" topLeftCell="A71" activePane="bottomLeft" state="frozen"/>
      <selection pane="bottomLeft" activeCell="W94" sqref="W94"/>
    </sheetView>
  </sheetViews>
  <sheetFormatPr defaultRowHeight="15" x14ac:dyDescent="0.25"/>
  <cols>
    <col min="1" max="1" width="15.7109375" customWidth="1"/>
    <col min="2" max="2" width="6.7109375" hidden="1" customWidth="1"/>
    <col min="3" max="6" width="6.7109375" customWidth="1"/>
    <col min="7" max="15" width="6.7109375" hidden="1" customWidth="1"/>
    <col min="17" max="18" width="0" hidden="1" customWidth="1"/>
    <col min="22" max="22" width="18.5703125" customWidth="1"/>
    <col min="23" max="23" width="17" bestFit="1" customWidth="1"/>
    <col min="24" max="24" width="14.85546875" bestFit="1" customWidth="1"/>
  </cols>
  <sheetData>
    <row r="1" spans="1:29" s="8" customFormat="1" ht="18.75" x14ac:dyDescent="0.3"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8" t="s">
        <v>13</v>
      </c>
      <c r="P1" s="8" t="s">
        <v>23</v>
      </c>
      <c r="Q1" s="8" t="s">
        <v>24</v>
      </c>
      <c r="R1" s="8" t="s">
        <v>29</v>
      </c>
      <c r="S1" s="8" t="s">
        <v>31</v>
      </c>
      <c r="V1" s="7" t="s">
        <v>15</v>
      </c>
      <c r="W1" s="7"/>
      <c r="X1"/>
      <c r="Y1"/>
      <c r="Z1"/>
      <c r="AA1"/>
      <c r="AB1"/>
      <c r="AC1"/>
    </row>
    <row r="2" spans="1:29" ht="18.75" x14ac:dyDescent="0.3">
      <c r="A2">
        <v>1896</v>
      </c>
      <c r="B2">
        <v>284</v>
      </c>
      <c r="C2">
        <v>23</v>
      </c>
      <c r="D2">
        <v>22</v>
      </c>
      <c r="E2">
        <v>10</v>
      </c>
      <c r="F2">
        <v>13</v>
      </c>
      <c r="G2">
        <v>6</v>
      </c>
      <c r="H2">
        <v>2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f>SUM(G2:H2)</f>
        <v>8</v>
      </c>
      <c r="Q2">
        <f>SUM(I2:K2)</f>
        <v>0</v>
      </c>
      <c r="R2">
        <f>SUM(L2:O2)</f>
        <v>0</v>
      </c>
      <c r="S2">
        <f>SUM(Q2:R2)</f>
        <v>0</v>
      </c>
      <c r="V2" s="7" t="s">
        <v>16</v>
      </c>
      <c r="W2" s="7" t="s">
        <v>17</v>
      </c>
      <c r="X2" s="29"/>
      <c r="Y2" s="29"/>
      <c r="Z2" s="29"/>
      <c r="AA2" s="29"/>
      <c r="AB2" s="29"/>
      <c r="AC2" s="29"/>
    </row>
    <row r="3" spans="1:29" ht="18.75" x14ac:dyDescent="0.3">
      <c r="A3">
        <v>1897</v>
      </c>
      <c r="B3">
        <v>258</v>
      </c>
      <c r="C3">
        <v>31</v>
      </c>
      <c r="D3">
        <v>25</v>
      </c>
      <c r="E3">
        <v>17</v>
      </c>
      <c r="F3">
        <v>19</v>
      </c>
      <c r="G3">
        <v>7</v>
      </c>
      <c r="H3">
        <v>7</v>
      </c>
      <c r="I3">
        <v>0</v>
      </c>
      <c r="J3">
        <v>0</v>
      </c>
      <c r="K3">
        <v>1</v>
      </c>
      <c r="L3">
        <v>0</v>
      </c>
      <c r="M3">
        <v>0</v>
      </c>
      <c r="N3">
        <v>0</v>
      </c>
      <c r="O3">
        <v>0</v>
      </c>
      <c r="P3">
        <f t="shared" ref="P3:P66" si="0">SUM(G3:H3)</f>
        <v>14</v>
      </c>
      <c r="Q3">
        <f t="shared" ref="Q3:Q66" si="1">SUM(I3:K3)</f>
        <v>1</v>
      </c>
      <c r="R3">
        <f t="shared" ref="R3:R66" si="2">SUM(L3:O3)</f>
        <v>0</v>
      </c>
      <c r="S3">
        <f t="shared" ref="S3:S66" si="3">SUM(Q3:R3)</f>
        <v>1</v>
      </c>
      <c r="V3" s="7" t="s">
        <v>0</v>
      </c>
      <c r="W3" s="7" t="s">
        <v>18</v>
      </c>
    </row>
    <row r="4" spans="1:29" ht="18.75" x14ac:dyDescent="0.3">
      <c r="A4">
        <v>1898</v>
      </c>
      <c r="B4">
        <v>240</v>
      </c>
      <c r="C4">
        <v>32</v>
      </c>
      <c r="D4">
        <v>29</v>
      </c>
      <c r="E4">
        <v>29</v>
      </c>
      <c r="F4">
        <v>21</v>
      </c>
      <c r="G4">
        <v>9</v>
      </c>
      <c r="H4">
        <v>2</v>
      </c>
      <c r="I4">
        <v>3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f t="shared" si="0"/>
        <v>11</v>
      </c>
      <c r="Q4">
        <f t="shared" si="1"/>
        <v>3</v>
      </c>
      <c r="R4">
        <f t="shared" si="2"/>
        <v>0</v>
      </c>
      <c r="S4">
        <f t="shared" si="3"/>
        <v>3</v>
      </c>
      <c r="V4" s="7" t="s">
        <v>1</v>
      </c>
      <c r="W4" s="7" t="s">
        <v>19</v>
      </c>
    </row>
    <row r="5" spans="1:29" ht="18.75" x14ac:dyDescent="0.3">
      <c r="A5">
        <v>1899</v>
      </c>
      <c r="B5">
        <v>254</v>
      </c>
      <c r="C5">
        <v>28</v>
      </c>
      <c r="D5">
        <v>21</v>
      </c>
      <c r="E5">
        <v>29</v>
      </c>
      <c r="F5">
        <v>20</v>
      </c>
      <c r="G5">
        <v>7</v>
      </c>
      <c r="H5">
        <v>4</v>
      </c>
      <c r="I5">
        <v>2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f t="shared" si="0"/>
        <v>11</v>
      </c>
      <c r="Q5">
        <f t="shared" si="1"/>
        <v>2</v>
      </c>
      <c r="R5">
        <f t="shared" si="2"/>
        <v>0</v>
      </c>
      <c r="S5">
        <f t="shared" si="3"/>
        <v>2</v>
      </c>
      <c r="V5" s="7" t="s">
        <v>2</v>
      </c>
      <c r="W5" s="7" t="s">
        <v>20</v>
      </c>
    </row>
    <row r="6" spans="1:29" ht="18.75" x14ac:dyDescent="0.3">
      <c r="A6">
        <v>1900</v>
      </c>
      <c r="B6">
        <v>270</v>
      </c>
      <c r="C6">
        <v>31</v>
      </c>
      <c r="D6">
        <v>20</v>
      </c>
      <c r="E6">
        <v>15</v>
      </c>
      <c r="F6">
        <v>18</v>
      </c>
      <c r="G6">
        <v>6</v>
      </c>
      <c r="H6">
        <v>3</v>
      </c>
      <c r="I6">
        <v>1</v>
      </c>
      <c r="J6">
        <v>0</v>
      </c>
      <c r="K6">
        <v>1</v>
      </c>
      <c r="L6">
        <v>0</v>
      </c>
      <c r="M6">
        <v>0</v>
      </c>
      <c r="N6">
        <v>0</v>
      </c>
      <c r="O6">
        <v>0</v>
      </c>
      <c r="P6">
        <f t="shared" si="0"/>
        <v>9</v>
      </c>
      <c r="Q6">
        <f t="shared" si="1"/>
        <v>2</v>
      </c>
      <c r="R6">
        <f t="shared" si="2"/>
        <v>0</v>
      </c>
      <c r="S6">
        <f t="shared" si="3"/>
        <v>2</v>
      </c>
      <c r="V6" s="7" t="s">
        <v>3</v>
      </c>
      <c r="W6" s="7" t="s">
        <v>21</v>
      </c>
    </row>
    <row r="7" spans="1:29" ht="18.75" x14ac:dyDescent="0.3">
      <c r="A7">
        <v>1901</v>
      </c>
      <c r="B7">
        <v>254</v>
      </c>
      <c r="C7">
        <v>31</v>
      </c>
      <c r="D7">
        <v>31</v>
      </c>
      <c r="E7">
        <v>17</v>
      </c>
      <c r="F7">
        <v>16</v>
      </c>
      <c r="G7">
        <v>8</v>
      </c>
      <c r="H7">
        <v>3</v>
      </c>
      <c r="I7">
        <v>3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f t="shared" si="0"/>
        <v>11</v>
      </c>
      <c r="Q7">
        <f t="shared" si="1"/>
        <v>5</v>
      </c>
      <c r="R7">
        <f t="shared" si="2"/>
        <v>0</v>
      </c>
      <c r="S7">
        <f t="shared" si="3"/>
        <v>5</v>
      </c>
      <c r="V7" s="7" t="s">
        <v>4</v>
      </c>
      <c r="W7" s="7" t="s">
        <v>22</v>
      </c>
    </row>
    <row r="8" spans="1:29" ht="18.75" x14ac:dyDescent="0.3">
      <c r="A8">
        <v>1902</v>
      </c>
      <c r="B8">
        <v>243</v>
      </c>
      <c r="C8">
        <v>38</v>
      </c>
      <c r="D8">
        <v>25</v>
      </c>
      <c r="E8">
        <v>18</v>
      </c>
      <c r="F8">
        <v>27</v>
      </c>
      <c r="G8">
        <v>9</v>
      </c>
      <c r="H8">
        <v>3</v>
      </c>
      <c r="I8">
        <v>2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f t="shared" si="0"/>
        <v>12</v>
      </c>
      <c r="Q8">
        <f t="shared" si="1"/>
        <v>2</v>
      </c>
      <c r="R8">
        <f t="shared" si="2"/>
        <v>0</v>
      </c>
      <c r="S8">
        <f t="shared" si="3"/>
        <v>2</v>
      </c>
      <c r="V8" s="7" t="s">
        <v>23</v>
      </c>
      <c r="W8" s="7" t="s">
        <v>37</v>
      </c>
    </row>
    <row r="9" spans="1:29" ht="18.75" x14ac:dyDescent="0.3">
      <c r="A9">
        <v>1903</v>
      </c>
      <c r="B9">
        <v>252</v>
      </c>
      <c r="C9">
        <v>30</v>
      </c>
      <c r="D9">
        <v>29</v>
      </c>
      <c r="E9">
        <v>22</v>
      </c>
      <c r="F9">
        <v>21</v>
      </c>
      <c r="G9">
        <v>5</v>
      </c>
      <c r="H9">
        <v>3</v>
      </c>
      <c r="I9">
        <v>1</v>
      </c>
      <c r="J9">
        <v>1</v>
      </c>
      <c r="K9">
        <v>0</v>
      </c>
      <c r="L9">
        <v>0</v>
      </c>
      <c r="M9">
        <v>1</v>
      </c>
      <c r="N9">
        <v>0</v>
      </c>
      <c r="O9">
        <v>0</v>
      </c>
      <c r="P9">
        <f t="shared" si="0"/>
        <v>8</v>
      </c>
      <c r="Q9">
        <f t="shared" si="1"/>
        <v>2</v>
      </c>
      <c r="R9">
        <f t="shared" si="2"/>
        <v>1</v>
      </c>
      <c r="S9">
        <f t="shared" si="3"/>
        <v>3</v>
      </c>
      <c r="V9" s="7" t="s">
        <v>25</v>
      </c>
      <c r="W9" s="7" t="s">
        <v>38</v>
      </c>
    </row>
    <row r="10" spans="1:29" x14ac:dyDescent="0.25">
      <c r="A10">
        <v>1904</v>
      </c>
      <c r="B10">
        <v>249</v>
      </c>
      <c r="C10">
        <v>38</v>
      </c>
      <c r="D10">
        <v>30</v>
      </c>
      <c r="E10">
        <v>14</v>
      </c>
      <c r="F10">
        <v>21</v>
      </c>
      <c r="G10">
        <v>7</v>
      </c>
      <c r="H10">
        <v>2</v>
      </c>
      <c r="I10">
        <v>0</v>
      </c>
      <c r="J10">
        <v>3</v>
      </c>
      <c r="K10">
        <v>2</v>
      </c>
      <c r="L10">
        <v>0</v>
      </c>
      <c r="M10">
        <v>0</v>
      </c>
      <c r="N10">
        <v>0</v>
      </c>
      <c r="O10">
        <v>0</v>
      </c>
      <c r="P10">
        <f t="shared" si="0"/>
        <v>9</v>
      </c>
      <c r="Q10">
        <f t="shared" si="1"/>
        <v>5</v>
      </c>
      <c r="R10">
        <f t="shared" si="2"/>
        <v>0</v>
      </c>
      <c r="S10">
        <f t="shared" si="3"/>
        <v>5</v>
      </c>
    </row>
    <row r="11" spans="1:29" x14ac:dyDescent="0.25">
      <c r="A11">
        <v>1905</v>
      </c>
      <c r="B11">
        <v>264</v>
      </c>
      <c r="C11">
        <v>30</v>
      </c>
      <c r="D11">
        <v>22</v>
      </c>
      <c r="E11">
        <v>24</v>
      </c>
      <c r="F11">
        <v>14</v>
      </c>
      <c r="G11">
        <v>8</v>
      </c>
      <c r="H11">
        <v>3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f t="shared" si="0"/>
        <v>11</v>
      </c>
      <c r="Q11">
        <f t="shared" si="1"/>
        <v>0</v>
      </c>
      <c r="R11">
        <f t="shared" si="2"/>
        <v>0</v>
      </c>
      <c r="S11">
        <f t="shared" si="3"/>
        <v>0</v>
      </c>
    </row>
    <row r="12" spans="1:29" x14ac:dyDescent="0.25">
      <c r="A12">
        <v>1906</v>
      </c>
      <c r="B12">
        <v>256</v>
      </c>
      <c r="C12">
        <v>27</v>
      </c>
      <c r="D12">
        <v>32</v>
      </c>
      <c r="E12">
        <v>20</v>
      </c>
      <c r="F12">
        <v>19</v>
      </c>
      <c r="G12">
        <v>8</v>
      </c>
      <c r="H12">
        <v>3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f t="shared" si="0"/>
        <v>11</v>
      </c>
      <c r="Q12">
        <f t="shared" si="1"/>
        <v>0</v>
      </c>
      <c r="R12">
        <f t="shared" si="2"/>
        <v>0</v>
      </c>
      <c r="S12">
        <f t="shared" si="3"/>
        <v>0</v>
      </c>
    </row>
    <row r="13" spans="1:29" x14ac:dyDescent="0.25">
      <c r="A13">
        <v>1907</v>
      </c>
      <c r="B13">
        <v>257</v>
      </c>
      <c r="C13">
        <v>21</v>
      </c>
      <c r="D13">
        <v>34</v>
      </c>
      <c r="E13">
        <v>25</v>
      </c>
      <c r="F13">
        <v>15</v>
      </c>
      <c r="G13">
        <v>9</v>
      </c>
      <c r="H13">
        <v>2</v>
      </c>
      <c r="I13">
        <v>1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f t="shared" si="0"/>
        <v>11</v>
      </c>
      <c r="Q13">
        <f t="shared" si="1"/>
        <v>1</v>
      </c>
      <c r="R13">
        <f t="shared" si="2"/>
        <v>1</v>
      </c>
      <c r="S13">
        <f t="shared" si="3"/>
        <v>2</v>
      </c>
    </row>
    <row r="14" spans="1:29" x14ac:dyDescent="0.25">
      <c r="A14">
        <v>1908</v>
      </c>
      <c r="B14">
        <v>271</v>
      </c>
      <c r="C14">
        <v>25</v>
      </c>
      <c r="D14">
        <v>27</v>
      </c>
      <c r="E14">
        <v>18</v>
      </c>
      <c r="F14">
        <v>14</v>
      </c>
      <c r="G14">
        <v>7</v>
      </c>
      <c r="H14">
        <v>0</v>
      </c>
      <c r="I14">
        <v>2</v>
      </c>
      <c r="J14">
        <v>2</v>
      </c>
      <c r="K14">
        <v>0</v>
      </c>
      <c r="L14">
        <v>0</v>
      </c>
      <c r="M14">
        <v>0</v>
      </c>
      <c r="N14">
        <v>0</v>
      </c>
      <c r="O14">
        <v>0</v>
      </c>
      <c r="P14">
        <f t="shared" si="0"/>
        <v>7</v>
      </c>
      <c r="Q14">
        <f t="shared" si="1"/>
        <v>4</v>
      </c>
      <c r="R14">
        <f t="shared" si="2"/>
        <v>0</v>
      </c>
      <c r="S14">
        <f t="shared" si="3"/>
        <v>4</v>
      </c>
    </row>
    <row r="15" spans="1:29" x14ac:dyDescent="0.25">
      <c r="A15">
        <v>1909</v>
      </c>
      <c r="B15">
        <v>250</v>
      </c>
      <c r="C15">
        <v>35</v>
      </c>
      <c r="D15">
        <v>33</v>
      </c>
      <c r="E15">
        <v>23</v>
      </c>
      <c r="F15">
        <v>15</v>
      </c>
      <c r="G15">
        <v>2</v>
      </c>
      <c r="H15">
        <v>3</v>
      </c>
      <c r="I15">
        <v>2</v>
      </c>
      <c r="J15">
        <v>0</v>
      </c>
      <c r="K15">
        <v>1</v>
      </c>
      <c r="L15">
        <v>0</v>
      </c>
      <c r="M15">
        <v>0</v>
      </c>
      <c r="N15">
        <v>1</v>
      </c>
      <c r="O15">
        <v>0</v>
      </c>
      <c r="P15">
        <f t="shared" si="0"/>
        <v>5</v>
      </c>
      <c r="Q15">
        <f t="shared" si="1"/>
        <v>3</v>
      </c>
      <c r="R15">
        <f t="shared" si="2"/>
        <v>1</v>
      </c>
      <c r="S15">
        <f t="shared" si="3"/>
        <v>4</v>
      </c>
    </row>
    <row r="16" spans="1:29" x14ac:dyDescent="0.25">
      <c r="A16">
        <v>1910</v>
      </c>
      <c r="B16">
        <v>257</v>
      </c>
      <c r="C16">
        <v>44</v>
      </c>
      <c r="D16">
        <v>22</v>
      </c>
      <c r="E16">
        <v>18</v>
      </c>
      <c r="F16">
        <v>13</v>
      </c>
      <c r="G16">
        <v>7</v>
      </c>
      <c r="H16">
        <v>1</v>
      </c>
      <c r="I16">
        <v>1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f t="shared" si="0"/>
        <v>8</v>
      </c>
      <c r="Q16">
        <f t="shared" si="1"/>
        <v>3</v>
      </c>
      <c r="R16">
        <f t="shared" si="2"/>
        <v>0</v>
      </c>
      <c r="S16">
        <f t="shared" si="3"/>
        <v>3</v>
      </c>
    </row>
    <row r="17" spans="1:23" x14ac:dyDescent="0.25">
      <c r="A17">
        <v>1911</v>
      </c>
      <c r="B17">
        <v>251</v>
      </c>
      <c r="C17">
        <v>27</v>
      </c>
      <c r="D17">
        <v>24</v>
      </c>
      <c r="E17">
        <v>26</v>
      </c>
      <c r="F17">
        <v>25</v>
      </c>
      <c r="G17">
        <v>6</v>
      </c>
      <c r="H17">
        <v>3</v>
      </c>
      <c r="I17">
        <v>2</v>
      </c>
      <c r="J17">
        <v>0</v>
      </c>
      <c r="K17">
        <v>0</v>
      </c>
      <c r="L17">
        <v>0</v>
      </c>
      <c r="M17">
        <v>0</v>
      </c>
      <c r="N17">
        <v>1</v>
      </c>
      <c r="O17">
        <v>0</v>
      </c>
      <c r="P17">
        <f t="shared" si="0"/>
        <v>9</v>
      </c>
      <c r="Q17">
        <f t="shared" si="1"/>
        <v>2</v>
      </c>
      <c r="R17">
        <f t="shared" si="2"/>
        <v>1</v>
      </c>
      <c r="S17">
        <f t="shared" si="3"/>
        <v>3</v>
      </c>
    </row>
    <row r="18" spans="1:23" x14ac:dyDescent="0.25">
      <c r="A18">
        <v>1912</v>
      </c>
      <c r="B18">
        <v>274</v>
      </c>
      <c r="C18">
        <v>22</v>
      </c>
      <c r="D18">
        <v>12</v>
      </c>
      <c r="E18">
        <v>26</v>
      </c>
      <c r="F18">
        <v>19</v>
      </c>
      <c r="G18">
        <v>4</v>
      </c>
      <c r="H18">
        <v>7</v>
      </c>
      <c r="I18">
        <v>2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f t="shared" si="0"/>
        <v>11</v>
      </c>
      <c r="Q18">
        <f t="shared" si="1"/>
        <v>2</v>
      </c>
      <c r="R18">
        <f t="shared" si="2"/>
        <v>0</v>
      </c>
      <c r="S18">
        <f t="shared" si="3"/>
        <v>2</v>
      </c>
    </row>
    <row r="19" spans="1:23" x14ac:dyDescent="0.25">
      <c r="A19">
        <v>1913</v>
      </c>
      <c r="B19">
        <v>262</v>
      </c>
      <c r="C19">
        <v>27</v>
      </c>
      <c r="D19">
        <v>24</v>
      </c>
      <c r="E19">
        <v>23</v>
      </c>
      <c r="F19">
        <v>18</v>
      </c>
      <c r="G19">
        <v>7</v>
      </c>
      <c r="H19">
        <v>3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f t="shared" si="0"/>
        <v>10</v>
      </c>
      <c r="Q19">
        <f t="shared" si="1"/>
        <v>1</v>
      </c>
      <c r="R19">
        <f t="shared" si="2"/>
        <v>0</v>
      </c>
      <c r="S19">
        <f t="shared" si="3"/>
        <v>1</v>
      </c>
    </row>
    <row r="20" spans="1:23" x14ac:dyDescent="0.25">
      <c r="A20">
        <v>1914</v>
      </c>
      <c r="B20">
        <v>270</v>
      </c>
      <c r="C20">
        <v>24</v>
      </c>
      <c r="D20">
        <v>17</v>
      </c>
      <c r="E20">
        <v>31</v>
      </c>
      <c r="F20">
        <v>15</v>
      </c>
      <c r="G20">
        <v>7</v>
      </c>
      <c r="H2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f t="shared" si="0"/>
        <v>8</v>
      </c>
      <c r="Q20">
        <f t="shared" si="1"/>
        <v>0</v>
      </c>
      <c r="R20">
        <f t="shared" si="2"/>
        <v>0</v>
      </c>
      <c r="S20">
        <f t="shared" si="3"/>
        <v>0</v>
      </c>
    </row>
    <row r="21" spans="1:23" x14ac:dyDescent="0.25">
      <c r="A21">
        <v>1915</v>
      </c>
      <c r="B21">
        <v>266</v>
      </c>
      <c r="C21">
        <v>25</v>
      </c>
      <c r="D21">
        <v>24</v>
      </c>
      <c r="E21">
        <v>20</v>
      </c>
      <c r="F21">
        <v>16</v>
      </c>
      <c r="G21">
        <v>9</v>
      </c>
      <c r="H21">
        <v>3</v>
      </c>
      <c r="I21">
        <v>0</v>
      </c>
      <c r="J21">
        <v>0</v>
      </c>
      <c r="K21">
        <v>2</v>
      </c>
      <c r="L21">
        <v>0</v>
      </c>
      <c r="M21">
        <v>0</v>
      </c>
      <c r="N21">
        <v>0</v>
      </c>
      <c r="O21">
        <v>0</v>
      </c>
      <c r="P21">
        <f t="shared" si="0"/>
        <v>12</v>
      </c>
      <c r="Q21">
        <f t="shared" si="1"/>
        <v>2</v>
      </c>
      <c r="R21">
        <f t="shared" si="2"/>
        <v>0</v>
      </c>
      <c r="S21">
        <f t="shared" si="3"/>
        <v>2</v>
      </c>
    </row>
    <row r="22" spans="1:23" x14ac:dyDescent="0.25">
      <c r="A22">
        <v>1916</v>
      </c>
      <c r="B22">
        <v>261</v>
      </c>
      <c r="C22">
        <v>34</v>
      </c>
      <c r="D22">
        <v>22</v>
      </c>
      <c r="E22">
        <v>22</v>
      </c>
      <c r="F22">
        <v>18</v>
      </c>
      <c r="G22">
        <v>7</v>
      </c>
      <c r="H22">
        <v>2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f t="shared" si="0"/>
        <v>9</v>
      </c>
      <c r="Q22">
        <f t="shared" si="1"/>
        <v>0</v>
      </c>
      <c r="R22">
        <f t="shared" si="2"/>
        <v>0</v>
      </c>
      <c r="S22">
        <f t="shared" si="3"/>
        <v>0</v>
      </c>
    </row>
    <row r="23" spans="1:23" x14ac:dyDescent="0.25">
      <c r="A23">
        <v>1917</v>
      </c>
      <c r="B23">
        <v>265</v>
      </c>
      <c r="C23">
        <v>34</v>
      </c>
      <c r="D23">
        <v>24</v>
      </c>
      <c r="E23">
        <v>18</v>
      </c>
      <c r="F23">
        <v>13</v>
      </c>
      <c r="G23">
        <v>6</v>
      </c>
      <c r="H23">
        <v>4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f t="shared" si="0"/>
        <v>10</v>
      </c>
      <c r="Q23">
        <f t="shared" si="1"/>
        <v>1</v>
      </c>
      <c r="R23">
        <f t="shared" si="2"/>
        <v>0</v>
      </c>
      <c r="S23">
        <f t="shared" si="3"/>
        <v>1</v>
      </c>
    </row>
    <row r="24" spans="1:23" x14ac:dyDescent="0.25">
      <c r="A24">
        <v>1918</v>
      </c>
      <c r="B24">
        <v>276</v>
      </c>
      <c r="C24">
        <v>28</v>
      </c>
      <c r="D24">
        <v>16</v>
      </c>
      <c r="E24">
        <v>19</v>
      </c>
      <c r="F24">
        <v>18</v>
      </c>
      <c r="G24">
        <v>6</v>
      </c>
      <c r="H24">
        <v>0</v>
      </c>
      <c r="I24">
        <v>1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>
        <f t="shared" si="0"/>
        <v>6</v>
      </c>
      <c r="Q24">
        <f t="shared" si="1"/>
        <v>2</v>
      </c>
      <c r="R24">
        <f t="shared" si="2"/>
        <v>0</v>
      </c>
      <c r="S24">
        <f t="shared" si="3"/>
        <v>2</v>
      </c>
    </row>
    <row r="25" spans="1:23" x14ac:dyDescent="0.25">
      <c r="A25">
        <v>1919</v>
      </c>
      <c r="B25">
        <v>243</v>
      </c>
      <c r="C25">
        <v>41</v>
      </c>
      <c r="D25">
        <v>25</v>
      </c>
      <c r="E25">
        <v>16</v>
      </c>
      <c r="F25">
        <v>29</v>
      </c>
      <c r="G25">
        <v>7</v>
      </c>
      <c r="H25">
        <v>2</v>
      </c>
      <c r="I25">
        <v>2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f t="shared" si="0"/>
        <v>9</v>
      </c>
      <c r="Q25">
        <f t="shared" si="1"/>
        <v>2</v>
      </c>
      <c r="R25">
        <f t="shared" si="2"/>
        <v>0</v>
      </c>
      <c r="S25">
        <f t="shared" si="3"/>
        <v>2</v>
      </c>
    </row>
    <row r="26" spans="1:23" x14ac:dyDescent="0.25">
      <c r="A26">
        <v>1920</v>
      </c>
      <c r="B26">
        <v>252</v>
      </c>
      <c r="C26">
        <v>30</v>
      </c>
      <c r="D26">
        <v>26</v>
      </c>
      <c r="E26">
        <v>18</v>
      </c>
      <c r="F26">
        <v>26</v>
      </c>
      <c r="G26">
        <v>5</v>
      </c>
      <c r="H26">
        <v>7</v>
      </c>
      <c r="I26">
        <v>2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f t="shared" si="0"/>
        <v>12</v>
      </c>
      <c r="Q26">
        <f t="shared" si="1"/>
        <v>2</v>
      </c>
      <c r="R26">
        <f t="shared" si="2"/>
        <v>0</v>
      </c>
      <c r="S26">
        <f t="shared" si="3"/>
        <v>2</v>
      </c>
    </row>
    <row r="27" spans="1:23" x14ac:dyDescent="0.25">
      <c r="A27">
        <v>1921</v>
      </c>
      <c r="B27">
        <v>264</v>
      </c>
      <c r="C27">
        <v>33</v>
      </c>
      <c r="D27">
        <v>27</v>
      </c>
      <c r="E27">
        <v>16</v>
      </c>
      <c r="F27">
        <v>15</v>
      </c>
      <c r="G27">
        <v>5</v>
      </c>
      <c r="H27">
        <v>2</v>
      </c>
      <c r="I27">
        <v>2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f t="shared" si="0"/>
        <v>7</v>
      </c>
      <c r="Q27">
        <f t="shared" si="1"/>
        <v>2</v>
      </c>
      <c r="R27">
        <f t="shared" si="2"/>
        <v>1</v>
      </c>
      <c r="S27">
        <f t="shared" si="3"/>
        <v>3</v>
      </c>
    </row>
    <row r="28" spans="1:23" ht="18.75" x14ac:dyDescent="0.3">
      <c r="A28">
        <v>1922</v>
      </c>
      <c r="B28">
        <v>256</v>
      </c>
      <c r="C28">
        <v>27</v>
      </c>
      <c r="D28">
        <v>32</v>
      </c>
      <c r="E28">
        <v>21</v>
      </c>
      <c r="F28">
        <v>20</v>
      </c>
      <c r="G28">
        <v>6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f t="shared" si="0"/>
        <v>7</v>
      </c>
      <c r="Q28">
        <f t="shared" si="1"/>
        <v>2</v>
      </c>
      <c r="R28">
        <f t="shared" si="2"/>
        <v>0</v>
      </c>
      <c r="S28">
        <f t="shared" si="3"/>
        <v>2</v>
      </c>
      <c r="V28" s="7" t="s">
        <v>15</v>
      </c>
      <c r="W28" s="7"/>
    </row>
    <row r="29" spans="1:23" ht="18.75" x14ac:dyDescent="0.3">
      <c r="A29">
        <v>1923</v>
      </c>
      <c r="B29">
        <v>265</v>
      </c>
      <c r="C29">
        <v>25</v>
      </c>
      <c r="D29">
        <v>28</v>
      </c>
      <c r="E29">
        <v>25</v>
      </c>
      <c r="F29">
        <v>17</v>
      </c>
      <c r="G29">
        <v>3</v>
      </c>
      <c r="H29">
        <v>0</v>
      </c>
      <c r="I29">
        <v>2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f t="shared" si="0"/>
        <v>3</v>
      </c>
      <c r="Q29">
        <f t="shared" si="1"/>
        <v>2</v>
      </c>
      <c r="R29">
        <f t="shared" si="2"/>
        <v>0</v>
      </c>
      <c r="S29">
        <f t="shared" si="3"/>
        <v>2</v>
      </c>
      <c r="V29" s="7" t="s">
        <v>16</v>
      </c>
      <c r="W29" s="7" t="s">
        <v>17</v>
      </c>
    </row>
    <row r="30" spans="1:23" ht="18.75" x14ac:dyDescent="0.3">
      <c r="A30">
        <v>1924</v>
      </c>
      <c r="B30">
        <v>272</v>
      </c>
      <c r="C30">
        <v>25</v>
      </c>
      <c r="D30">
        <v>25</v>
      </c>
      <c r="E30">
        <v>18</v>
      </c>
      <c r="F30">
        <v>12</v>
      </c>
      <c r="G30">
        <v>9</v>
      </c>
      <c r="H30">
        <v>2</v>
      </c>
      <c r="I30">
        <v>2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f t="shared" si="0"/>
        <v>11</v>
      </c>
      <c r="Q30">
        <f t="shared" si="1"/>
        <v>2</v>
      </c>
      <c r="R30">
        <f t="shared" si="2"/>
        <v>1</v>
      </c>
      <c r="S30">
        <f t="shared" si="3"/>
        <v>3</v>
      </c>
      <c r="V30" s="7" t="s">
        <v>0</v>
      </c>
      <c r="W30" s="7" t="s">
        <v>18</v>
      </c>
    </row>
    <row r="31" spans="1:23" ht="18.75" x14ac:dyDescent="0.3">
      <c r="A31">
        <v>1925</v>
      </c>
      <c r="B31">
        <v>271</v>
      </c>
      <c r="C31">
        <v>28</v>
      </c>
      <c r="D31">
        <v>19</v>
      </c>
      <c r="E31">
        <v>25</v>
      </c>
      <c r="F31">
        <v>11</v>
      </c>
      <c r="G31">
        <v>9</v>
      </c>
      <c r="H31">
        <v>2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f t="shared" si="0"/>
        <v>11</v>
      </c>
      <c r="Q31">
        <f t="shared" si="1"/>
        <v>0</v>
      </c>
      <c r="R31">
        <f t="shared" si="2"/>
        <v>0</v>
      </c>
      <c r="S31">
        <f t="shared" si="3"/>
        <v>0</v>
      </c>
      <c r="V31" s="7" t="s">
        <v>1</v>
      </c>
      <c r="W31" s="7" t="s">
        <v>19</v>
      </c>
    </row>
    <row r="32" spans="1:23" ht="18.75" x14ac:dyDescent="0.3">
      <c r="A32">
        <v>1926</v>
      </c>
      <c r="B32">
        <v>252</v>
      </c>
      <c r="C32">
        <v>36</v>
      </c>
      <c r="D32">
        <v>27</v>
      </c>
      <c r="E32">
        <v>25</v>
      </c>
      <c r="F32">
        <v>14</v>
      </c>
      <c r="G32">
        <v>9</v>
      </c>
      <c r="H32">
        <v>0</v>
      </c>
      <c r="I32">
        <v>0</v>
      </c>
      <c r="J32">
        <v>1</v>
      </c>
      <c r="K32">
        <v>1</v>
      </c>
      <c r="L32">
        <v>0</v>
      </c>
      <c r="M32">
        <v>0</v>
      </c>
      <c r="N32">
        <v>0</v>
      </c>
      <c r="O32">
        <v>0</v>
      </c>
      <c r="P32">
        <f t="shared" si="0"/>
        <v>9</v>
      </c>
      <c r="Q32">
        <f t="shared" si="1"/>
        <v>2</v>
      </c>
      <c r="R32">
        <f t="shared" si="2"/>
        <v>0</v>
      </c>
      <c r="S32">
        <f t="shared" si="3"/>
        <v>2</v>
      </c>
      <c r="V32" s="7" t="s">
        <v>2</v>
      </c>
      <c r="W32" s="7" t="s">
        <v>20</v>
      </c>
    </row>
    <row r="33" spans="1:23" ht="18.75" x14ac:dyDescent="0.3">
      <c r="A33">
        <v>1927</v>
      </c>
      <c r="B33">
        <v>259</v>
      </c>
      <c r="C33">
        <v>33</v>
      </c>
      <c r="D33">
        <v>21</v>
      </c>
      <c r="E33">
        <v>21</v>
      </c>
      <c r="F33">
        <v>17</v>
      </c>
      <c r="G33">
        <v>4</v>
      </c>
      <c r="H33">
        <v>7</v>
      </c>
      <c r="I33">
        <v>1</v>
      </c>
      <c r="J33">
        <v>0</v>
      </c>
      <c r="K33">
        <v>1</v>
      </c>
      <c r="L33">
        <v>1</v>
      </c>
      <c r="M33">
        <v>0</v>
      </c>
      <c r="N33">
        <v>0</v>
      </c>
      <c r="O33">
        <v>0</v>
      </c>
      <c r="P33">
        <f t="shared" si="0"/>
        <v>11</v>
      </c>
      <c r="Q33">
        <f t="shared" si="1"/>
        <v>2</v>
      </c>
      <c r="R33">
        <f t="shared" si="2"/>
        <v>1</v>
      </c>
      <c r="S33">
        <f t="shared" si="3"/>
        <v>3</v>
      </c>
      <c r="V33" s="7" t="s">
        <v>3</v>
      </c>
      <c r="W33" s="7" t="s">
        <v>21</v>
      </c>
    </row>
    <row r="34" spans="1:23" ht="18.75" x14ac:dyDescent="0.3">
      <c r="A34">
        <v>1928</v>
      </c>
      <c r="B34">
        <v>260</v>
      </c>
      <c r="C34">
        <v>32</v>
      </c>
      <c r="D34">
        <v>23</v>
      </c>
      <c r="E34">
        <v>16</v>
      </c>
      <c r="F34">
        <v>22</v>
      </c>
      <c r="G34">
        <v>10</v>
      </c>
      <c r="H34">
        <v>2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f t="shared" si="0"/>
        <v>12</v>
      </c>
      <c r="Q34">
        <f t="shared" si="1"/>
        <v>1</v>
      </c>
      <c r="R34">
        <f t="shared" si="2"/>
        <v>0</v>
      </c>
      <c r="S34">
        <f t="shared" si="3"/>
        <v>1</v>
      </c>
      <c r="V34" s="7" t="s">
        <v>4</v>
      </c>
      <c r="W34" s="7" t="s">
        <v>22</v>
      </c>
    </row>
    <row r="35" spans="1:23" ht="18.75" x14ac:dyDescent="0.3">
      <c r="A35">
        <v>1929</v>
      </c>
      <c r="B35">
        <v>259</v>
      </c>
      <c r="C35">
        <v>23</v>
      </c>
      <c r="D35">
        <v>22</v>
      </c>
      <c r="E35">
        <v>34</v>
      </c>
      <c r="F35">
        <v>17</v>
      </c>
      <c r="G35">
        <v>4</v>
      </c>
      <c r="H35">
        <v>6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f t="shared" si="0"/>
        <v>10</v>
      </c>
      <c r="Q35">
        <f t="shared" si="1"/>
        <v>0</v>
      </c>
      <c r="R35">
        <f t="shared" si="2"/>
        <v>0</v>
      </c>
      <c r="S35">
        <f t="shared" si="3"/>
        <v>0</v>
      </c>
      <c r="V35" s="7" t="s">
        <v>23</v>
      </c>
      <c r="W35" s="7" t="s">
        <v>37</v>
      </c>
    </row>
    <row r="36" spans="1:23" ht="18.75" x14ac:dyDescent="0.3">
      <c r="A36">
        <v>1930</v>
      </c>
      <c r="B36">
        <v>278</v>
      </c>
      <c r="C36">
        <v>28</v>
      </c>
      <c r="D36">
        <v>21</v>
      </c>
      <c r="E36">
        <v>17</v>
      </c>
      <c r="F36">
        <v>14</v>
      </c>
      <c r="G36">
        <v>4</v>
      </c>
      <c r="H36">
        <v>1</v>
      </c>
      <c r="I36">
        <v>2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f t="shared" si="0"/>
        <v>5</v>
      </c>
      <c r="Q36">
        <f t="shared" si="1"/>
        <v>2</v>
      </c>
      <c r="R36">
        <f t="shared" si="2"/>
        <v>0</v>
      </c>
      <c r="S36">
        <f t="shared" si="3"/>
        <v>2</v>
      </c>
      <c r="V36" s="7" t="s">
        <v>25</v>
      </c>
      <c r="W36" s="7" t="s">
        <v>38</v>
      </c>
    </row>
    <row r="37" spans="1:23" x14ac:dyDescent="0.25">
      <c r="A37">
        <v>1931</v>
      </c>
      <c r="B37">
        <v>270</v>
      </c>
      <c r="C37">
        <v>29</v>
      </c>
      <c r="D37">
        <v>19</v>
      </c>
      <c r="E37">
        <v>21</v>
      </c>
      <c r="F37">
        <v>19</v>
      </c>
      <c r="G37">
        <v>4</v>
      </c>
      <c r="H37">
        <v>3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f t="shared" si="0"/>
        <v>7</v>
      </c>
      <c r="Q37">
        <f t="shared" si="1"/>
        <v>0</v>
      </c>
      <c r="R37">
        <f t="shared" si="2"/>
        <v>0</v>
      </c>
      <c r="S37">
        <f t="shared" si="3"/>
        <v>0</v>
      </c>
    </row>
    <row r="38" spans="1:23" x14ac:dyDescent="0.25">
      <c r="A38">
        <v>1932</v>
      </c>
      <c r="B38">
        <v>264</v>
      </c>
      <c r="C38">
        <v>27</v>
      </c>
      <c r="D38">
        <v>32</v>
      </c>
      <c r="E38">
        <v>18</v>
      </c>
      <c r="F38">
        <v>13</v>
      </c>
      <c r="G38">
        <v>4</v>
      </c>
      <c r="H38">
        <v>5</v>
      </c>
      <c r="I38">
        <v>2</v>
      </c>
      <c r="J38">
        <v>1</v>
      </c>
      <c r="K38">
        <v>0</v>
      </c>
      <c r="L38">
        <v>0</v>
      </c>
      <c r="M38">
        <v>0</v>
      </c>
      <c r="N38">
        <v>0</v>
      </c>
      <c r="O38">
        <v>0</v>
      </c>
      <c r="P38">
        <f t="shared" si="0"/>
        <v>9</v>
      </c>
      <c r="Q38">
        <f t="shared" si="1"/>
        <v>3</v>
      </c>
      <c r="R38">
        <f t="shared" si="2"/>
        <v>0</v>
      </c>
      <c r="S38">
        <f t="shared" si="3"/>
        <v>3</v>
      </c>
    </row>
    <row r="39" spans="1:23" x14ac:dyDescent="0.25">
      <c r="A39">
        <v>1933</v>
      </c>
      <c r="B39">
        <v>257</v>
      </c>
      <c r="C39">
        <v>31</v>
      </c>
      <c r="D39">
        <v>26</v>
      </c>
      <c r="E39">
        <v>12</v>
      </c>
      <c r="F39">
        <v>29</v>
      </c>
      <c r="G39">
        <v>9</v>
      </c>
      <c r="H39">
        <v>0</v>
      </c>
      <c r="I39">
        <v>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f t="shared" si="0"/>
        <v>9</v>
      </c>
      <c r="Q39">
        <f t="shared" si="1"/>
        <v>1</v>
      </c>
      <c r="R39">
        <f t="shared" si="2"/>
        <v>0</v>
      </c>
      <c r="S39">
        <f t="shared" si="3"/>
        <v>1</v>
      </c>
    </row>
    <row r="40" spans="1:23" x14ac:dyDescent="0.25">
      <c r="A40">
        <v>1934</v>
      </c>
      <c r="B40">
        <v>258</v>
      </c>
      <c r="C40">
        <v>37</v>
      </c>
      <c r="D40">
        <v>22</v>
      </c>
      <c r="E40">
        <v>23</v>
      </c>
      <c r="F40">
        <v>15</v>
      </c>
      <c r="G40">
        <v>7</v>
      </c>
      <c r="H40">
        <v>1</v>
      </c>
      <c r="I40">
        <v>0</v>
      </c>
      <c r="J40">
        <v>2</v>
      </c>
      <c r="K40">
        <v>0</v>
      </c>
      <c r="L40">
        <v>0</v>
      </c>
      <c r="M40">
        <v>0</v>
      </c>
      <c r="N40">
        <v>0</v>
      </c>
      <c r="O40">
        <v>0</v>
      </c>
      <c r="P40">
        <f t="shared" si="0"/>
        <v>8</v>
      </c>
      <c r="Q40">
        <f t="shared" si="1"/>
        <v>2</v>
      </c>
      <c r="R40">
        <f t="shared" si="2"/>
        <v>0</v>
      </c>
      <c r="S40">
        <f t="shared" si="3"/>
        <v>2</v>
      </c>
    </row>
    <row r="41" spans="1:23" x14ac:dyDescent="0.25">
      <c r="A41">
        <v>1935</v>
      </c>
      <c r="B41">
        <v>253</v>
      </c>
      <c r="C41">
        <v>31</v>
      </c>
      <c r="D41">
        <v>29</v>
      </c>
      <c r="E41">
        <v>30</v>
      </c>
      <c r="F41">
        <v>14</v>
      </c>
      <c r="G41">
        <v>5</v>
      </c>
      <c r="H41">
        <v>1</v>
      </c>
      <c r="I41">
        <v>1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f t="shared" si="0"/>
        <v>6</v>
      </c>
      <c r="Q41">
        <f t="shared" si="1"/>
        <v>2</v>
      </c>
      <c r="R41">
        <f t="shared" si="2"/>
        <v>0</v>
      </c>
      <c r="S41">
        <f t="shared" si="3"/>
        <v>2</v>
      </c>
    </row>
    <row r="42" spans="1:23" x14ac:dyDescent="0.25">
      <c r="A42">
        <v>1936</v>
      </c>
      <c r="B42">
        <v>260</v>
      </c>
      <c r="C42">
        <v>31</v>
      </c>
      <c r="D42">
        <v>24</v>
      </c>
      <c r="E42">
        <v>22</v>
      </c>
      <c r="F42">
        <v>17</v>
      </c>
      <c r="G42">
        <v>5</v>
      </c>
      <c r="H42">
        <v>6</v>
      </c>
      <c r="I42">
        <v>0</v>
      </c>
      <c r="J42">
        <v>1</v>
      </c>
      <c r="K42">
        <v>0</v>
      </c>
      <c r="L42">
        <v>0</v>
      </c>
      <c r="M42">
        <v>0</v>
      </c>
      <c r="N42">
        <v>0</v>
      </c>
      <c r="O42">
        <v>0</v>
      </c>
      <c r="P42">
        <f t="shared" si="0"/>
        <v>11</v>
      </c>
      <c r="Q42">
        <f t="shared" si="1"/>
        <v>1</v>
      </c>
      <c r="R42">
        <f t="shared" si="2"/>
        <v>0</v>
      </c>
      <c r="S42">
        <f t="shared" si="3"/>
        <v>1</v>
      </c>
    </row>
    <row r="43" spans="1:23" x14ac:dyDescent="0.25">
      <c r="A43">
        <v>1937</v>
      </c>
      <c r="B43">
        <v>261</v>
      </c>
      <c r="C43">
        <v>34</v>
      </c>
      <c r="D43">
        <v>15</v>
      </c>
      <c r="E43">
        <v>24</v>
      </c>
      <c r="F43">
        <v>19</v>
      </c>
      <c r="G43">
        <v>7</v>
      </c>
      <c r="H43">
        <v>4</v>
      </c>
      <c r="I43">
        <v>1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f t="shared" si="0"/>
        <v>11</v>
      </c>
      <c r="Q43">
        <f t="shared" si="1"/>
        <v>1</v>
      </c>
      <c r="R43">
        <f t="shared" si="2"/>
        <v>0</v>
      </c>
      <c r="S43">
        <f t="shared" si="3"/>
        <v>1</v>
      </c>
    </row>
    <row r="44" spans="1:23" x14ac:dyDescent="0.25">
      <c r="A44">
        <v>1938</v>
      </c>
      <c r="B44">
        <v>240</v>
      </c>
      <c r="C44">
        <v>38</v>
      </c>
      <c r="D44">
        <v>34</v>
      </c>
      <c r="E44">
        <v>28</v>
      </c>
      <c r="F44">
        <v>14</v>
      </c>
      <c r="G44">
        <v>4</v>
      </c>
      <c r="H44">
        <v>5</v>
      </c>
      <c r="I44">
        <v>1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f t="shared" si="0"/>
        <v>9</v>
      </c>
      <c r="Q44">
        <f t="shared" si="1"/>
        <v>1</v>
      </c>
      <c r="R44">
        <f t="shared" si="2"/>
        <v>1</v>
      </c>
      <c r="S44">
        <f t="shared" si="3"/>
        <v>2</v>
      </c>
    </row>
    <row r="45" spans="1:23" x14ac:dyDescent="0.25">
      <c r="A45">
        <v>1939</v>
      </c>
      <c r="B45">
        <v>263</v>
      </c>
      <c r="C45">
        <v>28</v>
      </c>
      <c r="D45">
        <v>33</v>
      </c>
      <c r="E45">
        <v>16</v>
      </c>
      <c r="F45">
        <v>15</v>
      </c>
      <c r="G45">
        <v>8</v>
      </c>
      <c r="H45">
        <v>2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f t="shared" si="0"/>
        <v>10</v>
      </c>
      <c r="Q45">
        <f t="shared" si="1"/>
        <v>0</v>
      </c>
      <c r="R45">
        <f t="shared" si="2"/>
        <v>0</v>
      </c>
      <c r="S45">
        <f t="shared" si="3"/>
        <v>0</v>
      </c>
    </row>
    <row r="46" spans="1:23" x14ac:dyDescent="0.25">
      <c r="A46">
        <v>1940</v>
      </c>
      <c r="B46">
        <v>263</v>
      </c>
      <c r="C46">
        <v>28</v>
      </c>
      <c r="D46">
        <v>23</v>
      </c>
      <c r="E46">
        <v>15</v>
      </c>
      <c r="F46">
        <v>27</v>
      </c>
      <c r="G46">
        <v>7</v>
      </c>
      <c r="H46">
        <v>1</v>
      </c>
      <c r="I46">
        <v>1</v>
      </c>
      <c r="J46">
        <v>1</v>
      </c>
      <c r="K46">
        <v>0</v>
      </c>
      <c r="L46">
        <v>0</v>
      </c>
      <c r="M46">
        <v>0</v>
      </c>
      <c r="N46">
        <v>0</v>
      </c>
      <c r="O46">
        <v>0</v>
      </c>
      <c r="P46">
        <f t="shared" si="0"/>
        <v>8</v>
      </c>
      <c r="Q46">
        <f t="shared" si="1"/>
        <v>2</v>
      </c>
      <c r="R46">
        <f t="shared" si="2"/>
        <v>0</v>
      </c>
      <c r="S46">
        <f t="shared" si="3"/>
        <v>2</v>
      </c>
    </row>
    <row r="47" spans="1:23" x14ac:dyDescent="0.25">
      <c r="A47">
        <v>1941</v>
      </c>
      <c r="B47">
        <v>273</v>
      </c>
      <c r="C47">
        <v>26</v>
      </c>
      <c r="D47">
        <v>23</v>
      </c>
      <c r="E47">
        <v>15</v>
      </c>
      <c r="F47">
        <v>19</v>
      </c>
      <c r="G47">
        <v>7</v>
      </c>
      <c r="H47">
        <v>2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f t="shared" si="0"/>
        <v>9</v>
      </c>
      <c r="Q47">
        <f t="shared" si="1"/>
        <v>0</v>
      </c>
      <c r="R47">
        <f t="shared" si="2"/>
        <v>0</v>
      </c>
      <c r="S47">
        <f t="shared" si="3"/>
        <v>0</v>
      </c>
    </row>
    <row r="48" spans="1:23" x14ac:dyDescent="0.25">
      <c r="A48">
        <v>1942</v>
      </c>
      <c r="B48">
        <v>268</v>
      </c>
      <c r="C48">
        <v>19</v>
      </c>
      <c r="D48">
        <v>17</v>
      </c>
      <c r="E48">
        <v>19</v>
      </c>
      <c r="F48">
        <v>30</v>
      </c>
      <c r="G48">
        <v>9</v>
      </c>
      <c r="H48">
        <v>2</v>
      </c>
      <c r="I48">
        <v>0</v>
      </c>
      <c r="J48">
        <v>1</v>
      </c>
      <c r="K48">
        <v>0</v>
      </c>
      <c r="L48">
        <v>0</v>
      </c>
      <c r="M48">
        <v>0</v>
      </c>
      <c r="N48">
        <v>0</v>
      </c>
      <c r="O48">
        <v>0</v>
      </c>
      <c r="P48">
        <f t="shared" si="0"/>
        <v>11</v>
      </c>
      <c r="Q48">
        <f t="shared" si="1"/>
        <v>1</v>
      </c>
      <c r="R48">
        <f t="shared" si="2"/>
        <v>0</v>
      </c>
      <c r="S48">
        <f t="shared" si="3"/>
        <v>1</v>
      </c>
    </row>
    <row r="49" spans="1:23" x14ac:dyDescent="0.25">
      <c r="A49">
        <v>1943</v>
      </c>
      <c r="B49">
        <v>274</v>
      </c>
      <c r="C49">
        <v>30</v>
      </c>
      <c r="D49">
        <v>23</v>
      </c>
      <c r="E49">
        <v>9</v>
      </c>
      <c r="F49">
        <v>17</v>
      </c>
      <c r="G49">
        <v>10</v>
      </c>
      <c r="H49">
        <v>2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f t="shared" si="0"/>
        <v>12</v>
      </c>
      <c r="Q49">
        <f t="shared" si="1"/>
        <v>0</v>
      </c>
      <c r="R49">
        <f t="shared" si="2"/>
        <v>0</v>
      </c>
      <c r="S49">
        <f t="shared" si="3"/>
        <v>0</v>
      </c>
    </row>
    <row r="50" spans="1:23" x14ac:dyDescent="0.25">
      <c r="A50">
        <v>1944</v>
      </c>
      <c r="B50">
        <v>274</v>
      </c>
      <c r="C50">
        <v>28</v>
      </c>
      <c r="D50">
        <v>19</v>
      </c>
      <c r="E50">
        <v>14</v>
      </c>
      <c r="F50">
        <v>16</v>
      </c>
      <c r="G50">
        <v>7</v>
      </c>
      <c r="H50">
        <v>3</v>
      </c>
      <c r="I50">
        <v>3</v>
      </c>
      <c r="J50">
        <v>0</v>
      </c>
      <c r="K50">
        <v>1</v>
      </c>
      <c r="L50">
        <v>0</v>
      </c>
      <c r="M50">
        <v>1</v>
      </c>
      <c r="N50">
        <v>0</v>
      </c>
      <c r="O50">
        <v>0</v>
      </c>
      <c r="P50">
        <f t="shared" si="0"/>
        <v>10</v>
      </c>
      <c r="Q50">
        <f t="shared" si="1"/>
        <v>4</v>
      </c>
      <c r="R50">
        <f t="shared" si="2"/>
        <v>1</v>
      </c>
      <c r="S50">
        <f t="shared" si="3"/>
        <v>5</v>
      </c>
    </row>
    <row r="51" spans="1:23" x14ac:dyDescent="0.25">
      <c r="A51">
        <v>1945</v>
      </c>
      <c r="B51">
        <v>242</v>
      </c>
      <c r="C51">
        <v>25</v>
      </c>
      <c r="D51">
        <v>33</v>
      </c>
      <c r="E51">
        <v>32</v>
      </c>
      <c r="F51">
        <v>23</v>
      </c>
      <c r="G51">
        <v>7</v>
      </c>
      <c r="H51">
        <v>1</v>
      </c>
      <c r="I51">
        <v>1</v>
      </c>
      <c r="J51">
        <v>0</v>
      </c>
      <c r="K51">
        <v>1</v>
      </c>
      <c r="L51">
        <v>0</v>
      </c>
      <c r="M51">
        <v>0</v>
      </c>
      <c r="N51">
        <v>0</v>
      </c>
      <c r="O51">
        <v>0</v>
      </c>
      <c r="P51">
        <f t="shared" si="0"/>
        <v>8</v>
      </c>
      <c r="Q51">
        <f t="shared" si="1"/>
        <v>2</v>
      </c>
      <c r="R51">
        <f t="shared" si="2"/>
        <v>0</v>
      </c>
      <c r="S51">
        <f t="shared" si="3"/>
        <v>2</v>
      </c>
    </row>
    <row r="52" spans="1:23" ht="18.75" x14ac:dyDescent="0.3">
      <c r="A52">
        <v>1946</v>
      </c>
      <c r="B52">
        <v>276</v>
      </c>
      <c r="C52">
        <v>27</v>
      </c>
      <c r="D52">
        <v>27</v>
      </c>
      <c r="E52">
        <v>12</v>
      </c>
      <c r="F52">
        <v>15</v>
      </c>
      <c r="G52">
        <v>3</v>
      </c>
      <c r="H52">
        <v>3</v>
      </c>
      <c r="I52">
        <v>0</v>
      </c>
      <c r="J52">
        <v>0</v>
      </c>
      <c r="K52">
        <v>1</v>
      </c>
      <c r="L52">
        <v>1</v>
      </c>
      <c r="M52">
        <v>0</v>
      </c>
      <c r="N52">
        <v>0</v>
      </c>
      <c r="O52">
        <v>0</v>
      </c>
      <c r="P52">
        <f t="shared" si="0"/>
        <v>6</v>
      </c>
      <c r="Q52">
        <f t="shared" si="1"/>
        <v>1</v>
      </c>
      <c r="R52">
        <f t="shared" si="2"/>
        <v>1</v>
      </c>
      <c r="S52">
        <f t="shared" si="3"/>
        <v>2</v>
      </c>
      <c r="V52" s="7" t="s">
        <v>15</v>
      </c>
      <c r="W52" s="7"/>
    </row>
    <row r="53" spans="1:23" ht="18.75" x14ac:dyDescent="0.3">
      <c r="A53">
        <v>1947</v>
      </c>
      <c r="B53">
        <v>262</v>
      </c>
      <c r="C53">
        <v>27</v>
      </c>
      <c r="D53">
        <v>29</v>
      </c>
      <c r="E53">
        <v>12</v>
      </c>
      <c r="F53">
        <v>25</v>
      </c>
      <c r="G53">
        <v>5</v>
      </c>
      <c r="H53">
        <v>2</v>
      </c>
      <c r="I53">
        <v>3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f t="shared" si="0"/>
        <v>7</v>
      </c>
      <c r="Q53">
        <f t="shared" si="1"/>
        <v>3</v>
      </c>
      <c r="R53">
        <f t="shared" si="2"/>
        <v>0</v>
      </c>
      <c r="S53">
        <f t="shared" si="3"/>
        <v>3</v>
      </c>
      <c r="V53" s="7" t="s">
        <v>16</v>
      </c>
      <c r="W53" s="7" t="s">
        <v>17</v>
      </c>
    </row>
    <row r="54" spans="1:23" ht="18.75" x14ac:dyDescent="0.3">
      <c r="A54">
        <v>1948</v>
      </c>
      <c r="B54">
        <v>240</v>
      </c>
      <c r="C54">
        <v>41</v>
      </c>
      <c r="D54">
        <v>24</v>
      </c>
      <c r="E54">
        <v>31</v>
      </c>
      <c r="F54">
        <v>18</v>
      </c>
      <c r="G54">
        <v>8</v>
      </c>
      <c r="H54">
        <v>3</v>
      </c>
      <c r="I54">
        <v>0</v>
      </c>
      <c r="J54">
        <v>0</v>
      </c>
      <c r="K54">
        <v>1</v>
      </c>
      <c r="L54">
        <v>0</v>
      </c>
      <c r="M54">
        <v>0</v>
      </c>
      <c r="N54">
        <v>0</v>
      </c>
      <c r="O54">
        <v>0</v>
      </c>
      <c r="P54">
        <f t="shared" si="0"/>
        <v>11</v>
      </c>
      <c r="Q54">
        <f t="shared" si="1"/>
        <v>1</v>
      </c>
      <c r="R54">
        <f t="shared" si="2"/>
        <v>0</v>
      </c>
      <c r="S54">
        <f t="shared" si="3"/>
        <v>1</v>
      </c>
      <c r="V54" s="7" t="s">
        <v>0</v>
      </c>
      <c r="W54" s="7" t="s">
        <v>18</v>
      </c>
    </row>
    <row r="55" spans="1:23" ht="18.75" x14ac:dyDescent="0.3">
      <c r="A55">
        <v>1949</v>
      </c>
      <c r="B55">
        <v>267</v>
      </c>
      <c r="C55">
        <v>30</v>
      </c>
      <c r="D55">
        <v>18</v>
      </c>
      <c r="E55">
        <v>20</v>
      </c>
      <c r="F55">
        <v>24</v>
      </c>
      <c r="G55">
        <v>2</v>
      </c>
      <c r="H55">
        <v>3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f t="shared" si="0"/>
        <v>5</v>
      </c>
      <c r="Q55">
        <f t="shared" si="1"/>
        <v>1</v>
      </c>
      <c r="R55">
        <f t="shared" si="2"/>
        <v>0</v>
      </c>
      <c r="S55">
        <f t="shared" si="3"/>
        <v>1</v>
      </c>
      <c r="V55" s="7" t="s">
        <v>1</v>
      </c>
      <c r="W55" s="7" t="s">
        <v>19</v>
      </c>
    </row>
    <row r="56" spans="1:23" ht="18.75" x14ac:dyDescent="0.3">
      <c r="A56">
        <v>1950</v>
      </c>
      <c r="B56">
        <v>253</v>
      </c>
      <c r="C56">
        <v>40</v>
      </c>
      <c r="D56">
        <v>31</v>
      </c>
      <c r="E56">
        <v>15</v>
      </c>
      <c r="F56">
        <v>19</v>
      </c>
      <c r="G56">
        <v>3</v>
      </c>
      <c r="H56">
        <v>2</v>
      </c>
      <c r="I56">
        <v>1</v>
      </c>
      <c r="J56">
        <v>0</v>
      </c>
      <c r="K56">
        <v>1</v>
      </c>
      <c r="L56">
        <v>0</v>
      </c>
      <c r="M56">
        <v>0</v>
      </c>
      <c r="N56">
        <v>0</v>
      </c>
      <c r="O56">
        <v>0</v>
      </c>
      <c r="P56">
        <f t="shared" si="0"/>
        <v>5</v>
      </c>
      <c r="Q56">
        <f t="shared" si="1"/>
        <v>2</v>
      </c>
      <c r="R56">
        <f t="shared" si="2"/>
        <v>0</v>
      </c>
      <c r="S56">
        <f t="shared" si="3"/>
        <v>2</v>
      </c>
      <c r="V56" s="7" t="s">
        <v>2</v>
      </c>
      <c r="W56" s="7" t="s">
        <v>20</v>
      </c>
    </row>
    <row r="57" spans="1:23" ht="18.75" x14ac:dyDescent="0.3">
      <c r="A57">
        <v>1951</v>
      </c>
      <c r="B57">
        <v>251</v>
      </c>
      <c r="C57">
        <v>37</v>
      </c>
      <c r="D57">
        <v>21</v>
      </c>
      <c r="E57">
        <v>22</v>
      </c>
      <c r="F57">
        <v>19</v>
      </c>
      <c r="G57">
        <v>12</v>
      </c>
      <c r="H57">
        <v>2</v>
      </c>
      <c r="I57">
        <v>1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f t="shared" si="0"/>
        <v>14</v>
      </c>
      <c r="Q57">
        <f t="shared" si="1"/>
        <v>1</v>
      </c>
      <c r="R57">
        <f t="shared" si="2"/>
        <v>0</v>
      </c>
      <c r="S57">
        <f t="shared" si="3"/>
        <v>1</v>
      </c>
      <c r="V57" s="7" t="s">
        <v>3</v>
      </c>
      <c r="W57" s="7" t="s">
        <v>21</v>
      </c>
    </row>
    <row r="58" spans="1:23" ht="18.75" x14ac:dyDescent="0.3">
      <c r="A58">
        <v>1952</v>
      </c>
      <c r="B58">
        <v>261</v>
      </c>
      <c r="C58">
        <v>32</v>
      </c>
      <c r="D58">
        <v>19</v>
      </c>
      <c r="E58">
        <v>18</v>
      </c>
      <c r="F58">
        <v>21</v>
      </c>
      <c r="G58">
        <v>10</v>
      </c>
      <c r="H58">
        <v>3</v>
      </c>
      <c r="I58">
        <v>1</v>
      </c>
      <c r="J58">
        <v>0</v>
      </c>
      <c r="K58">
        <v>1</v>
      </c>
      <c r="L58">
        <v>0</v>
      </c>
      <c r="M58">
        <v>0</v>
      </c>
      <c r="N58">
        <v>0</v>
      </c>
      <c r="O58">
        <v>0</v>
      </c>
      <c r="P58">
        <f t="shared" si="0"/>
        <v>13</v>
      </c>
      <c r="Q58">
        <f t="shared" si="1"/>
        <v>2</v>
      </c>
      <c r="R58">
        <f t="shared" si="2"/>
        <v>0</v>
      </c>
      <c r="S58">
        <f t="shared" si="3"/>
        <v>2</v>
      </c>
      <c r="V58" s="7" t="s">
        <v>4</v>
      </c>
      <c r="W58" s="7" t="s">
        <v>22</v>
      </c>
    </row>
    <row r="59" spans="1:23" ht="18.75" x14ac:dyDescent="0.3">
      <c r="A59">
        <v>1953</v>
      </c>
      <c r="B59">
        <v>264</v>
      </c>
      <c r="C59">
        <v>22</v>
      </c>
      <c r="D59">
        <v>25</v>
      </c>
      <c r="E59">
        <v>23</v>
      </c>
      <c r="F59">
        <v>19</v>
      </c>
      <c r="G59">
        <v>9</v>
      </c>
      <c r="H59">
        <v>2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f t="shared" si="0"/>
        <v>11</v>
      </c>
      <c r="Q59">
        <f t="shared" si="1"/>
        <v>1</v>
      </c>
      <c r="R59">
        <f t="shared" si="2"/>
        <v>0</v>
      </c>
      <c r="S59">
        <f t="shared" si="3"/>
        <v>1</v>
      </c>
      <c r="V59" s="7" t="s">
        <v>23</v>
      </c>
      <c r="W59" s="7" t="s">
        <v>37</v>
      </c>
    </row>
    <row r="60" spans="1:23" ht="18.75" x14ac:dyDescent="0.3">
      <c r="A60">
        <v>1954</v>
      </c>
      <c r="B60">
        <v>270</v>
      </c>
      <c r="C60">
        <v>27</v>
      </c>
      <c r="D60">
        <v>23</v>
      </c>
      <c r="E60">
        <v>15</v>
      </c>
      <c r="F60">
        <v>24</v>
      </c>
      <c r="G60">
        <v>2</v>
      </c>
      <c r="H60">
        <v>0</v>
      </c>
      <c r="I60">
        <v>3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f t="shared" si="0"/>
        <v>2</v>
      </c>
      <c r="Q60">
        <f t="shared" si="1"/>
        <v>3</v>
      </c>
      <c r="R60">
        <f t="shared" si="2"/>
        <v>1</v>
      </c>
      <c r="S60">
        <f t="shared" si="3"/>
        <v>4</v>
      </c>
      <c r="V60" s="7" t="s">
        <v>25</v>
      </c>
      <c r="W60" s="7" t="s">
        <v>38</v>
      </c>
    </row>
    <row r="61" spans="1:23" x14ac:dyDescent="0.25">
      <c r="A61">
        <v>1955</v>
      </c>
      <c r="B61">
        <v>277</v>
      </c>
      <c r="C61">
        <v>29</v>
      </c>
      <c r="D61">
        <v>22</v>
      </c>
      <c r="E61">
        <v>11</v>
      </c>
      <c r="F61">
        <v>17</v>
      </c>
      <c r="G61">
        <v>2</v>
      </c>
      <c r="H61">
        <v>3</v>
      </c>
      <c r="I61">
        <v>2</v>
      </c>
      <c r="J61">
        <v>0</v>
      </c>
      <c r="K61">
        <v>2</v>
      </c>
      <c r="L61">
        <v>0</v>
      </c>
      <c r="M61">
        <v>0</v>
      </c>
      <c r="N61">
        <v>0</v>
      </c>
      <c r="O61">
        <v>0</v>
      </c>
      <c r="P61">
        <f t="shared" si="0"/>
        <v>5</v>
      </c>
      <c r="Q61">
        <f t="shared" si="1"/>
        <v>4</v>
      </c>
      <c r="R61">
        <f t="shared" si="2"/>
        <v>0</v>
      </c>
      <c r="S61">
        <f t="shared" si="3"/>
        <v>4</v>
      </c>
    </row>
    <row r="62" spans="1:23" x14ac:dyDescent="0.25">
      <c r="A62">
        <v>1956</v>
      </c>
      <c r="B62">
        <v>245</v>
      </c>
      <c r="C62">
        <v>28</v>
      </c>
      <c r="D62">
        <v>36</v>
      </c>
      <c r="E62">
        <v>30</v>
      </c>
      <c r="F62">
        <v>16</v>
      </c>
      <c r="G62">
        <v>10</v>
      </c>
      <c r="H62">
        <v>1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f t="shared" si="0"/>
        <v>11</v>
      </c>
      <c r="Q62">
        <f t="shared" si="1"/>
        <v>0</v>
      </c>
      <c r="R62">
        <f t="shared" si="2"/>
        <v>0</v>
      </c>
      <c r="S62">
        <f t="shared" si="3"/>
        <v>0</v>
      </c>
    </row>
    <row r="63" spans="1:23" x14ac:dyDescent="0.25">
      <c r="A63">
        <v>1957</v>
      </c>
      <c r="B63">
        <v>259</v>
      </c>
      <c r="C63">
        <v>37</v>
      </c>
      <c r="D63">
        <v>21</v>
      </c>
      <c r="E63">
        <v>24</v>
      </c>
      <c r="F63">
        <v>19</v>
      </c>
      <c r="G63">
        <v>5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f t="shared" si="0"/>
        <v>5</v>
      </c>
      <c r="Q63">
        <f t="shared" si="1"/>
        <v>0</v>
      </c>
      <c r="R63">
        <f t="shared" si="2"/>
        <v>0</v>
      </c>
      <c r="S63">
        <f t="shared" si="3"/>
        <v>0</v>
      </c>
    </row>
    <row r="64" spans="1:23" x14ac:dyDescent="0.25">
      <c r="A64">
        <v>1958</v>
      </c>
      <c r="B64">
        <v>261</v>
      </c>
      <c r="C64">
        <v>25</v>
      </c>
      <c r="D64">
        <v>23</v>
      </c>
      <c r="E64">
        <v>22</v>
      </c>
      <c r="F64">
        <v>20</v>
      </c>
      <c r="G64">
        <v>8</v>
      </c>
      <c r="H64">
        <v>6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f t="shared" si="0"/>
        <v>14</v>
      </c>
      <c r="Q64">
        <f t="shared" si="1"/>
        <v>0</v>
      </c>
      <c r="R64">
        <f t="shared" si="2"/>
        <v>0</v>
      </c>
      <c r="S64">
        <f t="shared" si="3"/>
        <v>0</v>
      </c>
    </row>
    <row r="65" spans="1:23" x14ac:dyDescent="0.25">
      <c r="A65">
        <v>1959</v>
      </c>
      <c r="B65">
        <v>274</v>
      </c>
      <c r="C65">
        <v>26</v>
      </c>
      <c r="D65">
        <v>19</v>
      </c>
      <c r="E65">
        <v>19</v>
      </c>
      <c r="F65">
        <v>16</v>
      </c>
      <c r="G65">
        <v>7</v>
      </c>
      <c r="H65">
        <v>2</v>
      </c>
      <c r="I65">
        <v>2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f t="shared" si="0"/>
        <v>9</v>
      </c>
      <c r="Q65">
        <f t="shared" si="1"/>
        <v>2</v>
      </c>
      <c r="R65">
        <f t="shared" si="2"/>
        <v>0</v>
      </c>
      <c r="S65">
        <f t="shared" si="3"/>
        <v>2</v>
      </c>
    </row>
    <row r="66" spans="1:23" x14ac:dyDescent="0.25">
      <c r="A66">
        <v>1960</v>
      </c>
      <c r="B66">
        <v>277</v>
      </c>
      <c r="C66">
        <v>21</v>
      </c>
      <c r="D66">
        <v>20</v>
      </c>
      <c r="E66">
        <v>17</v>
      </c>
      <c r="F66">
        <v>18</v>
      </c>
      <c r="G66">
        <v>8</v>
      </c>
      <c r="H66">
        <v>1</v>
      </c>
      <c r="I66">
        <v>1</v>
      </c>
      <c r="J66">
        <v>1</v>
      </c>
      <c r="K66">
        <v>1</v>
      </c>
      <c r="L66">
        <v>1</v>
      </c>
      <c r="M66">
        <v>0</v>
      </c>
      <c r="N66">
        <v>0</v>
      </c>
      <c r="O66">
        <v>0</v>
      </c>
      <c r="P66">
        <f t="shared" si="0"/>
        <v>9</v>
      </c>
      <c r="Q66">
        <f t="shared" si="1"/>
        <v>3</v>
      </c>
      <c r="R66">
        <f t="shared" si="2"/>
        <v>1</v>
      </c>
      <c r="S66">
        <f t="shared" si="3"/>
        <v>4</v>
      </c>
    </row>
    <row r="67" spans="1:23" x14ac:dyDescent="0.25">
      <c r="A67">
        <v>1961</v>
      </c>
      <c r="B67">
        <v>256</v>
      </c>
      <c r="C67">
        <v>24</v>
      </c>
      <c r="D67">
        <v>30</v>
      </c>
      <c r="E67">
        <v>24</v>
      </c>
      <c r="F67">
        <v>19</v>
      </c>
      <c r="G67">
        <v>10</v>
      </c>
      <c r="H67">
        <v>1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f t="shared" ref="P67:P123" si="4">SUM(G67:H67)</f>
        <v>11</v>
      </c>
      <c r="Q67">
        <f t="shared" ref="Q67:Q123" si="5">SUM(I67:K67)</f>
        <v>1</v>
      </c>
      <c r="R67">
        <f t="shared" ref="R67:R123" si="6">SUM(L67:O67)</f>
        <v>0</v>
      </c>
      <c r="S67">
        <f t="shared" ref="S67:S123" si="7">SUM(Q67:R67)</f>
        <v>1</v>
      </c>
    </row>
    <row r="68" spans="1:23" x14ac:dyDescent="0.25">
      <c r="A68">
        <v>1962</v>
      </c>
      <c r="B68">
        <v>272</v>
      </c>
      <c r="C68">
        <v>34</v>
      </c>
      <c r="D68">
        <v>12</v>
      </c>
      <c r="E68">
        <v>16</v>
      </c>
      <c r="F68">
        <v>19</v>
      </c>
      <c r="G68">
        <v>8</v>
      </c>
      <c r="H68">
        <v>4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f t="shared" si="4"/>
        <v>12</v>
      </c>
      <c r="Q68">
        <f t="shared" si="5"/>
        <v>0</v>
      </c>
      <c r="R68">
        <f t="shared" si="6"/>
        <v>0</v>
      </c>
      <c r="S68">
        <f t="shared" si="7"/>
        <v>0</v>
      </c>
    </row>
    <row r="69" spans="1:23" x14ac:dyDescent="0.25">
      <c r="A69">
        <v>1963</v>
      </c>
      <c r="B69">
        <v>278</v>
      </c>
      <c r="C69">
        <v>29</v>
      </c>
      <c r="D69">
        <v>19</v>
      </c>
      <c r="E69">
        <v>23</v>
      </c>
      <c r="F69">
        <v>11</v>
      </c>
      <c r="G69">
        <v>2</v>
      </c>
      <c r="H69">
        <v>0</v>
      </c>
      <c r="I69">
        <v>2</v>
      </c>
      <c r="J69">
        <v>0</v>
      </c>
      <c r="K69">
        <v>0</v>
      </c>
      <c r="L69">
        <v>1</v>
      </c>
      <c r="M69">
        <v>0</v>
      </c>
      <c r="N69">
        <v>0</v>
      </c>
      <c r="O69">
        <v>0</v>
      </c>
      <c r="P69">
        <f t="shared" si="4"/>
        <v>2</v>
      </c>
      <c r="Q69">
        <f t="shared" si="5"/>
        <v>2</v>
      </c>
      <c r="R69">
        <f t="shared" si="6"/>
        <v>1</v>
      </c>
      <c r="S69">
        <f t="shared" si="7"/>
        <v>3</v>
      </c>
    </row>
    <row r="70" spans="1:23" x14ac:dyDescent="0.25">
      <c r="A70">
        <v>1964</v>
      </c>
      <c r="B70">
        <v>271</v>
      </c>
      <c r="C70">
        <v>27</v>
      </c>
      <c r="D70">
        <v>23</v>
      </c>
      <c r="E70">
        <v>21</v>
      </c>
      <c r="F70">
        <v>15</v>
      </c>
      <c r="G70">
        <v>7</v>
      </c>
      <c r="H70">
        <v>1</v>
      </c>
      <c r="I70">
        <v>0</v>
      </c>
      <c r="J70">
        <v>1</v>
      </c>
      <c r="K70">
        <v>0</v>
      </c>
      <c r="L70">
        <v>0</v>
      </c>
      <c r="M70">
        <v>0</v>
      </c>
      <c r="N70">
        <v>0</v>
      </c>
      <c r="O70">
        <v>0</v>
      </c>
      <c r="P70">
        <f t="shared" si="4"/>
        <v>8</v>
      </c>
      <c r="Q70">
        <f t="shared" si="5"/>
        <v>1</v>
      </c>
      <c r="R70">
        <f t="shared" si="6"/>
        <v>0</v>
      </c>
      <c r="S70">
        <f t="shared" si="7"/>
        <v>1</v>
      </c>
    </row>
    <row r="71" spans="1:23" x14ac:dyDescent="0.25">
      <c r="A71">
        <v>1965</v>
      </c>
      <c r="B71">
        <v>272</v>
      </c>
      <c r="C71">
        <v>33</v>
      </c>
      <c r="D71">
        <v>25</v>
      </c>
      <c r="E71">
        <v>17</v>
      </c>
      <c r="F71">
        <v>14</v>
      </c>
      <c r="G71">
        <v>3</v>
      </c>
      <c r="H71">
        <v>1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f t="shared" si="4"/>
        <v>4</v>
      </c>
      <c r="Q71">
        <f t="shared" si="5"/>
        <v>0</v>
      </c>
      <c r="R71">
        <f t="shared" si="6"/>
        <v>0</v>
      </c>
      <c r="S71">
        <f t="shared" si="7"/>
        <v>0</v>
      </c>
    </row>
    <row r="72" spans="1:23" x14ac:dyDescent="0.25">
      <c r="A72">
        <v>1966</v>
      </c>
      <c r="B72">
        <v>278</v>
      </c>
      <c r="C72">
        <v>24</v>
      </c>
      <c r="D72">
        <v>16</v>
      </c>
      <c r="E72">
        <v>20</v>
      </c>
      <c r="F72">
        <v>17</v>
      </c>
      <c r="G72">
        <v>4</v>
      </c>
      <c r="H72">
        <v>0</v>
      </c>
      <c r="I72">
        <v>4</v>
      </c>
      <c r="J72">
        <v>0</v>
      </c>
      <c r="K72">
        <v>1</v>
      </c>
      <c r="L72">
        <v>1</v>
      </c>
      <c r="M72">
        <v>0</v>
      </c>
      <c r="N72">
        <v>0</v>
      </c>
      <c r="O72">
        <v>0</v>
      </c>
      <c r="P72">
        <f t="shared" si="4"/>
        <v>4</v>
      </c>
      <c r="Q72">
        <f t="shared" si="5"/>
        <v>5</v>
      </c>
      <c r="R72">
        <f t="shared" si="6"/>
        <v>1</v>
      </c>
      <c r="S72">
        <f t="shared" si="7"/>
        <v>6</v>
      </c>
    </row>
    <row r="73" spans="1:23" x14ac:dyDescent="0.25">
      <c r="A73">
        <v>1967</v>
      </c>
      <c r="B73">
        <v>257</v>
      </c>
      <c r="C73">
        <v>22</v>
      </c>
      <c r="D73">
        <v>25</v>
      </c>
      <c r="E73">
        <v>29</v>
      </c>
      <c r="F73">
        <v>21</v>
      </c>
      <c r="G73">
        <v>7</v>
      </c>
      <c r="H73">
        <v>2</v>
      </c>
      <c r="I73">
        <v>2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f t="shared" si="4"/>
        <v>9</v>
      </c>
      <c r="Q73">
        <f t="shared" si="5"/>
        <v>2</v>
      </c>
      <c r="R73">
        <f t="shared" si="6"/>
        <v>0</v>
      </c>
      <c r="S73">
        <f t="shared" si="7"/>
        <v>2</v>
      </c>
    </row>
    <row r="74" spans="1:23" x14ac:dyDescent="0.25">
      <c r="A74">
        <v>1968</v>
      </c>
      <c r="B74">
        <v>278</v>
      </c>
      <c r="C74">
        <v>28</v>
      </c>
      <c r="D74">
        <v>14</v>
      </c>
      <c r="E74">
        <v>13</v>
      </c>
      <c r="F74">
        <v>24</v>
      </c>
      <c r="G74">
        <v>3</v>
      </c>
      <c r="H74">
        <v>3</v>
      </c>
      <c r="I74">
        <v>1</v>
      </c>
      <c r="J74">
        <v>1</v>
      </c>
      <c r="K74">
        <v>0</v>
      </c>
      <c r="L74">
        <v>0</v>
      </c>
      <c r="M74">
        <v>1</v>
      </c>
      <c r="N74">
        <v>0</v>
      </c>
      <c r="O74">
        <v>0</v>
      </c>
      <c r="P74">
        <f t="shared" si="4"/>
        <v>6</v>
      </c>
      <c r="Q74">
        <f t="shared" si="5"/>
        <v>2</v>
      </c>
      <c r="R74">
        <f t="shared" si="6"/>
        <v>1</v>
      </c>
      <c r="S74">
        <f t="shared" si="7"/>
        <v>3</v>
      </c>
    </row>
    <row r="75" spans="1:23" x14ac:dyDescent="0.25">
      <c r="A75">
        <v>1969</v>
      </c>
      <c r="B75">
        <v>255</v>
      </c>
      <c r="C75">
        <v>31</v>
      </c>
      <c r="D75">
        <v>22</v>
      </c>
      <c r="E75">
        <v>27</v>
      </c>
      <c r="F75">
        <v>20</v>
      </c>
      <c r="G75">
        <v>7</v>
      </c>
      <c r="H75">
        <v>2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f t="shared" si="4"/>
        <v>9</v>
      </c>
      <c r="Q75">
        <f t="shared" si="5"/>
        <v>0</v>
      </c>
      <c r="R75">
        <f t="shared" si="6"/>
        <v>1</v>
      </c>
      <c r="S75">
        <f t="shared" si="7"/>
        <v>1</v>
      </c>
    </row>
    <row r="76" spans="1:23" x14ac:dyDescent="0.25">
      <c r="A76">
        <v>1970</v>
      </c>
      <c r="B76">
        <v>270</v>
      </c>
      <c r="C76">
        <v>26</v>
      </c>
      <c r="D76">
        <v>18</v>
      </c>
      <c r="E76">
        <v>19</v>
      </c>
      <c r="F76">
        <v>24</v>
      </c>
      <c r="G76">
        <v>5</v>
      </c>
      <c r="H76">
        <v>3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f t="shared" si="4"/>
        <v>8</v>
      </c>
      <c r="Q76">
        <f t="shared" si="5"/>
        <v>0</v>
      </c>
      <c r="R76">
        <f t="shared" si="6"/>
        <v>0</v>
      </c>
      <c r="S76">
        <f t="shared" si="7"/>
        <v>0</v>
      </c>
    </row>
    <row r="77" spans="1:23" x14ac:dyDescent="0.25">
      <c r="A77">
        <v>1971</v>
      </c>
      <c r="B77">
        <v>261</v>
      </c>
      <c r="C77">
        <v>29</v>
      </c>
      <c r="D77">
        <v>25</v>
      </c>
      <c r="E77">
        <v>20</v>
      </c>
      <c r="F77">
        <v>16</v>
      </c>
      <c r="G77">
        <v>9</v>
      </c>
      <c r="H77">
        <v>2</v>
      </c>
      <c r="I77">
        <v>1</v>
      </c>
      <c r="J77">
        <v>1</v>
      </c>
      <c r="K77">
        <v>0</v>
      </c>
      <c r="L77">
        <v>0</v>
      </c>
      <c r="M77">
        <v>0</v>
      </c>
      <c r="N77">
        <v>0</v>
      </c>
      <c r="O77">
        <v>1</v>
      </c>
      <c r="P77">
        <f t="shared" si="4"/>
        <v>11</v>
      </c>
      <c r="Q77">
        <f t="shared" si="5"/>
        <v>2</v>
      </c>
      <c r="R77">
        <f t="shared" si="6"/>
        <v>1</v>
      </c>
      <c r="S77">
        <f t="shared" si="7"/>
        <v>3</v>
      </c>
    </row>
    <row r="78" spans="1:23" x14ac:dyDescent="0.25">
      <c r="A78">
        <v>1972</v>
      </c>
      <c r="B78">
        <v>244</v>
      </c>
      <c r="C78">
        <v>35</v>
      </c>
      <c r="D78">
        <v>24</v>
      </c>
      <c r="E78">
        <v>22</v>
      </c>
      <c r="F78">
        <v>26</v>
      </c>
      <c r="G78">
        <v>11</v>
      </c>
      <c r="H78">
        <v>1</v>
      </c>
      <c r="I78">
        <v>1</v>
      </c>
      <c r="J78">
        <v>0</v>
      </c>
      <c r="K78">
        <v>2</v>
      </c>
      <c r="L78">
        <v>0</v>
      </c>
      <c r="M78">
        <v>0</v>
      </c>
      <c r="N78">
        <v>0</v>
      </c>
      <c r="O78">
        <v>0</v>
      </c>
      <c r="P78">
        <f t="shared" si="4"/>
        <v>12</v>
      </c>
      <c r="Q78">
        <f t="shared" si="5"/>
        <v>3</v>
      </c>
      <c r="R78">
        <f t="shared" si="6"/>
        <v>0</v>
      </c>
      <c r="S78">
        <f t="shared" si="7"/>
        <v>3</v>
      </c>
    </row>
    <row r="79" spans="1:23" ht="18.75" x14ac:dyDescent="0.3">
      <c r="A79">
        <v>1973</v>
      </c>
      <c r="B79">
        <v>259</v>
      </c>
      <c r="C79">
        <v>26</v>
      </c>
      <c r="D79">
        <v>24</v>
      </c>
      <c r="E79">
        <v>17</v>
      </c>
      <c r="F79">
        <v>21</v>
      </c>
      <c r="G79">
        <v>11</v>
      </c>
      <c r="H79">
        <v>3</v>
      </c>
      <c r="I79">
        <v>2</v>
      </c>
      <c r="J79">
        <v>1</v>
      </c>
      <c r="K79">
        <v>1</v>
      </c>
      <c r="L79">
        <v>0</v>
      </c>
      <c r="M79">
        <v>0</v>
      </c>
      <c r="N79">
        <v>0</v>
      </c>
      <c r="O79">
        <v>0</v>
      </c>
      <c r="P79">
        <f t="shared" si="4"/>
        <v>14</v>
      </c>
      <c r="Q79">
        <f t="shared" si="5"/>
        <v>4</v>
      </c>
      <c r="R79">
        <f t="shared" si="6"/>
        <v>0</v>
      </c>
      <c r="S79">
        <f t="shared" si="7"/>
        <v>4</v>
      </c>
      <c r="V79" s="7" t="s">
        <v>15</v>
      </c>
      <c r="W79" s="7"/>
    </row>
    <row r="80" spans="1:23" ht="18.75" x14ac:dyDescent="0.3">
      <c r="A80">
        <v>1974</v>
      </c>
      <c r="B80">
        <v>269</v>
      </c>
      <c r="C80">
        <v>22</v>
      </c>
      <c r="D80">
        <v>21</v>
      </c>
      <c r="E80">
        <v>24</v>
      </c>
      <c r="F80">
        <v>18</v>
      </c>
      <c r="G80">
        <v>7</v>
      </c>
      <c r="H80">
        <v>2</v>
      </c>
      <c r="I80">
        <v>2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f t="shared" si="4"/>
        <v>9</v>
      </c>
      <c r="Q80">
        <f t="shared" si="5"/>
        <v>2</v>
      </c>
      <c r="R80">
        <f t="shared" si="6"/>
        <v>0</v>
      </c>
      <c r="S80">
        <f t="shared" si="7"/>
        <v>2</v>
      </c>
      <c r="V80" s="7" t="s">
        <v>16</v>
      </c>
      <c r="W80" s="7" t="s">
        <v>17</v>
      </c>
    </row>
    <row r="81" spans="1:23" ht="18.75" x14ac:dyDescent="0.3">
      <c r="A81">
        <v>1975</v>
      </c>
      <c r="B81">
        <v>241</v>
      </c>
      <c r="C81">
        <v>28</v>
      </c>
      <c r="D81">
        <v>30</v>
      </c>
      <c r="E81">
        <v>23</v>
      </c>
      <c r="F81">
        <v>24</v>
      </c>
      <c r="G81">
        <v>8</v>
      </c>
      <c r="H81">
        <v>8</v>
      </c>
      <c r="I81">
        <v>1</v>
      </c>
      <c r="J81">
        <v>0</v>
      </c>
      <c r="K81">
        <v>2</v>
      </c>
      <c r="L81">
        <v>0</v>
      </c>
      <c r="M81">
        <v>0</v>
      </c>
      <c r="N81">
        <v>0</v>
      </c>
      <c r="O81">
        <v>0</v>
      </c>
      <c r="P81">
        <f t="shared" si="4"/>
        <v>16</v>
      </c>
      <c r="Q81">
        <f t="shared" si="5"/>
        <v>3</v>
      </c>
      <c r="R81">
        <f t="shared" si="6"/>
        <v>0</v>
      </c>
      <c r="S81">
        <f t="shared" si="7"/>
        <v>3</v>
      </c>
      <c r="V81" s="7" t="s">
        <v>0</v>
      </c>
      <c r="W81" s="7" t="s">
        <v>18</v>
      </c>
    </row>
    <row r="82" spans="1:23" ht="18.75" x14ac:dyDescent="0.3">
      <c r="A82">
        <v>1976</v>
      </c>
      <c r="B82">
        <v>268</v>
      </c>
      <c r="C82">
        <v>29</v>
      </c>
      <c r="D82">
        <v>29</v>
      </c>
      <c r="E82">
        <v>19</v>
      </c>
      <c r="F82">
        <v>12</v>
      </c>
      <c r="G82">
        <v>5</v>
      </c>
      <c r="H82">
        <v>1</v>
      </c>
      <c r="I82">
        <v>3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f t="shared" si="4"/>
        <v>6</v>
      </c>
      <c r="Q82">
        <f t="shared" si="5"/>
        <v>3</v>
      </c>
      <c r="R82">
        <f t="shared" si="6"/>
        <v>0</v>
      </c>
      <c r="S82">
        <f t="shared" si="7"/>
        <v>3</v>
      </c>
      <c r="V82" s="7" t="s">
        <v>1</v>
      </c>
      <c r="W82" s="7" t="s">
        <v>19</v>
      </c>
    </row>
    <row r="83" spans="1:23" ht="18.75" x14ac:dyDescent="0.3">
      <c r="A83">
        <v>1977</v>
      </c>
      <c r="B83">
        <v>255</v>
      </c>
      <c r="C83">
        <v>26</v>
      </c>
      <c r="D83">
        <v>28</v>
      </c>
      <c r="E83">
        <v>20</v>
      </c>
      <c r="F83">
        <v>24</v>
      </c>
      <c r="G83">
        <v>5</v>
      </c>
      <c r="H83">
        <v>4</v>
      </c>
      <c r="I83">
        <v>2</v>
      </c>
      <c r="J83">
        <v>0</v>
      </c>
      <c r="K83">
        <v>1</v>
      </c>
      <c r="L83">
        <v>0</v>
      </c>
      <c r="M83">
        <v>0</v>
      </c>
      <c r="N83">
        <v>0</v>
      </c>
      <c r="O83">
        <v>0</v>
      </c>
      <c r="P83">
        <f t="shared" si="4"/>
        <v>9</v>
      </c>
      <c r="Q83">
        <f t="shared" si="5"/>
        <v>3</v>
      </c>
      <c r="R83">
        <f t="shared" si="6"/>
        <v>0</v>
      </c>
      <c r="S83">
        <f t="shared" si="7"/>
        <v>3</v>
      </c>
      <c r="V83" s="7" t="s">
        <v>2</v>
      </c>
      <c r="W83" s="7" t="s">
        <v>20</v>
      </c>
    </row>
    <row r="84" spans="1:23" ht="18.75" x14ac:dyDescent="0.3">
      <c r="A84">
        <v>1978</v>
      </c>
      <c r="B84">
        <v>267</v>
      </c>
      <c r="C84">
        <v>24</v>
      </c>
      <c r="D84">
        <v>23</v>
      </c>
      <c r="E84">
        <v>20</v>
      </c>
      <c r="F84">
        <v>17</v>
      </c>
      <c r="G84">
        <v>8</v>
      </c>
      <c r="H84">
        <v>5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f t="shared" si="4"/>
        <v>13</v>
      </c>
      <c r="Q84">
        <f t="shared" si="5"/>
        <v>1</v>
      </c>
      <c r="R84">
        <f t="shared" si="6"/>
        <v>0</v>
      </c>
      <c r="S84">
        <f t="shared" si="7"/>
        <v>1</v>
      </c>
      <c r="V84" s="7" t="s">
        <v>3</v>
      </c>
      <c r="W84" s="7" t="s">
        <v>21</v>
      </c>
    </row>
    <row r="85" spans="1:23" ht="18.75" x14ac:dyDescent="0.3">
      <c r="A85">
        <v>1979</v>
      </c>
      <c r="B85">
        <v>248</v>
      </c>
      <c r="C85">
        <v>26</v>
      </c>
      <c r="D85">
        <v>30</v>
      </c>
      <c r="E85">
        <v>25</v>
      </c>
      <c r="F85">
        <v>18</v>
      </c>
      <c r="G85">
        <v>11</v>
      </c>
      <c r="H85">
        <v>2</v>
      </c>
      <c r="I85">
        <v>1</v>
      </c>
      <c r="J85">
        <v>2</v>
      </c>
      <c r="K85">
        <v>2</v>
      </c>
      <c r="L85">
        <v>0</v>
      </c>
      <c r="M85">
        <v>0</v>
      </c>
      <c r="N85">
        <v>0</v>
      </c>
      <c r="O85">
        <v>0</v>
      </c>
      <c r="P85">
        <f t="shared" si="4"/>
        <v>13</v>
      </c>
      <c r="Q85">
        <f t="shared" si="5"/>
        <v>5</v>
      </c>
      <c r="R85">
        <f t="shared" si="6"/>
        <v>0</v>
      </c>
      <c r="S85">
        <f t="shared" si="7"/>
        <v>5</v>
      </c>
      <c r="V85" s="7" t="s">
        <v>4</v>
      </c>
      <c r="W85" s="7" t="s">
        <v>22</v>
      </c>
    </row>
    <row r="86" spans="1:23" ht="18.75" x14ac:dyDescent="0.3">
      <c r="A86">
        <v>1980</v>
      </c>
      <c r="B86">
        <v>279</v>
      </c>
      <c r="C86">
        <v>22</v>
      </c>
      <c r="D86">
        <v>24</v>
      </c>
      <c r="E86">
        <v>15</v>
      </c>
      <c r="F86">
        <v>16</v>
      </c>
      <c r="G86">
        <v>6</v>
      </c>
      <c r="H86">
        <v>3</v>
      </c>
      <c r="I86">
        <v>0</v>
      </c>
      <c r="J86">
        <v>0</v>
      </c>
      <c r="K86">
        <v>1</v>
      </c>
      <c r="L86">
        <v>0</v>
      </c>
      <c r="M86">
        <v>0</v>
      </c>
      <c r="N86">
        <v>0</v>
      </c>
      <c r="O86">
        <v>0</v>
      </c>
      <c r="P86">
        <f t="shared" si="4"/>
        <v>9</v>
      </c>
      <c r="Q86">
        <f t="shared" si="5"/>
        <v>1</v>
      </c>
      <c r="R86">
        <f t="shared" si="6"/>
        <v>0</v>
      </c>
      <c r="S86">
        <f t="shared" si="7"/>
        <v>1</v>
      </c>
      <c r="V86" s="7" t="s">
        <v>23</v>
      </c>
      <c r="W86" s="7" t="s">
        <v>37</v>
      </c>
    </row>
    <row r="87" spans="1:23" ht="18.75" x14ac:dyDescent="0.3">
      <c r="A87">
        <v>1981</v>
      </c>
      <c r="B87">
        <v>272</v>
      </c>
      <c r="C87">
        <v>32</v>
      </c>
      <c r="D87">
        <v>16</v>
      </c>
      <c r="E87">
        <v>18</v>
      </c>
      <c r="F87">
        <v>16</v>
      </c>
      <c r="G87">
        <v>7</v>
      </c>
      <c r="H87">
        <v>2</v>
      </c>
      <c r="I87">
        <v>2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f t="shared" si="4"/>
        <v>9</v>
      </c>
      <c r="Q87">
        <f t="shared" si="5"/>
        <v>2</v>
      </c>
      <c r="R87">
        <f t="shared" si="6"/>
        <v>0</v>
      </c>
      <c r="S87">
        <f t="shared" si="7"/>
        <v>2</v>
      </c>
      <c r="V87" s="7" t="s">
        <v>25</v>
      </c>
      <c r="W87" s="7" t="s">
        <v>38</v>
      </c>
    </row>
    <row r="88" spans="1:23" x14ac:dyDescent="0.25">
      <c r="A88">
        <v>1982</v>
      </c>
      <c r="B88">
        <v>277</v>
      </c>
      <c r="C88">
        <v>25</v>
      </c>
      <c r="D88">
        <v>19</v>
      </c>
      <c r="E88">
        <v>16</v>
      </c>
      <c r="F88">
        <v>15</v>
      </c>
      <c r="G88">
        <v>7</v>
      </c>
      <c r="H88">
        <v>5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f t="shared" si="4"/>
        <v>12</v>
      </c>
      <c r="Q88">
        <f t="shared" si="5"/>
        <v>1</v>
      </c>
      <c r="R88">
        <f t="shared" si="6"/>
        <v>0</v>
      </c>
      <c r="S88">
        <f t="shared" si="7"/>
        <v>1</v>
      </c>
    </row>
    <row r="89" spans="1:23" x14ac:dyDescent="0.25">
      <c r="A89">
        <v>1983</v>
      </c>
      <c r="B89">
        <v>264</v>
      </c>
      <c r="C89">
        <v>19</v>
      </c>
      <c r="D89">
        <v>21</v>
      </c>
      <c r="E89">
        <v>16</v>
      </c>
      <c r="F89">
        <v>20</v>
      </c>
      <c r="G89">
        <v>15</v>
      </c>
      <c r="H89">
        <v>7</v>
      </c>
      <c r="I89">
        <v>3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f t="shared" si="4"/>
        <v>22</v>
      </c>
      <c r="Q89">
        <f t="shared" si="5"/>
        <v>3</v>
      </c>
      <c r="R89">
        <f t="shared" si="6"/>
        <v>0</v>
      </c>
      <c r="S89">
        <f t="shared" si="7"/>
        <v>3</v>
      </c>
    </row>
    <row r="90" spans="1:23" x14ac:dyDescent="0.25">
      <c r="A90">
        <v>1984</v>
      </c>
      <c r="B90">
        <v>261</v>
      </c>
      <c r="C90">
        <v>25</v>
      </c>
      <c r="D90">
        <v>17</v>
      </c>
      <c r="E90">
        <v>22</v>
      </c>
      <c r="F90">
        <v>27</v>
      </c>
      <c r="G90">
        <v>8</v>
      </c>
      <c r="H90">
        <v>5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0</v>
      </c>
      <c r="P90">
        <f t="shared" si="4"/>
        <v>13</v>
      </c>
      <c r="Q90">
        <f t="shared" si="5"/>
        <v>1</v>
      </c>
      <c r="R90">
        <f t="shared" si="6"/>
        <v>0</v>
      </c>
      <c r="S90">
        <f t="shared" si="7"/>
        <v>1</v>
      </c>
    </row>
    <row r="91" spans="1:23" x14ac:dyDescent="0.25">
      <c r="A91">
        <v>1985</v>
      </c>
      <c r="B91">
        <v>269</v>
      </c>
      <c r="C91">
        <v>34</v>
      </c>
      <c r="D91">
        <v>18</v>
      </c>
      <c r="E91">
        <v>11</v>
      </c>
      <c r="F91">
        <v>19</v>
      </c>
      <c r="G91">
        <v>8</v>
      </c>
      <c r="H91">
        <v>4</v>
      </c>
      <c r="I91">
        <v>1</v>
      </c>
      <c r="J91">
        <v>1</v>
      </c>
      <c r="K91">
        <v>0</v>
      </c>
      <c r="L91">
        <v>0</v>
      </c>
      <c r="M91">
        <v>0</v>
      </c>
      <c r="N91">
        <v>0</v>
      </c>
      <c r="O91">
        <v>0</v>
      </c>
      <c r="P91">
        <f t="shared" si="4"/>
        <v>12</v>
      </c>
      <c r="Q91">
        <f t="shared" si="5"/>
        <v>2</v>
      </c>
      <c r="R91">
        <f t="shared" si="6"/>
        <v>0</v>
      </c>
      <c r="S91">
        <f t="shared" si="7"/>
        <v>2</v>
      </c>
    </row>
    <row r="92" spans="1:23" x14ac:dyDescent="0.25">
      <c r="A92">
        <v>1986</v>
      </c>
      <c r="B92">
        <v>257</v>
      </c>
      <c r="C92">
        <v>35</v>
      </c>
      <c r="D92">
        <v>23</v>
      </c>
      <c r="E92">
        <v>21</v>
      </c>
      <c r="F92">
        <v>18</v>
      </c>
      <c r="G92">
        <v>8</v>
      </c>
      <c r="H92">
        <v>2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  <c r="O92">
        <v>0</v>
      </c>
      <c r="P92">
        <f t="shared" si="4"/>
        <v>10</v>
      </c>
      <c r="Q92">
        <f t="shared" si="5"/>
        <v>1</v>
      </c>
      <c r="R92">
        <f t="shared" si="6"/>
        <v>0</v>
      </c>
      <c r="S92">
        <f t="shared" si="7"/>
        <v>1</v>
      </c>
    </row>
    <row r="93" spans="1:23" x14ac:dyDescent="0.25">
      <c r="A93">
        <v>1987</v>
      </c>
      <c r="B93">
        <v>256</v>
      </c>
      <c r="C93">
        <v>31</v>
      </c>
      <c r="D93">
        <v>22</v>
      </c>
      <c r="E93">
        <v>19</v>
      </c>
      <c r="F93">
        <v>23</v>
      </c>
      <c r="G93">
        <v>8</v>
      </c>
      <c r="H93">
        <v>5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f t="shared" si="4"/>
        <v>13</v>
      </c>
      <c r="Q93">
        <f t="shared" si="5"/>
        <v>1</v>
      </c>
      <c r="R93">
        <f t="shared" si="6"/>
        <v>0</v>
      </c>
      <c r="S93">
        <f t="shared" si="7"/>
        <v>1</v>
      </c>
    </row>
    <row r="94" spans="1:23" x14ac:dyDescent="0.25">
      <c r="A94">
        <v>1988</v>
      </c>
      <c r="B94">
        <v>275</v>
      </c>
      <c r="C94">
        <v>17</v>
      </c>
      <c r="D94">
        <v>20</v>
      </c>
      <c r="E94">
        <v>22</v>
      </c>
      <c r="F94">
        <v>17</v>
      </c>
      <c r="G94">
        <v>7</v>
      </c>
      <c r="H94">
        <v>5</v>
      </c>
      <c r="I94">
        <v>2</v>
      </c>
      <c r="J94">
        <v>1</v>
      </c>
      <c r="K94">
        <v>0</v>
      </c>
      <c r="L94">
        <v>0</v>
      </c>
      <c r="M94">
        <v>0</v>
      </c>
      <c r="N94">
        <v>0</v>
      </c>
      <c r="O94">
        <v>0</v>
      </c>
      <c r="P94">
        <f t="shared" si="4"/>
        <v>12</v>
      </c>
      <c r="Q94">
        <f t="shared" si="5"/>
        <v>3</v>
      </c>
      <c r="R94">
        <f t="shared" si="6"/>
        <v>0</v>
      </c>
      <c r="S94">
        <f t="shared" si="7"/>
        <v>3</v>
      </c>
    </row>
    <row r="95" spans="1:23" x14ac:dyDescent="0.25">
      <c r="A95">
        <v>1989</v>
      </c>
      <c r="B95">
        <v>246</v>
      </c>
      <c r="C95">
        <v>36</v>
      </c>
      <c r="D95">
        <v>24</v>
      </c>
      <c r="E95">
        <v>23</v>
      </c>
      <c r="F95">
        <v>22</v>
      </c>
      <c r="G95">
        <v>5</v>
      </c>
      <c r="H95">
        <v>5</v>
      </c>
      <c r="I95">
        <v>1</v>
      </c>
      <c r="J95">
        <v>0</v>
      </c>
      <c r="K95">
        <v>1</v>
      </c>
      <c r="L95">
        <v>1</v>
      </c>
      <c r="M95">
        <v>1</v>
      </c>
      <c r="N95">
        <v>0</v>
      </c>
      <c r="O95">
        <v>0</v>
      </c>
      <c r="P95">
        <f t="shared" si="4"/>
        <v>10</v>
      </c>
      <c r="Q95">
        <f t="shared" si="5"/>
        <v>2</v>
      </c>
      <c r="R95">
        <f t="shared" si="6"/>
        <v>2</v>
      </c>
      <c r="S95">
        <f t="shared" si="7"/>
        <v>4</v>
      </c>
    </row>
    <row r="96" spans="1:23" x14ac:dyDescent="0.25">
      <c r="A96">
        <v>1990</v>
      </c>
      <c r="B96">
        <v>245</v>
      </c>
      <c r="C96">
        <v>39</v>
      </c>
      <c r="D96">
        <v>24</v>
      </c>
      <c r="E96">
        <v>23</v>
      </c>
      <c r="F96">
        <v>19</v>
      </c>
      <c r="G96">
        <v>9</v>
      </c>
      <c r="H96">
        <v>4</v>
      </c>
      <c r="I96">
        <v>1</v>
      </c>
      <c r="J96">
        <v>1</v>
      </c>
      <c r="K96">
        <v>0</v>
      </c>
      <c r="L96">
        <v>0</v>
      </c>
      <c r="M96">
        <v>0</v>
      </c>
      <c r="N96">
        <v>0</v>
      </c>
      <c r="O96">
        <v>0</v>
      </c>
      <c r="P96">
        <f t="shared" si="4"/>
        <v>13</v>
      </c>
      <c r="Q96">
        <f t="shared" si="5"/>
        <v>2</v>
      </c>
      <c r="R96">
        <f t="shared" si="6"/>
        <v>0</v>
      </c>
      <c r="S96">
        <f t="shared" si="7"/>
        <v>2</v>
      </c>
    </row>
    <row r="97" spans="1:23" x14ac:dyDescent="0.25">
      <c r="A97">
        <v>1991</v>
      </c>
      <c r="B97">
        <v>267</v>
      </c>
      <c r="C97">
        <v>24</v>
      </c>
      <c r="D97">
        <v>20</v>
      </c>
      <c r="E97">
        <v>23</v>
      </c>
      <c r="F97">
        <v>21</v>
      </c>
      <c r="G97">
        <v>6</v>
      </c>
      <c r="H97">
        <v>3</v>
      </c>
      <c r="I97">
        <v>0</v>
      </c>
      <c r="J97">
        <v>0</v>
      </c>
      <c r="K97">
        <v>0</v>
      </c>
      <c r="L97">
        <v>1</v>
      </c>
      <c r="M97">
        <v>0</v>
      </c>
      <c r="N97">
        <v>0</v>
      </c>
      <c r="O97">
        <v>0</v>
      </c>
      <c r="P97">
        <f t="shared" si="4"/>
        <v>9</v>
      </c>
      <c r="Q97">
        <f t="shared" si="5"/>
        <v>0</v>
      </c>
      <c r="R97">
        <f t="shared" si="6"/>
        <v>1</v>
      </c>
      <c r="S97">
        <f t="shared" si="7"/>
        <v>1</v>
      </c>
    </row>
    <row r="98" spans="1:23" x14ac:dyDescent="0.25">
      <c r="A98">
        <v>1992</v>
      </c>
      <c r="B98">
        <v>264</v>
      </c>
      <c r="C98">
        <v>31</v>
      </c>
      <c r="D98">
        <v>26</v>
      </c>
      <c r="E98">
        <v>19</v>
      </c>
      <c r="F98">
        <v>16</v>
      </c>
      <c r="G98">
        <v>4</v>
      </c>
      <c r="H98">
        <v>2</v>
      </c>
      <c r="I98">
        <v>3</v>
      </c>
      <c r="J98">
        <v>1</v>
      </c>
      <c r="K98">
        <v>0</v>
      </c>
      <c r="L98">
        <v>0</v>
      </c>
      <c r="M98">
        <v>0</v>
      </c>
      <c r="N98">
        <v>0</v>
      </c>
      <c r="O98">
        <v>0</v>
      </c>
      <c r="P98">
        <f t="shared" si="4"/>
        <v>6</v>
      </c>
      <c r="Q98">
        <f t="shared" si="5"/>
        <v>4</v>
      </c>
      <c r="R98">
        <f t="shared" si="6"/>
        <v>0</v>
      </c>
      <c r="S98">
        <f t="shared" si="7"/>
        <v>4</v>
      </c>
    </row>
    <row r="99" spans="1:23" x14ac:dyDescent="0.25">
      <c r="A99">
        <v>1993</v>
      </c>
      <c r="B99">
        <v>260</v>
      </c>
      <c r="C99">
        <v>28</v>
      </c>
      <c r="D99">
        <v>25</v>
      </c>
      <c r="E99">
        <v>20</v>
      </c>
      <c r="F99">
        <v>16</v>
      </c>
      <c r="G99">
        <v>12</v>
      </c>
      <c r="H99">
        <v>2</v>
      </c>
      <c r="I99">
        <v>2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f t="shared" si="4"/>
        <v>14</v>
      </c>
      <c r="Q99">
        <f t="shared" si="5"/>
        <v>2</v>
      </c>
      <c r="R99">
        <f t="shared" si="6"/>
        <v>0</v>
      </c>
      <c r="S99">
        <f t="shared" si="7"/>
        <v>2</v>
      </c>
    </row>
    <row r="100" spans="1:23" x14ac:dyDescent="0.25">
      <c r="A100">
        <v>1994</v>
      </c>
      <c r="B100">
        <v>267</v>
      </c>
      <c r="C100">
        <v>26</v>
      </c>
      <c r="D100">
        <v>18</v>
      </c>
      <c r="E100">
        <v>17</v>
      </c>
      <c r="F100">
        <v>26</v>
      </c>
      <c r="G100">
        <v>5</v>
      </c>
      <c r="H100">
        <v>4</v>
      </c>
      <c r="I100">
        <v>2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f t="shared" si="4"/>
        <v>9</v>
      </c>
      <c r="Q100">
        <f t="shared" si="5"/>
        <v>2</v>
      </c>
      <c r="R100">
        <f t="shared" si="6"/>
        <v>0</v>
      </c>
      <c r="S100">
        <f t="shared" si="7"/>
        <v>2</v>
      </c>
    </row>
    <row r="101" spans="1:23" x14ac:dyDescent="0.25">
      <c r="A101">
        <v>1995</v>
      </c>
      <c r="B101">
        <v>274</v>
      </c>
      <c r="C101">
        <v>22</v>
      </c>
      <c r="D101">
        <v>25</v>
      </c>
      <c r="E101">
        <v>19</v>
      </c>
      <c r="F101">
        <v>15</v>
      </c>
      <c r="G101">
        <v>6</v>
      </c>
      <c r="H101">
        <v>4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f t="shared" si="4"/>
        <v>10</v>
      </c>
      <c r="Q101">
        <f t="shared" si="5"/>
        <v>0</v>
      </c>
      <c r="R101">
        <f t="shared" si="6"/>
        <v>0</v>
      </c>
      <c r="S101">
        <f t="shared" si="7"/>
        <v>0</v>
      </c>
    </row>
    <row r="102" spans="1:23" x14ac:dyDescent="0.25">
      <c r="A102">
        <v>1996</v>
      </c>
      <c r="B102">
        <v>238</v>
      </c>
      <c r="C102">
        <v>40</v>
      </c>
      <c r="D102">
        <v>26</v>
      </c>
      <c r="E102">
        <v>22</v>
      </c>
      <c r="F102">
        <v>19</v>
      </c>
      <c r="G102">
        <v>15</v>
      </c>
      <c r="H102">
        <v>3</v>
      </c>
      <c r="I102">
        <v>1</v>
      </c>
      <c r="J102">
        <v>0</v>
      </c>
      <c r="K102">
        <v>1</v>
      </c>
      <c r="L102">
        <v>1</v>
      </c>
      <c r="M102">
        <v>0</v>
      </c>
      <c r="N102">
        <v>0</v>
      </c>
      <c r="O102">
        <v>0</v>
      </c>
      <c r="P102">
        <f t="shared" si="4"/>
        <v>18</v>
      </c>
      <c r="Q102">
        <f t="shared" si="5"/>
        <v>2</v>
      </c>
      <c r="R102">
        <f t="shared" si="6"/>
        <v>1</v>
      </c>
      <c r="S102">
        <f t="shared" si="7"/>
        <v>3</v>
      </c>
    </row>
    <row r="103" spans="1:23" ht="18.75" x14ac:dyDescent="0.3">
      <c r="A103">
        <v>1997</v>
      </c>
      <c r="B103">
        <v>252</v>
      </c>
      <c r="C103">
        <v>38</v>
      </c>
      <c r="D103">
        <v>22</v>
      </c>
      <c r="E103">
        <v>23</v>
      </c>
      <c r="F103">
        <v>20</v>
      </c>
      <c r="G103">
        <v>6</v>
      </c>
      <c r="H103">
        <v>3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1</v>
      </c>
      <c r="O103">
        <v>0</v>
      </c>
      <c r="P103">
        <f t="shared" si="4"/>
        <v>9</v>
      </c>
      <c r="Q103">
        <f t="shared" si="5"/>
        <v>0</v>
      </c>
      <c r="R103">
        <f t="shared" si="6"/>
        <v>1</v>
      </c>
      <c r="S103">
        <f t="shared" si="7"/>
        <v>1</v>
      </c>
      <c r="V103" s="7" t="s">
        <v>15</v>
      </c>
      <c r="W103" s="7"/>
    </row>
    <row r="104" spans="1:23" ht="18.75" x14ac:dyDescent="0.3">
      <c r="A104">
        <v>1998</v>
      </c>
      <c r="B104">
        <v>267</v>
      </c>
      <c r="C104">
        <v>34</v>
      </c>
      <c r="D104">
        <v>16</v>
      </c>
      <c r="E104">
        <v>16</v>
      </c>
      <c r="F104">
        <v>20</v>
      </c>
      <c r="G104">
        <v>7</v>
      </c>
      <c r="H104">
        <v>2</v>
      </c>
      <c r="I104">
        <v>3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f t="shared" si="4"/>
        <v>9</v>
      </c>
      <c r="Q104">
        <f t="shared" si="5"/>
        <v>3</v>
      </c>
      <c r="R104">
        <f t="shared" si="6"/>
        <v>0</v>
      </c>
      <c r="S104">
        <f t="shared" si="7"/>
        <v>3</v>
      </c>
      <c r="V104" s="7" t="s">
        <v>16</v>
      </c>
      <c r="W104" s="7" t="s">
        <v>17</v>
      </c>
    </row>
    <row r="105" spans="1:23" ht="18.75" x14ac:dyDescent="0.3">
      <c r="A105">
        <v>1999</v>
      </c>
      <c r="B105">
        <v>264</v>
      </c>
      <c r="C105">
        <v>28</v>
      </c>
      <c r="D105">
        <v>24</v>
      </c>
      <c r="E105">
        <v>20</v>
      </c>
      <c r="F105">
        <v>20</v>
      </c>
      <c r="G105">
        <v>3</v>
      </c>
      <c r="H105">
        <v>4</v>
      </c>
      <c r="I105">
        <v>1</v>
      </c>
      <c r="J105">
        <v>0</v>
      </c>
      <c r="K105">
        <v>0</v>
      </c>
      <c r="L105">
        <v>0</v>
      </c>
      <c r="M105">
        <v>1</v>
      </c>
      <c r="N105">
        <v>0</v>
      </c>
      <c r="O105">
        <v>0</v>
      </c>
      <c r="P105">
        <f t="shared" si="4"/>
        <v>7</v>
      </c>
      <c r="Q105">
        <f t="shared" si="5"/>
        <v>1</v>
      </c>
      <c r="R105">
        <f t="shared" si="6"/>
        <v>1</v>
      </c>
      <c r="S105">
        <f t="shared" si="7"/>
        <v>2</v>
      </c>
      <c r="V105" s="7" t="s">
        <v>0</v>
      </c>
      <c r="W105" s="7" t="s">
        <v>18</v>
      </c>
    </row>
    <row r="106" spans="1:23" ht="18.75" x14ac:dyDescent="0.3">
      <c r="A106">
        <v>2000</v>
      </c>
      <c r="B106">
        <v>264</v>
      </c>
      <c r="C106">
        <v>34</v>
      </c>
      <c r="D106">
        <v>21</v>
      </c>
      <c r="E106">
        <v>16</v>
      </c>
      <c r="F106">
        <v>20</v>
      </c>
      <c r="G106">
        <v>9</v>
      </c>
      <c r="H106">
        <v>0</v>
      </c>
      <c r="I106">
        <v>1</v>
      </c>
      <c r="J106">
        <v>0</v>
      </c>
      <c r="K106">
        <v>1</v>
      </c>
      <c r="L106">
        <v>0</v>
      </c>
      <c r="M106">
        <v>0</v>
      </c>
      <c r="N106">
        <v>0</v>
      </c>
      <c r="O106">
        <v>0</v>
      </c>
      <c r="P106">
        <f t="shared" si="4"/>
        <v>9</v>
      </c>
      <c r="Q106">
        <f t="shared" si="5"/>
        <v>2</v>
      </c>
      <c r="R106">
        <f t="shared" si="6"/>
        <v>0</v>
      </c>
      <c r="S106">
        <f t="shared" si="7"/>
        <v>2</v>
      </c>
      <c r="V106" s="7" t="s">
        <v>1</v>
      </c>
      <c r="W106" s="7" t="s">
        <v>19</v>
      </c>
    </row>
    <row r="107" spans="1:23" ht="18.75" x14ac:dyDescent="0.3">
      <c r="A107">
        <v>2001</v>
      </c>
      <c r="B107">
        <v>270</v>
      </c>
      <c r="C107">
        <v>34</v>
      </c>
      <c r="D107">
        <v>16</v>
      </c>
      <c r="E107">
        <v>17</v>
      </c>
      <c r="F107">
        <v>16</v>
      </c>
      <c r="G107">
        <v>7</v>
      </c>
      <c r="H107">
        <v>4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f t="shared" si="4"/>
        <v>11</v>
      </c>
      <c r="Q107">
        <f t="shared" si="5"/>
        <v>1</v>
      </c>
      <c r="R107">
        <f t="shared" si="6"/>
        <v>0</v>
      </c>
      <c r="S107">
        <f t="shared" si="7"/>
        <v>1</v>
      </c>
      <c r="V107" s="7" t="s">
        <v>2</v>
      </c>
      <c r="W107" s="7" t="s">
        <v>20</v>
      </c>
    </row>
    <row r="108" spans="1:23" ht="18.75" x14ac:dyDescent="0.3">
      <c r="A108">
        <v>2002</v>
      </c>
      <c r="B108">
        <v>264</v>
      </c>
      <c r="C108">
        <v>26</v>
      </c>
      <c r="D108">
        <v>19</v>
      </c>
      <c r="E108">
        <v>17</v>
      </c>
      <c r="F108">
        <v>26</v>
      </c>
      <c r="G108">
        <v>7</v>
      </c>
      <c r="H108">
        <v>5</v>
      </c>
      <c r="I108">
        <v>0</v>
      </c>
      <c r="J108">
        <v>1</v>
      </c>
      <c r="K108">
        <v>0</v>
      </c>
      <c r="L108">
        <v>0</v>
      </c>
      <c r="M108">
        <v>0</v>
      </c>
      <c r="N108">
        <v>0</v>
      </c>
      <c r="O108">
        <v>0</v>
      </c>
      <c r="P108">
        <f t="shared" si="4"/>
        <v>12</v>
      </c>
      <c r="Q108">
        <f t="shared" si="5"/>
        <v>1</v>
      </c>
      <c r="R108">
        <f t="shared" si="6"/>
        <v>0</v>
      </c>
      <c r="S108">
        <f t="shared" si="7"/>
        <v>1</v>
      </c>
      <c r="V108" s="7" t="s">
        <v>3</v>
      </c>
      <c r="W108" s="7" t="s">
        <v>21</v>
      </c>
    </row>
    <row r="109" spans="1:23" ht="18.75" x14ac:dyDescent="0.3">
      <c r="A109">
        <v>2003</v>
      </c>
      <c r="B109">
        <v>237</v>
      </c>
      <c r="C109">
        <v>31</v>
      </c>
      <c r="D109">
        <v>34</v>
      </c>
      <c r="E109">
        <v>19</v>
      </c>
      <c r="F109">
        <v>28</v>
      </c>
      <c r="G109">
        <v>8</v>
      </c>
      <c r="H109">
        <v>6</v>
      </c>
      <c r="I109">
        <v>1</v>
      </c>
      <c r="J109">
        <v>1</v>
      </c>
      <c r="K109">
        <v>0</v>
      </c>
      <c r="L109">
        <v>0</v>
      </c>
      <c r="M109">
        <v>0</v>
      </c>
      <c r="N109">
        <v>0</v>
      </c>
      <c r="O109">
        <v>0</v>
      </c>
      <c r="P109">
        <f t="shared" si="4"/>
        <v>14</v>
      </c>
      <c r="Q109">
        <f t="shared" si="5"/>
        <v>2</v>
      </c>
      <c r="R109">
        <f t="shared" si="6"/>
        <v>0</v>
      </c>
      <c r="S109">
        <f t="shared" si="7"/>
        <v>2</v>
      </c>
      <c r="V109" s="7" t="s">
        <v>4</v>
      </c>
      <c r="W109" s="7" t="s">
        <v>22</v>
      </c>
    </row>
    <row r="110" spans="1:23" ht="18.75" x14ac:dyDescent="0.3">
      <c r="A110">
        <v>2004</v>
      </c>
      <c r="B110">
        <v>258</v>
      </c>
      <c r="C110">
        <v>28</v>
      </c>
      <c r="D110">
        <v>23</v>
      </c>
      <c r="E110">
        <v>28</v>
      </c>
      <c r="F110">
        <v>18</v>
      </c>
      <c r="G110">
        <v>7</v>
      </c>
      <c r="H110">
        <v>2</v>
      </c>
      <c r="I110">
        <v>0</v>
      </c>
      <c r="J110">
        <v>1</v>
      </c>
      <c r="K110">
        <v>0</v>
      </c>
      <c r="L110">
        <v>0</v>
      </c>
      <c r="M110">
        <v>1</v>
      </c>
      <c r="N110">
        <v>0</v>
      </c>
      <c r="O110">
        <v>0</v>
      </c>
      <c r="P110">
        <f t="shared" si="4"/>
        <v>9</v>
      </c>
      <c r="Q110">
        <f t="shared" si="5"/>
        <v>1</v>
      </c>
      <c r="R110">
        <f t="shared" si="6"/>
        <v>1</v>
      </c>
      <c r="S110">
        <f t="shared" si="7"/>
        <v>2</v>
      </c>
      <c r="V110" s="7" t="s">
        <v>23</v>
      </c>
      <c r="W110" s="7" t="s">
        <v>37</v>
      </c>
    </row>
    <row r="111" spans="1:23" ht="18.75" x14ac:dyDescent="0.3">
      <c r="A111">
        <v>2005</v>
      </c>
      <c r="B111">
        <v>255</v>
      </c>
      <c r="C111">
        <v>32</v>
      </c>
      <c r="D111">
        <v>22</v>
      </c>
      <c r="E111">
        <v>20</v>
      </c>
      <c r="F111">
        <v>20</v>
      </c>
      <c r="G111">
        <v>9</v>
      </c>
      <c r="H111">
        <v>3</v>
      </c>
      <c r="I111">
        <v>4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f t="shared" si="4"/>
        <v>12</v>
      </c>
      <c r="Q111">
        <f t="shared" si="5"/>
        <v>4</v>
      </c>
      <c r="R111">
        <f t="shared" si="6"/>
        <v>0</v>
      </c>
      <c r="S111">
        <f t="shared" si="7"/>
        <v>4</v>
      </c>
      <c r="V111" s="7" t="s">
        <v>25</v>
      </c>
      <c r="W111" s="7" t="s">
        <v>38</v>
      </c>
    </row>
    <row r="112" spans="1:23" x14ac:dyDescent="0.25">
      <c r="A112">
        <v>2006</v>
      </c>
      <c r="B112">
        <v>260</v>
      </c>
      <c r="C112">
        <v>18</v>
      </c>
      <c r="D112">
        <v>27</v>
      </c>
      <c r="E112">
        <v>26</v>
      </c>
      <c r="F112">
        <v>19</v>
      </c>
      <c r="G112">
        <v>10</v>
      </c>
      <c r="H112">
        <v>2</v>
      </c>
      <c r="I112">
        <v>2</v>
      </c>
      <c r="J112">
        <v>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f t="shared" si="4"/>
        <v>12</v>
      </c>
      <c r="Q112">
        <f t="shared" si="5"/>
        <v>3</v>
      </c>
      <c r="R112">
        <f t="shared" si="6"/>
        <v>0</v>
      </c>
      <c r="S112">
        <f t="shared" si="7"/>
        <v>3</v>
      </c>
    </row>
    <row r="113" spans="1:20" x14ac:dyDescent="0.25">
      <c r="A113">
        <v>2007</v>
      </c>
      <c r="B113">
        <v>256</v>
      </c>
      <c r="C113">
        <v>30</v>
      </c>
      <c r="D113">
        <v>24</v>
      </c>
      <c r="E113">
        <v>23</v>
      </c>
      <c r="F113">
        <v>17</v>
      </c>
      <c r="G113">
        <v>7</v>
      </c>
      <c r="H113">
        <v>6</v>
      </c>
      <c r="I113">
        <v>0</v>
      </c>
      <c r="J113">
        <v>1</v>
      </c>
      <c r="K113">
        <v>0</v>
      </c>
      <c r="L113">
        <v>0</v>
      </c>
      <c r="M113">
        <v>0</v>
      </c>
      <c r="N113">
        <v>1</v>
      </c>
      <c r="O113">
        <v>0</v>
      </c>
      <c r="P113">
        <f t="shared" si="4"/>
        <v>13</v>
      </c>
      <c r="Q113">
        <f t="shared" si="5"/>
        <v>1</v>
      </c>
      <c r="R113">
        <f t="shared" si="6"/>
        <v>1</v>
      </c>
      <c r="S113">
        <f t="shared" si="7"/>
        <v>2</v>
      </c>
    </row>
    <row r="114" spans="1:20" x14ac:dyDescent="0.25">
      <c r="A114">
        <v>2008</v>
      </c>
      <c r="B114">
        <v>252</v>
      </c>
      <c r="C114">
        <v>33</v>
      </c>
      <c r="D114">
        <v>23</v>
      </c>
      <c r="E114">
        <v>20</v>
      </c>
      <c r="F114">
        <v>26</v>
      </c>
      <c r="G114">
        <v>6</v>
      </c>
      <c r="H114">
        <v>3</v>
      </c>
      <c r="I114">
        <v>0</v>
      </c>
      <c r="J114">
        <v>1</v>
      </c>
      <c r="K114">
        <v>2</v>
      </c>
      <c r="L114">
        <v>0</v>
      </c>
      <c r="M114">
        <v>0</v>
      </c>
      <c r="N114">
        <v>0</v>
      </c>
      <c r="O114">
        <v>0</v>
      </c>
      <c r="P114">
        <f t="shared" si="4"/>
        <v>9</v>
      </c>
      <c r="Q114">
        <f t="shared" si="5"/>
        <v>3</v>
      </c>
      <c r="R114">
        <f t="shared" si="6"/>
        <v>0</v>
      </c>
      <c r="S114">
        <f t="shared" si="7"/>
        <v>3</v>
      </c>
    </row>
    <row r="115" spans="1:20" x14ac:dyDescent="0.25">
      <c r="A115">
        <v>2009</v>
      </c>
      <c r="B115">
        <v>245</v>
      </c>
      <c r="C115">
        <v>34</v>
      </c>
      <c r="D115">
        <v>19</v>
      </c>
      <c r="E115">
        <v>27</v>
      </c>
      <c r="F115">
        <v>28</v>
      </c>
      <c r="G115">
        <v>11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f t="shared" si="4"/>
        <v>12</v>
      </c>
      <c r="Q115">
        <f t="shared" si="5"/>
        <v>0</v>
      </c>
      <c r="R115">
        <f t="shared" si="6"/>
        <v>0</v>
      </c>
      <c r="S115">
        <f t="shared" si="7"/>
        <v>0</v>
      </c>
    </row>
    <row r="116" spans="1:20" x14ac:dyDescent="0.25">
      <c r="A116">
        <v>2010</v>
      </c>
      <c r="B116">
        <v>272</v>
      </c>
      <c r="C116">
        <v>27</v>
      </c>
      <c r="D116">
        <v>17</v>
      </c>
      <c r="E116">
        <v>17</v>
      </c>
      <c r="F116">
        <v>19</v>
      </c>
      <c r="G116">
        <v>7</v>
      </c>
      <c r="H116">
        <v>5</v>
      </c>
      <c r="I116">
        <v>0</v>
      </c>
      <c r="J116">
        <v>0</v>
      </c>
      <c r="K116">
        <v>1</v>
      </c>
      <c r="L116">
        <v>0</v>
      </c>
      <c r="M116">
        <v>0</v>
      </c>
      <c r="N116">
        <v>0</v>
      </c>
      <c r="O116">
        <v>0</v>
      </c>
      <c r="P116">
        <f t="shared" si="4"/>
        <v>12</v>
      </c>
      <c r="Q116">
        <f t="shared" si="5"/>
        <v>1</v>
      </c>
      <c r="R116">
        <f t="shared" si="6"/>
        <v>0</v>
      </c>
      <c r="S116">
        <f t="shared" si="7"/>
        <v>1</v>
      </c>
    </row>
    <row r="117" spans="1:20" x14ac:dyDescent="0.25">
      <c r="A117">
        <v>2011</v>
      </c>
      <c r="B117">
        <v>255</v>
      </c>
      <c r="C117">
        <v>26</v>
      </c>
      <c r="D117">
        <v>21</v>
      </c>
      <c r="E117">
        <v>25</v>
      </c>
      <c r="F117">
        <v>20</v>
      </c>
      <c r="G117">
        <v>7</v>
      </c>
      <c r="H117">
        <v>2</v>
      </c>
      <c r="I117">
        <v>4</v>
      </c>
      <c r="J117">
        <v>4</v>
      </c>
      <c r="K117">
        <v>0</v>
      </c>
      <c r="L117">
        <v>0</v>
      </c>
      <c r="M117">
        <v>0</v>
      </c>
      <c r="N117">
        <v>0</v>
      </c>
      <c r="O117">
        <v>1</v>
      </c>
      <c r="P117">
        <f t="shared" si="4"/>
        <v>9</v>
      </c>
      <c r="Q117">
        <f t="shared" si="5"/>
        <v>8</v>
      </c>
      <c r="R117">
        <f t="shared" si="6"/>
        <v>1</v>
      </c>
      <c r="S117">
        <f t="shared" si="7"/>
        <v>9</v>
      </c>
    </row>
    <row r="118" spans="1:20" x14ac:dyDescent="0.25">
      <c r="A118">
        <v>2012</v>
      </c>
      <c r="B118">
        <v>263</v>
      </c>
      <c r="C118">
        <v>27</v>
      </c>
      <c r="D118">
        <v>26</v>
      </c>
      <c r="E118">
        <v>21</v>
      </c>
      <c r="F118">
        <v>22</v>
      </c>
      <c r="G118">
        <v>3</v>
      </c>
      <c r="H118">
        <v>3</v>
      </c>
      <c r="I118">
        <v>1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f t="shared" si="4"/>
        <v>6</v>
      </c>
      <c r="Q118">
        <f t="shared" si="5"/>
        <v>1</v>
      </c>
      <c r="R118">
        <f t="shared" si="6"/>
        <v>0</v>
      </c>
      <c r="S118">
        <f t="shared" si="7"/>
        <v>1</v>
      </c>
    </row>
    <row r="119" spans="1:20" x14ac:dyDescent="0.25">
      <c r="A119">
        <v>2013</v>
      </c>
      <c r="B119">
        <v>261</v>
      </c>
      <c r="C119">
        <v>30</v>
      </c>
      <c r="D119">
        <v>28</v>
      </c>
      <c r="E119">
        <v>18</v>
      </c>
      <c r="F119">
        <v>17</v>
      </c>
      <c r="G119">
        <v>7</v>
      </c>
      <c r="H119">
        <v>2</v>
      </c>
      <c r="I119">
        <v>1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</v>
      </c>
      <c r="P119">
        <f t="shared" si="4"/>
        <v>9</v>
      </c>
      <c r="Q119">
        <f t="shared" si="5"/>
        <v>2</v>
      </c>
      <c r="R119">
        <f t="shared" si="6"/>
        <v>0</v>
      </c>
      <c r="S119">
        <f t="shared" si="7"/>
        <v>2</v>
      </c>
    </row>
    <row r="120" spans="1:20" x14ac:dyDescent="0.25">
      <c r="A120">
        <v>2014</v>
      </c>
      <c r="B120">
        <v>259</v>
      </c>
      <c r="C120">
        <v>20</v>
      </c>
      <c r="D120">
        <v>25</v>
      </c>
      <c r="E120">
        <v>33</v>
      </c>
      <c r="F120">
        <v>16</v>
      </c>
      <c r="G120">
        <v>7</v>
      </c>
      <c r="H120">
        <v>1</v>
      </c>
      <c r="I120">
        <v>1</v>
      </c>
      <c r="J120">
        <v>2</v>
      </c>
      <c r="K120">
        <v>0</v>
      </c>
      <c r="L120">
        <v>1</v>
      </c>
      <c r="M120">
        <v>0</v>
      </c>
      <c r="N120">
        <v>0</v>
      </c>
      <c r="O120">
        <v>0</v>
      </c>
      <c r="P120">
        <f t="shared" si="4"/>
        <v>8</v>
      </c>
      <c r="Q120">
        <f t="shared" si="5"/>
        <v>3</v>
      </c>
      <c r="R120">
        <f t="shared" si="6"/>
        <v>1</v>
      </c>
      <c r="S120">
        <f t="shared" si="7"/>
        <v>4</v>
      </c>
    </row>
    <row r="121" spans="1:20" x14ac:dyDescent="0.25">
      <c r="A121">
        <v>2015</v>
      </c>
      <c r="B121">
        <v>265</v>
      </c>
      <c r="C121">
        <v>32</v>
      </c>
      <c r="D121">
        <v>21</v>
      </c>
      <c r="E121">
        <v>19</v>
      </c>
      <c r="F121">
        <v>18</v>
      </c>
      <c r="G121">
        <v>6</v>
      </c>
      <c r="H121">
        <v>4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f t="shared" si="4"/>
        <v>10</v>
      </c>
      <c r="Q121">
        <f t="shared" si="5"/>
        <v>0</v>
      </c>
      <c r="R121">
        <f t="shared" si="6"/>
        <v>0</v>
      </c>
      <c r="S121">
        <f t="shared" si="7"/>
        <v>0</v>
      </c>
    </row>
    <row r="122" spans="1:20" x14ac:dyDescent="0.25">
      <c r="A122">
        <v>2016</v>
      </c>
      <c r="B122">
        <v>261</v>
      </c>
      <c r="C122">
        <v>31</v>
      </c>
      <c r="D122">
        <v>24</v>
      </c>
      <c r="E122">
        <v>28</v>
      </c>
      <c r="F122">
        <v>15</v>
      </c>
      <c r="G122">
        <v>3</v>
      </c>
      <c r="H122">
        <v>3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f t="shared" si="4"/>
        <v>6</v>
      </c>
      <c r="Q122">
        <f t="shared" si="5"/>
        <v>1</v>
      </c>
      <c r="R122">
        <f t="shared" si="6"/>
        <v>0</v>
      </c>
      <c r="S122">
        <f t="shared" si="7"/>
        <v>1</v>
      </c>
    </row>
    <row r="123" spans="1:20" x14ac:dyDescent="0.25">
      <c r="A123">
        <v>2017</v>
      </c>
      <c r="B123">
        <v>249</v>
      </c>
      <c r="C123">
        <v>39</v>
      </c>
      <c r="D123">
        <v>20</v>
      </c>
      <c r="E123">
        <v>25</v>
      </c>
      <c r="F123">
        <v>19</v>
      </c>
      <c r="G123">
        <v>5</v>
      </c>
      <c r="H123">
        <v>6</v>
      </c>
      <c r="I123">
        <v>1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f t="shared" si="4"/>
        <v>11</v>
      </c>
      <c r="Q123">
        <f t="shared" si="5"/>
        <v>2</v>
      </c>
      <c r="R123">
        <f t="shared" si="6"/>
        <v>0</v>
      </c>
      <c r="S123">
        <f t="shared" si="7"/>
        <v>2</v>
      </c>
    </row>
    <row r="125" spans="1:20" x14ac:dyDescent="0.25">
      <c r="A125" s="28" t="s">
        <v>58</v>
      </c>
      <c r="B125" s="8">
        <f>AVERAGE(B87:B116)</f>
        <v>260.26666666666665</v>
      </c>
      <c r="C125" s="8">
        <f>AVERAGE(C94:C123)</f>
        <v>29.833333333333332</v>
      </c>
      <c r="D125" s="8">
        <f t="shared" ref="D125:S125" si="8">AVERAGE(D94:D123)</f>
        <v>22.666666666666668</v>
      </c>
      <c r="E125" s="8">
        <f t="shared" si="8"/>
        <v>21.533333333333335</v>
      </c>
      <c r="F125" s="8">
        <f t="shared" si="8"/>
        <v>19.833333333333332</v>
      </c>
      <c r="G125" s="8">
        <f t="shared" si="8"/>
        <v>7.0333333333333332</v>
      </c>
      <c r="H125" s="8">
        <f t="shared" si="8"/>
        <v>3.3</v>
      </c>
      <c r="I125" s="8">
        <f t="shared" si="8"/>
        <v>1.1000000000000001</v>
      </c>
      <c r="J125" s="8">
        <f t="shared" si="8"/>
        <v>0.5</v>
      </c>
      <c r="K125" s="8">
        <f t="shared" si="8"/>
        <v>0.3</v>
      </c>
      <c r="L125" s="8">
        <f t="shared" si="8"/>
        <v>0.13333333333333333</v>
      </c>
      <c r="M125" s="8">
        <f t="shared" si="8"/>
        <v>0.1</v>
      </c>
      <c r="N125" s="8">
        <f t="shared" si="8"/>
        <v>6.6666666666666666E-2</v>
      </c>
      <c r="O125" s="8">
        <f t="shared" si="8"/>
        <v>3.3333333333333333E-2</v>
      </c>
      <c r="P125" s="8">
        <f t="shared" si="8"/>
        <v>10.333333333333334</v>
      </c>
      <c r="Q125" s="8">
        <f t="shared" si="8"/>
        <v>1.9</v>
      </c>
      <c r="R125" s="8">
        <f t="shared" si="8"/>
        <v>0.33333333333333331</v>
      </c>
      <c r="S125" s="8">
        <f t="shared" si="8"/>
        <v>2.2333333333333334</v>
      </c>
      <c r="T125" s="8"/>
    </row>
    <row r="126" spans="1:20" x14ac:dyDescent="0.25">
      <c r="A126" s="28" t="s">
        <v>59</v>
      </c>
      <c r="B126" s="8"/>
      <c r="C126" s="8">
        <f>AVERAGE(C2:C93)</f>
        <v>29.163043478260871</v>
      </c>
      <c r="D126" s="8">
        <f t="shared" ref="D126:S126" si="9">AVERAGE(D2:D93)</f>
        <v>23.793478260869566</v>
      </c>
      <c r="E126" s="8">
        <f t="shared" si="9"/>
        <v>20.239130434782609</v>
      </c>
      <c r="F126" s="8">
        <f t="shared" si="9"/>
        <v>18.619565217391305</v>
      </c>
      <c r="G126" s="8">
        <f t="shared" si="9"/>
        <v>6.7826086956521738</v>
      </c>
      <c r="H126" s="8">
        <f t="shared" si="9"/>
        <v>2.6630434782608696</v>
      </c>
      <c r="I126" s="8">
        <f t="shared" si="9"/>
        <v>1.076086956521739</v>
      </c>
      <c r="J126" s="8">
        <f t="shared" si="9"/>
        <v>0.29347826086956524</v>
      </c>
      <c r="K126" s="8">
        <f t="shared" si="9"/>
        <v>0.33695652173913043</v>
      </c>
      <c r="L126" s="8">
        <f t="shared" si="9"/>
        <v>0.11956521739130435</v>
      </c>
      <c r="M126" s="8">
        <f t="shared" si="9"/>
        <v>3.2608695652173912E-2</v>
      </c>
      <c r="N126" s="8">
        <f t="shared" si="9"/>
        <v>2.1739130434782608E-2</v>
      </c>
      <c r="O126" s="8">
        <f t="shared" si="9"/>
        <v>1.0869565217391304E-2</v>
      </c>
      <c r="P126" s="8">
        <f t="shared" si="9"/>
        <v>9.445652173913043</v>
      </c>
      <c r="Q126" s="8">
        <f t="shared" si="9"/>
        <v>1.7065217391304348</v>
      </c>
      <c r="R126" s="8">
        <f t="shared" si="9"/>
        <v>0.18478260869565216</v>
      </c>
      <c r="S126" s="8">
        <f t="shared" si="9"/>
        <v>1.8913043478260869</v>
      </c>
      <c r="T126" s="8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Z151"/>
  <sheetViews>
    <sheetView zoomScale="70" zoomScaleNormal="70" workbookViewId="0">
      <pane ySplit="1" topLeftCell="A86" activePane="bottomLeft" state="frozen"/>
      <selection pane="bottomLeft" activeCell="A94" sqref="A94:B123"/>
    </sheetView>
  </sheetViews>
  <sheetFormatPr defaultRowHeight="15" x14ac:dyDescent="0.25"/>
  <cols>
    <col min="1" max="1" width="18.5703125" customWidth="1"/>
    <col min="2" max="6" width="10.28515625" customWidth="1"/>
    <col min="7" max="8" width="6.140625" hidden="1" customWidth="1"/>
    <col min="9" max="9" width="5.140625" hidden="1" customWidth="1"/>
    <col min="10" max="10" width="6.140625" hidden="1" customWidth="1"/>
    <col min="11" max="15" width="5.140625" hidden="1" customWidth="1"/>
    <col min="16" max="16" width="9.85546875" customWidth="1"/>
    <col min="17" max="18" width="6.42578125" hidden="1" customWidth="1"/>
    <col min="19" max="19" width="9.28515625" customWidth="1"/>
    <col min="20" max="20" width="5.140625" customWidth="1"/>
    <col min="22" max="22" width="13.5703125" customWidth="1"/>
    <col min="23" max="24" width="14.85546875" bestFit="1" customWidth="1"/>
    <col min="25" max="33" width="0" hidden="1" customWidth="1"/>
    <col min="34" max="34" width="11" customWidth="1"/>
    <col min="35" max="36" width="0" hidden="1" customWidth="1"/>
    <col min="37" max="37" width="11.140625" customWidth="1"/>
    <col min="38" max="38" width="3.7109375" customWidth="1"/>
    <col min="39" max="39" width="18.5703125" customWidth="1"/>
    <col min="40" max="40" width="17" customWidth="1"/>
    <col min="41" max="42" width="9.7109375" customWidth="1"/>
    <col min="43" max="43" width="8.42578125" style="20" customWidth="1"/>
    <col min="45" max="45" width="56.85546875" customWidth="1"/>
  </cols>
  <sheetData>
    <row r="1" spans="1:43" s="8" customFormat="1" x14ac:dyDescent="0.25">
      <c r="A1"/>
      <c r="B1" s="16" t="s">
        <v>32</v>
      </c>
      <c r="C1" s="16" t="s">
        <v>1</v>
      </c>
      <c r="D1" s="16" t="s">
        <v>2</v>
      </c>
      <c r="E1" s="16" t="s">
        <v>3</v>
      </c>
      <c r="F1" s="16" t="s">
        <v>4</v>
      </c>
      <c r="G1" s="16" t="s">
        <v>5</v>
      </c>
      <c r="H1" s="16" t="s">
        <v>6</v>
      </c>
      <c r="I1" s="16" t="s">
        <v>7</v>
      </c>
      <c r="J1" s="16" t="s">
        <v>8</v>
      </c>
      <c r="K1" s="16" t="s">
        <v>9</v>
      </c>
      <c r="L1" s="16" t="s">
        <v>10</v>
      </c>
      <c r="M1" s="16" t="s">
        <v>11</v>
      </c>
      <c r="N1" s="16" t="s">
        <v>12</v>
      </c>
      <c r="O1" s="16" t="s">
        <v>13</v>
      </c>
      <c r="P1" s="16" t="s">
        <v>23</v>
      </c>
      <c r="Q1" s="16" t="s">
        <v>24</v>
      </c>
      <c r="R1" s="16" t="s">
        <v>29</v>
      </c>
      <c r="S1" s="16" t="s">
        <v>25</v>
      </c>
      <c r="T1" s="16"/>
      <c r="U1" s="16" t="s">
        <v>1</v>
      </c>
      <c r="V1" s="16" t="s">
        <v>2</v>
      </c>
      <c r="W1" s="16" t="s">
        <v>3</v>
      </c>
      <c r="X1" s="16" t="s">
        <v>4</v>
      </c>
      <c r="Y1" s="16" t="s">
        <v>5</v>
      </c>
      <c r="Z1" s="16" t="s">
        <v>6</v>
      </c>
      <c r="AA1" s="16" t="s">
        <v>7</v>
      </c>
      <c r="AB1" s="16" t="s">
        <v>8</v>
      </c>
      <c r="AC1" s="16" t="s">
        <v>9</v>
      </c>
      <c r="AD1" s="16" t="s">
        <v>10</v>
      </c>
      <c r="AE1" s="16" t="s">
        <v>11</v>
      </c>
      <c r="AF1" s="16" t="s">
        <v>12</v>
      </c>
      <c r="AG1" s="16" t="s">
        <v>13</v>
      </c>
      <c r="AH1" s="16" t="s">
        <v>23</v>
      </c>
      <c r="AI1" s="16" t="s">
        <v>24</v>
      </c>
      <c r="AJ1" s="16" t="s">
        <v>29</v>
      </c>
      <c r="AK1" s="16" t="s">
        <v>25</v>
      </c>
      <c r="AL1" s="16"/>
      <c r="AQ1" s="20"/>
    </row>
    <row r="2" spans="1:43" ht="18.75" x14ac:dyDescent="0.3">
      <c r="A2">
        <v>1896</v>
      </c>
      <c r="B2">
        <v>29.43</v>
      </c>
      <c r="C2">
        <v>1.52</v>
      </c>
      <c r="D2">
        <v>3.64</v>
      </c>
      <c r="E2">
        <v>3.44999999999999</v>
      </c>
      <c r="F2">
        <v>9.52</v>
      </c>
      <c r="G2">
        <v>7.53</v>
      </c>
      <c r="H2">
        <v>3.53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f>SUM(G2:H2)</f>
        <v>11.06</v>
      </c>
      <c r="Q2">
        <f>SUM(I2:K2)</f>
        <v>0</v>
      </c>
      <c r="R2">
        <f>SUM(L2:O2)</f>
        <v>0</v>
      </c>
      <c r="S2">
        <f>SUM(Q2:R2)</f>
        <v>0</v>
      </c>
      <c r="U2" s="17">
        <f t="shared" ref="U2:U33" si="0">C2/$B2</f>
        <v>5.1647978253482843E-2</v>
      </c>
      <c r="V2" s="17">
        <f t="shared" ref="V2:V33" si="1">D2/$B2</f>
        <v>0.12368331634386681</v>
      </c>
      <c r="W2" s="17">
        <f t="shared" ref="W2:W33" si="2">E2/$B2</f>
        <v>0.1172273190621811</v>
      </c>
      <c r="X2" s="17">
        <f t="shared" ref="X2:X33" si="3">F2/$B2</f>
        <v>0.32347944274549778</v>
      </c>
      <c r="Y2" s="17">
        <f t="shared" ref="Y2:Y33" si="4">G2/$B2</f>
        <v>0.2558613659531091</v>
      </c>
      <c r="Z2" s="17">
        <f t="shared" ref="Z2:Z33" si="5">H2/$B2</f>
        <v>0.1199456337071016</v>
      </c>
      <c r="AA2" s="17">
        <f t="shared" ref="AA2:AA33" si="6">I2/$B2</f>
        <v>0</v>
      </c>
      <c r="AB2" s="17">
        <f t="shared" ref="AB2:AB33" si="7">J2/$B2</f>
        <v>0</v>
      </c>
      <c r="AC2" s="17">
        <f t="shared" ref="AC2:AC33" si="8">K2/$B2</f>
        <v>0</v>
      </c>
      <c r="AD2" s="17">
        <f t="shared" ref="AD2:AD33" si="9">L2/$B2</f>
        <v>0</v>
      </c>
      <c r="AE2" s="17">
        <f t="shared" ref="AE2:AE33" si="10">M2/$B2</f>
        <v>0</v>
      </c>
      <c r="AF2" s="17">
        <f t="shared" ref="AF2:AF33" si="11">N2/$B2</f>
        <v>0</v>
      </c>
      <c r="AG2" s="17">
        <f t="shared" ref="AG2:AG33" si="12">O2/$B2</f>
        <v>0</v>
      </c>
      <c r="AH2" s="17">
        <f>SUM(Y2:Z2)</f>
        <v>0.37580699966021069</v>
      </c>
      <c r="AI2" s="17">
        <f>SUM(AA2:AC2)</f>
        <v>0</v>
      </c>
      <c r="AJ2" s="17">
        <f>SUM(AD2:AG2)</f>
        <v>0</v>
      </c>
      <c r="AK2" s="17">
        <f>SUM(AI2:AJ2)</f>
        <v>0</v>
      </c>
      <c r="AL2" s="17"/>
      <c r="AM2" s="7" t="s">
        <v>15</v>
      </c>
      <c r="AN2" s="7"/>
      <c r="AO2" s="7"/>
      <c r="AP2" s="7"/>
    </row>
    <row r="3" spans="1:43" ht="18.75" x14ac:dyDescent="0.3">
      <c r="A3">
        <v>1897</v>
      </c>
      <c r="B3">
        <v>50</v>
      </c>
      <c r="C3">
        <v>1.78</v>
      </c>
      <c r="D3">
        <v>4.22</v>
      </c>
      <c r="E3">
        <v>6.45</v>
      </c>
      <c r="F3">
        <v>13.059999999999899</v>
      </c>
      <c r="G3">
        <v>8.69</v>
      </c>
      <c r="H3">
        <v>12.29</v>
      </c>
      <c r="I3">
        <v>0</v>
      </c>
      <c r="J3">
        <v>0</v>
      </c>
      <c r="K3">
        <v>3.22</v>
      </c>
      <c r="L3">
        <v>0</v>
      </c>
      <c r="M3">
        <v>0</v>
      </c>
      <c r="N3">
        <v>0</v>
      </c>
      <c r="O3">
        <v>0</v>
      </c>
      <c r="P3">
        <f t="shared" ref="P3:P66" si="13">SUM(G3:H3)</f>
        <v>20.979999999999997</v>
      </c>
      <c r="Q3">
        <f t="shared" ref="Q3:Q66" si="14">SUM(I3:K3)</f>
        <v>3.22</v>
      </c>
      <c r="R3">
        <f t="shared" ref="R3:R66" si="15">SUM(L3:O3)</f>
        <v>0</v>
      </c>
      <c r="S3">
        <f t="shared" ref="S3:S66" si="16">SUM(Q3:R3)</f>
        <v>3.22</v>
      </c>
      <c r="U3" s="17">
        <f t="shared" si="0"/>
        <v>3.56E-2</v>
      </c>
      <c r="V3" s="17">
        <f t="shared" si="1"/>
        <v>8.4399999999999989E-2</v>
      </c>
      <c r="W3" s="17">
        <f t="shared" si="2"/>
        <v>0.129</v>
      </c>
      <c r="X3" s="17">
        <f t="shared" si="3"/>
        <v>0.26119999999999799</v>
      </c>
      <c r="Y3" s="17">
        <f t="shared" si="4"/>
        <v>0.17379999999999998</v>
      </c>
      <c r="Z3" s="17">
        <f t="shared" si="5"/>
        <v>0.24579999999999999</v>
      </c>
      <c r="AA3" s="17">
        <f t="shared" si="6"/>
        <v>0</v>
      </c>
      <c r="AB3" s="17">
        <f t="shared" si="7"/>
        <v>0</v>
      </c>
      <c r="AC3" s="17">
        <f t="shared" si="8"/>
        <v>6.4399999999999999E-2</v>
      </c>
      <c r="AD3" s="17">
        <f t="shared" si="9"/>
        <v>0</v>
      </c>
      <c r="AE3" s="17">
        <f t="shared" si="10"/>
        <v>0</v>
      </c>
      <c r="AF3" s="17">
        <f t="shared" si="11"/>
        <v>0</v>
      </c>
      <c r="AG3" s="17">
        <f t="shared" si="12"/>
        <v>0</v>
      </c>
      <c r="AH3" s="17">
        <f t="shared" ref="AH3:AH66" si="17">SUM(Y3:Z3)</f>
        <v>0.41959999999999997</v>
      </c>
      <c r="AI3" s="17">
        <f t="shared" ref="AI3:AI66" si="18">SUM(AA3:AC3)</f>
        <v>6.4399999999999999E-2</v>
      </c>
      <c r="AJ3" s="17">
        <f t="shared" ref="AJ3:AJ66" si="19">SUM(AD3:AG3)</f>
        <v>0</v>
      </c>
      <c r="AK3" s="17">
        <f t="shared" ref="AK3:AK66" si="20">SUM(AI3:AJ3)</f>
        <v>6.4399999999999999E-2</v>
      </c>
      <c r="AL3" s="17"/>
      <c r="AM3" s="7" t="s">
        <v>16</v>
      </c>
      <c r="AN3" s="7" t="s">
        <v>17</v>
      </c>
      <c r="AO3" s="7"/>
      <c r="AP3" s="7"/>
    </row>
    <row r="4" spans="1:43" ht="18.75" x14ac:dyDescent="0.3">
      <c r="A4">
        <v>1898</v>
      </c>
      <c r="B4">
        <v>53.17</v>
      </c>
      <c r="C4">
        <v>1.88</v>
      </c>
      <c r="D4">
        <v>5.39</v>
      </c>
      <c r="E4">
        <v>10.039999999999999</v>
      </c>
      <c r="F4">
        <v>13.61</v>
      </c>
      <c r="G4">
        <v>10.6699999999999</v>
      </c>
      <c r="H4">
        <v>3.21999999999999</v>
      </c>
      <c r="I4">
        <v>7.33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f t="shared" si="13"/>
        <v>13.88999999999989</v>
      </c>
      <c r="Q4">
        <f t="shared" si="14"/>
        <v>7.33</v>
      </c>
      <c r="R4">
        <f t="shared" si="15"/>
        <v>0</v>
      </c>
      <c r="S4">
        <f t="shared" si="16"/>
        <v>7.33</v>
      </c>
      <c r="U4" s="17">
        <f t="shared" si="0"/>
        <v>3.5358284747037803E-2</v>
      </c>
      <c r="V4" s="17">
        <f t="shared" si="1"/>
        <v>0.10137295467368816</v>
      </c>
      <c r="W4" s="17">
        <f t="shared" si="2"/>
        <v>0.1888282866277976</v>
      </c>
      <c r="X4" s="17">
        <f t="shared" si="3"/>
        <v>0.25597141245063004</v>
      </c>
      <c r="Y4" s="17">
        <f t="shared" si="4"/>
        <v>0.20067707353770736</v>
      </c>
      <c r="Z4" s="17">
        <f t="shared" si="5"/>
        <v>6.0560466428436897E-2</v>
      </c>
      <c r="AA4" s="17">
        <f t="shared" si="6"/>
        <v>0.13785969531690803</v>
      </c>
      <c r="AB4" s="17">
        <f t="shared" si="7"/>
        <v>0</v>
      </c>
      <c r="AC4" s="17">
        <f t="shared" si="8"/>
        <v>0</v>
      </c>
      <c r="AD4" s="17">
        <f t="shared" si="9"/>
        <v>0</v>
      </c>
      <c r="AE4" s="17">
        <f t="shared" si="10"/>
        <v>0</v>
      </c>
      <c r="AF4" s="17">
        <f t="shared" si="11"/>
        <v>0</v>
      </c>
      <c r="AG4" s="17">
        <f t="shared" si="12"/>
        <v>0</v>
      </c>
      <c r="AH4" s="17">
        <f t="shared" si="17"/>
        <v>0.26123753996614424</v>
      </c>
      <c r="AI4" s="17">
        <f t="shared" si="18"/>
        <v>0.13785969531690803</v>
      </c>
      <c r="AJ4" s="17">
        <f t="shared" si="19"/>
        <v>0</v>
      </c>
      <c r="AK4" s="17">
        <f t="shared" si="20"/>
        <v>0.13785969531690803</v>
      </c>
      <c r="AL4" s="17"/>
      <c r="AM4" s="7" t="s">
        <v>0</v>
      </c>
      <c r="AN4" s="7" t="s">
        <v>18</v>
      </c>
      <c r="AO4" s="7"/>
      <c r="AP4" s="7"/>
    </row>
    <row r="5" spans="1:43" ht="18.75" x14ac:dyDescent="0.3">
      <c r="A5">
        <v>1899</v>
      </c>
      <c r="B5">
        <v>48.98</v>
      </c>
      <c r="C5">
        <v>1.94</v>
      </c>
      <c r="D5">
        <v>3.5199999999999898</v>
      </c>
      <c r="E5">
        <v>11.1</v>
      </c>
      <c r="F5">
        <v>14.389999999999899</v>
      </c>
      <c r="G5">
        <v>8.27</v>
      </c>
      <c r="H5">
        <v>6.86</v>
      </c>
      <c r="I5">
        <v>4.68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f t="shared" si="13"/>
        <v>15.129999999999999</v>
      </c>
      <c r="Q5">
        <f t="shared" si="14"/>
        <v>4.68</v>
      </c>
      <c r="R5">
        <f t="shared" si="15"/>
        <v>0</v>
      </c>
      <c r="S5">
        <f t="shared" si="16"/>
        <v>4.68</v>
      </c>
      <c r="U5" s="17">
        <f t="shared" si="0"/>
        <v>3.9608003266639449E-2</v>
      </c>
      <c r="V5" s="17">
        <f t="shared" si="1"/>
        <v>7.1866067782768273E-2</v>
      </c>
      <c r="W5" s="17">
        <f t="shared" si="2"/>
        <v>0.22662311147407105</v>
      </c>
      <c r="X5" s="17">
        <f t="shared" si="3"/>
        <v>0.29379338505512248</v>
      </c>
      <c r="Y5" s="17">
        <f t="shared" si="4"/>
        <v>0.16884442629644753</v>
      </c>
      <c r="Z5" s="17">
        <f t="shared" si="5"/>
        <v>0.14005716619028177</v>
      </c>
      <c r="AA5" s="17">
        <f t="shared" si="6"/>
        <v>9.5549203756635365E-2</v>
      </c>
      <c r="AB5" s="17">
        <f t="shared" si="7"/>
        <v>0</v>
      </c>
      <c r="AC5" s="17">
        <f t="shared" si="8"/>
        <v>0</v>
      </c>
      <c r="AD5" s="17">
        <f t="shared" si="9"/>
        <v>0</v>
      </c>
      <c r="AE5" s="17">
        <f t="shared" si="10"/>
        <v>0</v>
      </c>
      <c r="AF5" s="17">
        <f t="shared" si="11"/>
        <v>0</v>
      </c>
      <c r="AG5" s="17">
        <f t="shared" si="12"/>
        <v>0</v>
      </c>
      <c r="AH5" s="17">
        <f t="shared" si="17"/>
        <v>0.30890159248672933</v>
      </c>
      <c r="AI5" s="17">
        <f t="shared" si="18"/>
        <v>9.5549203756635365E-2</v>
      </c>
      <c r="AJ5" s="17">
        <f t="shared" si="19"/>
        <v>0</v>
      </c>
      <c r="AK5" s="17">
        <f t="shared" si="20"/>
        <v>9.5549203756635365E-2</v>
      </c>
      <c r="AL5" s="17"/>
      <c r="AM5" s="7" t="s">
        <v>1</v>
      </c>
      <c r="AN5" s="7" t="s">
        <v>19</v>
      </c>
      <c r="AO5" s="7"/>
      <c r="AP5" s="7"/>
    </row>
    <row r="6" spans="1:43" ht="18.75" x14ac:dyDescent="0.3">
      <c r="A6">
        <v>1900</v>
      </c>
      <c r="B6">
        <v>40.619999999999997</v>
      </c>
      <c r="C6">
        <v>1.86</v>
      </c>
      <c r="D6">
        <v>3.32</v>
      </c>
      <c r="E6">
        <v>5.41</v>
      </c>
      <c r="F6">
        <v>12.63</v>
      </c>
      <c r="G6">
        <v>7.4499999999999904</v>
      </c>
      <c r="H6">
        <v>5.1099999999999897</v>
      </c>
      <c r="I6">
        <v>2.33</v>
      </c>
      <c r="J6">
        <v>0</v>
      </c>
      <c r="K6">
        <v>3.1</v>
      </c>
      <c r="L6">
        <v>0</v>
      </c>
      <c r="M6">
        <v>0</v>
      </c>
      <c r="N6">
        <v>0</v>
      </c>
      <c r="O6">
        <v>0</v>
      </c>
      <c r="P6">
        <f t="shared" si="13"/>
        <v>12.559999999999981</v>
      </c>
      <c r="Q6">
        <f t="shared" si="14"/>
        <v>5.43</v>
      </c>
      <c r="R6">
        <f t="shared" si="15"/>
        <v>0</v>
      </c>
      <c r="S6">
        <f t="shared" si="16"/>
        <v>5.43</v>
      </c>
      <c r="U6" s="17">
        <f t="shared" si="0"/>
        <v>4.579025110782866E-2</v>
      </c>
      <c r="V6" s="17">
        <f t="shared" si="1"/>
        <v>8.1733136386016744E-2</v>
      </c>
      <c r="W6" s="17">
        <f t="shared" si="2"/>
        <v>0.13318562284588872</v>
      </c>
      <c r="X6" s="17">
        <f t="shared" si="3"/>
        <v>0.31093057607090108</v>
      </c>
      <c r="Y6" s="17">
        <f t="shared" si="4"/>
        <v>0.1834071885770554</v>
      </c>
      <c r="Z6" s="17">
        <f t="shared" si="5"/>
        <v>0.12580009847365806</v>
      </c>
      <c r="AA6" s="17">
        <f t="shared" si="6"/>
        <v>5.7360905957656333E-2</v>
      </c>
      <c r="AB6" s="17">
        <f t="shared" si="7"/>
        <v>0</v>
      </c>
      <c r="AC6" s="17">
        <f t="shared" si="8"/>
        <v>7.6317085179714431E-2</v>
      </c>
      <c r="AD6" s="17">
        <f t="shared" si="9"/>
        <v>0</v>
      </c>
      <c r="AE6" s="17">
        <f t="shared" si="10"/>
        <v>0</v>
      </c>
      <c r="AF6" s="17">
        <f t="shared" si="11"/>
        <v>0</v>
      </c>
      <c r="AG6" s="17">
        <f t="shared" si="12"/>
        <v>0</v>
      </c>
      <c r="AH6" s="17">
        <f t="shared" si="17"/>
        <v>0.30920728705071343</v>
      </c>
      <c r="AI6" s="17">
        <f t="shared" si="18"/>
        <v>0.13367799113737078</v>
      </c>
      <c r="AJ6" s="17">
        <f t="shared" si="19"/>
        <v>0</v>
      </c>
      <c r="AK6" s="17">
        <f t="shared" si="20"/>
        <v>0.13367799113737078</v>
      </c>
      <c r="AL6" s="17"/>
      <c r="AM6" s="7" t="s">
        <v>2</v>
      </c>
      <c r="AN6" s="7" t="s">
        <v>20</v>
      </c>
      <c r="AO6" s="7"/>
      <c r="AP6" s="7"/>
    </row>
    <row r="7" spans="1:43" ht="18.75" x14ac:dyDescent="0.3">
      <c r="A7">
        <v>1901</v>
      </c>
      <c r="B7">
        <v>52.45</v>
      </c>
      <c r="C7">
        <v>1.9</v>
      </c>
      <c r="D7">
        <v>5.18</v>
      </c>
      <c r="E7">
        <v>6.4599999999999902</v>
      </c>
      <c r="F7">
        <v>10.969999999999899</v>
      </c>
      <c r="G7">
        <v>9.16</v>
      </c>
      <c r="H7">
        <v>5.15</v>
      </c>
      <c r="I7">
        <v>7.06</v>
      </c>
      <c r="J7">
        <v>2.97</v>
      </c>
      <c r="K7">
        <v>3.4</v>
      </c>
      <c r="L7">
        <v>0</v>
      </c>
      <c r="M7">
        <v>0</v>
      </c>
      <c r="N7">
        <v>0</v>
      </c>
      <c r="O7">
        <v>0</v>
      </c>
      <c r="P7">
        <f t="shared" si="13"/>
        <v>14.31</v>
      </c>
      <c r="Q7">
        <f t="shared" si="14"/>
        <v>13.43</v>
      </c>
      <c r="R7">
        <f t="shared" si="15"/>
        <v>0</v>
      </c>
      <c r="S7">
        <f t="shared" si="16"/>
        <v>13.43</v>
      </c>
      <c r="U7" s="17">
        <f t="shared" si="0"/>
        <v>3.6224976167778832E-2</v>
      </c>
      <c r="V7" s="17">
        <f t="shared" si="1"/>
        <v>9.8760724499523347E-2</v>
      </c>
      <c r="W7" s="17">
        <f t="shared" si="2"/>
        <v>0.12316491897044785</v>
      </c>
      <c r="X7" s="17">
        <f t="shared" si="3"/>
        <v>0.20915157292659484</v>
      </c>
      <c r="Y7" s="17">
        <f t="shared" si="4"/>
        <v>0.17464251668255482</v>
      </c>
      <c r="Z7" s="17">
        <f t="shared" si="5"/>
        <v>9.8188751191611065E-2</v>
      </c>
      <c r="AA7" s="17">
        <f t="shared" si="6"/>
        <v>0.13460438512869399</v>
      </c>
      <c r="AB7" s="17">
        <f t="shared" si="7"/>
        <v>5.6625357483317443E-2</v>
      </c>
      <c r="AC7" s="17">
        <f t="shared" si="8"/>
        <v>6.4823641563393708E-2</v>
      </c>
      <c r="AD7" s="17">
        <f t="shared" si="9"/>
        <v>0</v>
      </c>
      <c r="AE7" s="17">
        <f t="shared" si="10"/>
        <v>0</v>
      </c>
      <c r="AF7" s="17">
        <f t="shared" si="11"/>
        <v>0</v>
      </c>
      <c r="AG7" s="17">
        <f t="shared" si="12"/>
        <v>0</v>
      </c>
      <c r="AH7" s="17">
        <f t="shared" si="17"/>
        <v>0.27283126787416589</v>
      </c>
      <c r="AI7" s="17">
        <f t="shared" si="18"/>
        <v>0.25605338417540513</v>
      </c>
      <c r="AJ7" s="17">
        <f t="shared" si="19"/>
        <v>0</v>
      </c>
      <c r="AK7" s="17">
        <f t="shared" si="20"/>
        <v>0.25605338417540513</v>
      </c>
      <c r="AL7" s="17"/>
      <c r="AM7" s="7" t="s">
        <v>3</v>
      </c>
      <c r="AN7" s="7" t="s">
        <v>21</v>
      </c>
      <c r="AO7" s="7"/>
      <c r="AP7" s="7"/>
    </row>
    <row r="8" spans="1:43" ht="18.75" x14ac:dyDescent="0.3">
      <c r="A8">
        <v>1902</v>
      </c>
      <c r="B8">
        <v>54.76</v>
      </c>
      <c r="C8">
        <v>2.4900000000000002</v>
      </c>
      <c r="D8">
        <v>4.1399999999999997</v>
      </c>
      <c r="E8">
        <v>6.8</v>
      </c>
      <c r="F8">
        <v>19.89</v>
      </c>
      <c r="G8">
        <v>11.5899999999999</v>
      </c>
      <c r="H8">
        <v>5.16</v>
      </c>
      <c r="I8">
        <v>4.58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f t="shared" si="13"/>
        <v>16.749999999999901</v>
      </c>
      <c r="Q8">
        <f t="shared" si="14"/>
        <v>4.58</v>
      </c>
      <c r="R8">
        <f t="shared" si="15"/>
        <v>0</v>
      </c>
      <c r="S8">
        <f t="shared" si="16"/>
        <v>4.58</v>
      </c>
      <c r="U8" s="17">
        <f t="shared" si="0"/>
        <v>4.5471146822498178E-2</v>
      </c>
      <c r="V8" s="17">
        <f t="shared" si="1"/>
        <v>7.5602629656683712E-2</v>
      </c>
      <c r="W8" s="17">
        <f t="shared" si="2"/>
        <v>0.1241782322863404</v>
      </c>
      <c r="X8" s="17">
        <f t="shared" si="3"/>
        <v>0.3632213294375457</v>
      </c>
      <c r="Y8" s="17">
        <f t="shared" si="4"/>
        <v>0.21165084002921661</v>
      </c>
      <c r="Z8" s="17">
        <f t="shared" si="5"/>
        <v>9.4229364499634774E-2</v>
      </c>
      <c r="AA8" s="17">
        <f t="shared" si="6"/>
        <v>8.3637691745799853E-2</v>
      </c>
      <c r="AB8" s="17">
        <f t="shared" si="7"/>
        <v>0</v>
      </c>
      <c r="AC8" s="17">
        <f t="shared" si="8"/>
        <v>0</v>
      </c>
      <c r="AD8" s="17">
        <f t="shared" si="9"/>
        <v>0</v>
      </c>
      <c r="AE8" s="17">
        <f t="shared" si="10"/>
        <v>0</v>
      </c>
      <c r="AF8" s="17">
        <f t="shared" si="11"/>
        <v>0</v>
      </c>
      <c r="AG8" s="17">
        <f t="shared" si="12"/>
        <v>0</v>
      </c>
      <c r="AH8" s="17">
        <f t="shared" si="17"/>
        <v>0.3058802045288514</v>
      </c>
      <c r="AI8" s="17">
        <f t="shared" si="18"/>
        <v>8.3637691745799853E-2</v>
      </c>
      <c r="AJ8" s="17">
        <f t="shared" si="19"/>
        <v>0</v>
      </c>
      <c r="AK8" s="17">
        <f t="shared" si="20"/>
        <v>8.3637691745799853E-2</v>
      </c>
      <c r="AL8" s="17"/>
      <c r="AM8" s="7" t="s">
        <v>4</v>
      </c>
      <c r="AN8" s="7" t="s">
        <v>22</v>
      </c>
      <c r="AO8" s="7"/>
      <c r="AP8" s="7"/>
    </row>
    <row r="9" spans="1:43" ht="18.75" x14ac:dyDescent="0.3">
      <c r="A9">
        <v>1903</v>
      </c>
      <c r="B9">
        <v>52.05</v>
      </c>
      <c r="C9">
        <v>1.47</v>
      </c>
      <c r="D9">
        <v>5.2799999999999896</v>
      </c>
      <c r="E9">
        <v>8.17</v>
      </c>
      <c r="F9">
        <v>15.43</v>
      </c>
      <c r="G9">
        <v>6.21</v>
      </c>
      <c r="H9">
        <v>5.48</v>
      </c>
      <c r="I9">
        <v>2.02</v>
      </c>
      <c r="J9">
        <v>2.52</v>
      </c>
      <c r="K9">
        <v>0</v>
      </c>
      <c r="L9">
        <v>0</v>
      </c>
      <c r="M9">
        <v>5.28</v>
      </c>
      <c r="N9">
        <v>0</v>
      </c>
      <c r="O9">
        <v>0</v>
      </c>
      <c r="P9">
        <f t="shared" si="13"/>
        <v>11.690000000000001</v>
      </c>
      <c r="Q9">
        <f t="shared" si="14"/>
        <v>4.54</v>
      </c>
      <c r="R9">
        <f t="shared" si="15"/>
        <v>5.28</v>
      </c>
      <c r="S9">
        <f t="shared" si="16"/>
        <v>9.82</v>
      </c>
      <c r="U9" s="17">
        <f t="shared" si="0"/>
        <v>2.8242074927953893E-2</v>
      </c>
      <c r="V9" s="17">
        <f t="shared" si="1"/>
        <v>0.10144092219020154</v>
      </c>
      <c r="W9" s="17">
        <f t="shared" si="2"/>
        <v>0.15696445725264169</v>
      </c>
      <c r="X9" s="17">
        <f t="shared" si="3"/>
        <v>0.29644572526416907</v>
      </c>
      <c r="Y9" s="17">
        <f t="shared" si="4"/>
        <v>0.11930835734870318</v>
      </c>
      <c r="Z9" s="17">
        <f t="shared" si="5"/>
        <v>0.10528338136407302</v>
      </c>
      <c r="AA9" s="17">
        <f t="shared" si="6"/>
        <v>3.8808837656099909E-2</v>
      </c>
      <c r="AB9" s="17">
        <f t="shared" si="7"/>
        <v>4.8414985590778101E-2</v>
      </c>
      <c r="AC9" s="17">
        <f t="shared" si="8"/>
        <v>0</v>
      </c>
      <c r="AD9" s="17">
        <f t="shared" si="9"/>
        <v>0</v>
      </c>
      <c r="AE9" s="17">
        <f t="shared" si="10"/>
        <v>0.10144092219020175</v>
      </c>
      <c r="AF9" s="17">
        <f t="shared" si="11"/>
        <v>0</v>
      </c>
      <c r="AG9" s="17">
        <f t="shared" si="12"/>
        <v>0</v>
      </c>
      <c r="AH9" s="17">
        <f t="shared" si="17"/>
        <v>0.22459173871277621</v>
      </c>
      <c r="AI9" s="17">
        <f t="shared" si="18"/>
        <v>8.722382324687801E-2</v>
      </c>
      <c r="AJ9" s="17">
        <f t="shared" si="19"/>
        <v>0.10144092219020175</v>
      </c>
      <c r="AK9" s="17">
        <f t="shared" si="20"/>
        <v>0.18866474543707976</v>
      </c>
      <c r="AL9" s="17"/>
      <c r="AM9" s="7" t="s">
        <v>23</v>
      </c>
      <c r="AN9" s="7" t="s">
        <v>37</v>
      </c>
      <c r="AO9" s="7"/>
      <c r="AP9" s="7"/>
    </row>
    <row r="10" spans="1:43" ht="18.75" x14ac:dyDescent="0.3">
      <c r="A10">
        <v>1904</v>
      </c>
      <c r="B10">
        <v>54.12</v>
      </c>
      <c r="C10">
        <v>2.1800000000000002</v>
      </c>
      <c r="D10">
        <v>4.9400000000000004</v>
      </c>
      <c r="E10">
        <v>4.62</v>
      </c>
      <c r="F10">
        <v>13.749999999999901</v>
      </c>
      <c r="G10">
        <v>8.86</v>
      </c>
      <c r="H10">
        <v>3.4</v>
      </c>
      <c r="I10">
        <v>0</v>
      </c>
      <c r="J10">
        <v>8.36</v>
      </c>
      <c r="K10">
        <v>7.82</v>
      </c>
      <c r="L10">
        <v>0</v>
      </c>
      <c r="M10">
        <v>0</v>
      </c>
      <c r="N10">
        <v>0</v>
      </c>
      <c r="O10">
        <v>0</v>
      </c>
      <c r="P10">
        <f t="shared" si="13"/>
        <v>12.26</v>
      </c>
      <c r="Q10">
        <f t="shared" si="14"/>
        <v>16.18</v>
      </c>
      <c r="R10">
        <f t="shared" si="15"/>
        <v>0</v>
      </c>
      <c r="S10">
        <f t="shared" si="16"/>
        <v>16.18</v>
      </c>
      <c r="U10" s="17">
        <f t="shared" si="0"/>
        <v>4.0280857354028088E-2</v>
      </c>
      <c r="V10" s="17">
        <f t="shared" si="1"/>
        <v>9.1278640059127877E-2</v>
      </c>
      <c r="W10" s="17">
        <f t="shared" si="2"/>
        <v>8.5365853658536592E-2</v>
      </c>
      <c r="X10" s="17">
        <f t="shared" si="3"/>
        <v>0.25406504065040469</v>
      </c>
      <c r="Y10" s="17">
        <f t="shared" si="4"/>
        <v>0.16371027346637101</v>
      </c>
      <c r="Z10" s="17">
        <f t="shared" si="5"/>
        <v>6.2823355506282333E-2</v>
      </c>
      <c r="AA10" s="17">
        <f t="shared" si="6"/>
        <v>0</v>
      </c>
      <c r="AB10" s="17">
        <f t="shared" si="7"/>
        <v>0.15447154471544716</v>
      </c>
      <c r="AC10" s="17">
        <f t="shared" si="8"/>
        <v>0.14449371766444938</v>
      </c>
      <c r="AD10" s="17">
        <f t="shared" si="9"/>
        <v>0</v>
      </c>
      <c r="AE10" s="17">
        <f t="shared" si="10"/>
        <v>0</v>
      </c>
      <c r="AF10" s="17">
        <f t="shared" si="11"/>
        <v>0</v>
      </c>
      <c r="AG10" s="17">
        <f t="shared" si="12"/>
        <v>0</v>
      </c>
      <c r="AH10" s="17">
        <f t="shared" si="17"/>
        <v>0.22653362897265333</v>
      </c>
      <c r="AI10" s="17">
        <f t="shared" si="18"/>
        <v>0.29896526237989651</v>
      </c>
      <c r="AJ10" s="17">
        <f t="shared" si="19"/>
        <v>0</v>
      </c>
      <c r="AK10" s="17">
        <f t="shared" si="20"/>
        <v>0.29896526237989651</v>
      </c>
      <c r="AL10" s="17"/>
      <c r="AM10" s="7" t="s">
        <v>25</v>
      </c>
      <c r="AN10" s="7" t="s">
        <v>38</v>
      </c>
      <c r="AO10" s="7"/>
      <c r="AP10" s="7"/>
    </row>
    <row r="11" spans="1:43" ht="18.75" x14ac:dyDescent="0.3">
      <c r="A11">
        <v>1905</v>
      </c>
      <c r="B11">
        <v>39.369999999999997</v>
      </c>
      <c r="C11">
        <v>1.97</v>
      </c>
      <c r="D11">
        <v>3.75999999999999</v>
      </c>
      <c r="E11">
        <v>8.51</v>
      </c>
      <c r="F11">
        <v>9.76</v>
      </c>
      <c r="G11">
        <v>10.01</v>
      </c>
      <c r="H11">
        <v>4.74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f t="shared" si="13"/>
        <v>14.75</v>
      </c>
      <c r="Q11">
        <f t="shared" si="14"/>
        <v>0</v>
      </c>
      <c r="R11">
        <f t="shared" si="15"/>
        <v>0</v>
      </c>
      <c r="S11">
        <f t="shared" si="16"/>
        <v>0</v>
      </c>
      <c r="U11" s="17">
        <f t="shared" si="0"/>
        <v>5.0038100076200152E-2</v>
      </c>
      <c r="V11" s="17">
        <f t="shared" si="1"/>
        <v>9.550419100838177E-2</v>
      </c>
      <c r="W11" s="17">
        <f t="shared" si="2"/>
        <v>0.21615443230886464</v>
      </c>
      <c r="X11" s="17">
        <f t="shared" si="3"/>
        <v>0.24790449580899163</v>
      </c>
      <c r="Y11" s="17">
        <f t="shared" si="4"/>
        <v>0.25425450850901704</v>
      </c>
      <c r="Z11" s="17">
        <f t="shared" si="5"/>
        <v>0.1203962407924816</v>
      </c>
      <c r="AA11" s="17">
        <f t="shared" si="6"/>
        <v>0</v>
      </c>
      <c r="AB11" s="17">
        <f t="shared" si="7"/>
        <v>0</v>
      </c>
      <c r="AC11" s="17">
        <f t="shared" si="8"/>
        <v>0</v>
      </c>
      <c r="AD11" s="17">
        <f t="shared" si="9"/>
        <v>0</v>
      </c>
      <c r="AE11" s="17">
        <f t="shared" si="10"/>
        <v>0</v>
      </c>
      <c r="AF11" s="17">
        <f t="shared" si="11"/>
        <v>0</v>
      </c>
      <c r="AG11" s="17">
        <f t="shared" si="12"/>
        <v>0</v>
      </c>
      <c r="AH11" s="17">
        <f t="shared" si="17"/>
        <v>0.37465074930149866</v>
      </c>
      <c r="AI11" s="17">
        <f t="shared" si="18"/>
        <v>0</v>
      </c>
      <c r="AJ11" s="17">
        <f t="shared" si="19"/>
        <v>0</v>
      </c>
      <c r="AK11" s="17">
        <f t="shared" si="20"/>
        <v>0</v>
      </c>
      <c r="AL11" s="17"/>
      <c r="AM11" s="7"/>
      <c r="AN11" s="7"/>
      <c r="AO11" s="7"/>
      <c r="AP11" s="7"/>
    </row>
    <row r="12" spans="1:43" ht="18.75" x14ac:dyDescent="0.3">
      <c r="A12">
        <v>1906</v>
      </c>
      <c r="B12">
        <v>41.87</v>
      </c>
      <c r="C12">
        <v>1.45</v>
      </c>
      <c r="D12">
        <v>5.3</v>
      </c>
      <c r="E12">
        <v>7.0799999999999903</v>
      </c>
      <c r="F12">
        <v>13.29</v>
      </c>
      <c r="G12">
        <v>9.7299999999999898</v>
      </c>
      <c r="H12">
        <v>5.01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f t="shared" si="13"/>
        <v>14.73999999999999</v>
      </c>
      <c r="Q12">
        <f t="shared" si="14"/>
        <v>0</v>
      </c>
      <c r="R12">
        <f t="shared" si="15"/>
        <v>0</v>
      </c>
      <c r="S12">
        <f t="shared" si="16"/>
        <v>0</v>
      </c>
      <c r="U12" s="17">
        <f t="shared" si="0"/>
        <v>3.4631000716503463E-2</v>
      </c>
      <c r="V12" s="17">
        <f t="shared" si="1"/>
        <v>0.12658227848101267</v>
      </c>
      <c r="W12" s="17">
        <f t="shared" si="2"/>
        <v>0.16909481729161668</v>
      </c>
      <c r="X12" s="17">
        <f t="shared" si="3"/>
        <v>0.31741103415333172</v>
      </c>
      <c r="Y12" s="17">
        <f t="shared" si="4"/>
        <v>0.23238595653212302</v>
      </c>
      <c r="Z12" s="17">
        <f t="shared" si="5"/>
        <v>0.11965607833771197</v>
      </c>
      <c r="AA12" s="17">
        <f t="shared" si="6"/>
        <v>0</v>
      </c>
      <c r="AB12" s="17">
        <f t="shared" si="7"/>
        <v>0</v>
      </c>
      <c r="AC12" s="17">
        <f t="shared" si="8"/>
        <v>0</v>
      </c>
      <c r="AD12" s="17">
        <f t="shared" si="9"/>
        <v>0</v>
      </c>
      <c r="AE12" s="17">
        <f t="shared" si="10"/>
        <v>0</v>
      </c>
      <c r="AF12" s="17">
        <f t="shared" si="11"/>
        <v>0</v>
      </c>
      <c r="AG12" s="17">
        <f t="shared" si="12"/>
        <v>0</v>
      </c>
      <c r="AH12" s="17">
        <f t="shared" si="17"/>
        <v>0.35204203486983499</v>
      </c>
      <c r="AI12" s="17">
        <f t="shared" si="18"/>
        <v>0</v>
      </c>
      <c r="AJ12" s="17">
        <f t="shared" si="19"/>
        <v>0</v>
      </c>
      <c r="AK12" s="17">
        <f t="shared" si="20"/>
        <v>0</v>
      </c>
      <c r="AL12" s="17"/>
      <c r="AM12" s="7"/>
      <c r="AN12" s="7"/>
      <c r="AO12" s="7"/>
      <c r="AP12" s="7"/>
    </row>
    <row r="13" spans="1:43" ht="18.75" x14ac:dyDescent="0.3">
      <c r="A13">
        <v>1907</v>
      </c>
      <c r="B13">
        <v>48.02</v>
      </c>
      <c r="C13">
        <v>1.42</v>
      </c>
      <c r="D13">
        <v>5.88</v>
      </c>
      <c r="E13">
        <v>9.01</v>
      </c>
      <c r="F13">
        <v>11.03</v>
      </c>
      <c r="G13">
        <v>10.6899999999999</v>
      </c>
      <c r="H13">
        <v>3.68</v>
      </c>
      <c r="I13">
        <v>2.25</v>
      </c>
      <c r="J13">
        <v>0</v>
      </c>
      <c r="K13">
        <v>0</v>
      </c>
      <c r="L13">
        <v>4.0599999999999996</v>
      </c>
      <c r="M13">
        <v>0</v>
      </c>
      <c r="N13">
        <v>0</v>
      </c>
      <c r="O13">
        <v>0</v>
      </c>
      <c r="P13">
        <f t="shared" si="13"/>
        <v>14.3699999999999</v>
      </c>
      <c r="Q13">
        <f t="shared" si="14"/>
        <v>2.25</v>
      </c>
      <c r="R13">
        <f t="shared" si="15"/>
        <v>4.0599999999999996</v>
      </c>
      <c r="S13">
        <f t="shared" si="16"/>
        <v>6.31</v>
      </c>
      <c r="U13" s="17">
        <f t="shared" si="0"/>
        <v>2.9571012078300703E-2</v>
      </c>
      <c r="V13" s="17">
        <f t="shared" si="1"/>
        <v>0.12244897959183672</v>
      </c>
      <c r="W13" s="17">
        <f t="shared" si="2"/>
        <v>0.18763015410245729</v>
      </c>
      <c r="X13" s="17">
        <f t="shared" si="3"/>
        <v>0.22969596001665971</v>
      </c>
      <c r="Y13" s="17">
        <f t="shared" si="4"/>
        <v>0.22261557684298</v>
      </c>
      <c r="Z13" s="17">
        <f t="shared" si="5"/>
        <v>7.6634735526863812E-2</v>
      </c>
      <c r="AA13" s="17">
        <f t="shared" si="6"/>
        <v>4.6855476884631403E-2</v>
      </c>
      <c r="AB13" s="17">
        <f t="shared" si="7"/>
        <v>0</v>
      </c>
      <c r="AC13" s="17">
        <f t="shared" si="8"/>
        <v>0</v>
      </c>
      <c r="AD13" s="17">
        <f t="shared" si="9"/>
        <v>8.4548104956268202E-2</v>
      </c>
      <c r="AE13" s="17">
        <f t="shared" si="10"/>
        <v>0</v>
      </c>
      <c r="AF13" s="17">
        <f t="shared" si="11"/>
        <v>0</v>
      </c>
      <c r="AG13" s="17">
        <f t="shared" si="12"/>
        <v>0</v>
      </c>
      <c r="AH13" s="17">
        <f t="shared" si="17"/>
        <v>0.29925031236984379</v>
      </c>
      <c r="AI13" s="17">
        <f t="shared" si="18"/>
        <v>4.6855476884631403E-2</v>
      </c>
      <c r="AJ13" s="17">
        <f t="shared" si="19"/>
        <v>8.4548104956268202E-2</v>
      </c>
      <c r="AK13" s="17">
        <f t="shared" si="20"/>
        <v>0.13140358184089962</v>
      </c>
      <c r="AL13" s="17"/>
      <c r="AM13" s="7"/>
      <c r="AN13" s="7"/>
      <c r="AO13" s="7"/>
      <c r="AP13" s="7"/>
    </row>
    <row r="14" spans="1:43" ht="18.75" x14ac:dyDescent="0.3">
      <c r="A14">
        <v>1908</v>
      </c>
      <c r="B14">
        <v>38.869999999999997</v>
      </c>
      <c r="C14">
        <v>1.43</v>
      </c>
      <c r="D14">
        <v>4.78</v>
      </c>
      <c r="E14">
        <v>6.4299999999999899</v>
      </c>
      <c r="F14">
        <v>10.09</v>
      </c>
      <c r="G14">
        <v>8.32</v>
      </c>
      <c r="H14">
        <v>0</v>
      </c>
      <c r="I14">
        <v>4.4399999999999897</v>
      </c>
      <c r="J14">
        <v>5.49</v>
      </c>
      <c r="K14">
        <v>0</v>
      </c>
      <c r="L14">
        <v>0</v>
      </c>
      <c r="M14">
        <v>0</v>
      </c>
      <c r="N14">
        <v>0</v>
      </c>
      <c r="O14">
        <v>0</v>
      </c>
      <c r="P14">
        <f t="shared" si="13"/>
        <v>8.32</v>
      </c>
      <c r="Q14">
        <f t="shared" si="14"/>
        <v>9.9299999999999891</v>
      </c>
      <c r="R14">
        <f t="shared" si="15"/>
        <v>0</v>
      </c>
      <c r="S14">
        <f t="shared" si="16"/>
        <v>9.9299999999999891</v>
      </c>
      <c r="U14" s="17">
        <f t="shared" si="0"/>
        <v>3.678929765886288E-2</v>
      </c>
      <c r="V14" s="17">
        <f t="shared" si="1"/>
        <v>0.12297401595060459</v>
      </c>
      <c r="W14" s="17">
        <f t="shared" si="2"/>
        <v>0.16542320555698459</v>
      </c>
      <c r="X14" s="17">
        <f t="shared" si="3"/>
        <v>0.25958322613841012</v>
      </c>
      <c r="Y14" s="17">
        <f t="shared" si="4"/>
        <v>0.21404682274247494</v>
      </c>
      <c r="Z14" s="17">
        <f t="shared" si="5"/>
        <v>0</v>
      </c>
      <c r="AA14" s="17">
        <f t="shared" si="6"/>
        <v>0.11422691021353203</v>
      </c>
      <c r="AB14" s="17">
        <f t="shared" si="7"/>
        <v>0.14124003087213791</v>
      </c>
      <c r="AC14" s="17">
        <f t="shared" si="8"/>
        <v>0</v>
      </c>
      <c r="AD14" s="17">
        <f t="shared" si="9"/>
        <v>0</v>
      </c>
      <c r="AE14" s="17">
        <f t="shared" si="10"/>
        <v>0</v>
      </c>
      <c r="AF14" s="17">
        <f t="shared" si="11"/>
        <v>0</v>
      </c>
      <c r="AG14" s="17">
        <f t="shared" si="12"/>
        <v>0</v>
      </c>
      <c r="AH14" s="17">
        <f t="shared" si="17"/>
        <v>0.21404682274247494</v>
      </c>
      <c r="AI14" s="17">
        <f t="shared" si="18"/>
        <v>0.25546694108566992</v>
      </c>
      <c r="AJ14" s="17">
        <f t="shared" si="19"/>
        <v>0</v>
      </c>
      <c r="AK14" s="17">
        <f t="shared" si="20"/>
        <v>0.25546694108566992</v>
      </c>
      <c r="AL14" s="17"/>
      <c r="AM14" s="7"/>
      <c r="AN14" s="7"/>
      <c r="AO14" s="7"/>
      <c r="AP14" s="7"/>
    </row>
    <row r="15" spans="1:43" ht="18.75" x14ac:dyDescent="0.3">
      <c r="A15">
        <v>1909</v>
      </c>
      <c r="B15">
        <v>48.65</v>
      </c>
      <c r="C15">
        <v>2.0699999999999998</v>
      </c>
      <c r="D15">
        <v>5.47</v>
      </c>
      <c r="E15">
        <v>8.2699999999999907</v>
      </c>
      <c r="F15">
        <v>11.2</v>
      </c>
      <c r="G15">
        <v>2.6799999999999899</v>
      </c>
      <c r="H15">
        <v>5</v>
      </c>
      <c r="I15">
        <v>4.4399999999999897</v>
      </c>
      <c r="J15">
        <v>0</v>
      </c>
      <c r="K15">
        <v>3.09</v>
      </c>
      <c r="L15">
        <v>0</v>
      </c>
      <c r="M15">
        <v>0</v>
      </c>
      <c r="N15">
        <v>6.15</v>
      </c>
      <c r="O15">
        <v>0</v>
      </c>
      <c r="P15">
        <f t="shared" si="13"/>
        <v>7.6799999999999899</v>
      </c>
      <c r="Q15">
        <f t="shared" si="14"/>
        <v>7.5299999999999896</v>
      </c>
      <c r="R15">
        <f t="shared" si="15"/>
        <v>6.15</v>
      </c>
      <c r="S15">
        <f t="shared" si="16"/>
        <v>13.679999999999989</v>
      </c>
      <c r="U15" s="17">
        <f t="shared" si="0"/>
        <v>4.2548818088386432E-2</v>
      </c>
      <c r="V15" s="17">
        <f t="shared" si="1"/>
        <v>0.11243576567317574</v>
      </c>
      <c r="W15" s="17">
        <f t="shared" si="2"/>
        <v>0.16998972250770794</v>
      </c>
      <c r="X15" s="17">
        <f t="shared" si="3"/>
        <v>0.23021582733812948</v>
      </c>
      <c r="Y15" s="17">
        <f t="shared" si="4"/>
        <v>5.5087358684480781E-2</v>
      </c>
      <c r="Z15" s="17">
        <f t="shared" si="5"/>
        <v>0.10277492291880781</v>
      </c>
      <c r="AA15" s="17">
        <f t="shared" si="6"/>
        <v>9.1264131551901134E-2</v>
      </c>
      <c r="AB15" s="17">
        <f t="shared" si="7"/>
        <v>0</v>
      </c>
      <c r="AC15" s="17">
        <f t="shared" si="8"/>
        <v>6.351490236382322E-2</v>
      </c>
      <c r="AD15" s="17">
        <f t="shared" si="9"/>
        <v>0</v>
      </c>
      <c r="AE15" s="17">
        <f t="shared" si="10"/>
        <v>0</v>
      </c>
      <c r="AF15" s="17">
        <f t="shared" si="11"/>
        <v>0.12641315519013363</v>
      </c>
      <c r="AG15" s="17">
        <f t="shared" si="12"/>
        <v>0</v>
      </c>
      <c r="AH15" s="17">
        <f t="shared" si="17"/>
        <v>0.15786228160328858</v>
      </c>
      <c r="AI15" s="17">
        <f t="shared" si="18"/>
        <v>0.15477903391572434</v>
      </c>
      <c r="AJ15" s="17">
        <f t="shared" si="19"/>
        <v>0.12641315519013363</v>
      </c>
      <c r="AK15" s="17">
        <f t="shared" si="20"/>
        <v>0.28119218910585797</v>
      </c>
      <c r="AL15" s="17"/>
      <c r="AM15" s="7"/>
      <c r="AN15" s="7"/>
      <c r="AO15" s="7"/>
      <c r="AP15" s="7"/>
    </row>
    <row r="16" spans="1:43" ht="18.75" x14ac:dyDescent="0.3">
      <c r="A16">
        <v>1910</v>
      </c>
      <c r="B16">
        <v>44.05</v>
      </c>
      <c r="C16">
        <v>2.37</v>
      </c>
      <c r="D16">
        <v>3.46999999999999</v>
      </c>
      <c r="E16">
        <v>6.64</v>
      </c>
      <c r="F16">
        <v>9.58</v>
      </c>
      <c r="G16">
        <v>8.5599999999999898</v>
      </c>
      <c r="H16">
        <v>1.9</v>
      </c>
      <c r="I16">
        <v>2.41</v>
      </c>
      <c r="J16">
        <v>2.89</v>
      </c>
      <c r="K16">
        <v>3.02</v>
      </c>
      <c r="L16">
        <v>0</v>
      </c>
      <c r="M16">
        <v>0</v>
      </c>
      <c r="N16">
        <v>0</v>
      </c>
      <c r="O16">
        <v>0</v>
      </c>
      <c r="P16">
        <f t="shared" si="13"/>
        <v>10.45999999999999</v>
      </c>
      <c r="Q16">
        <f t="shared" si="14"/>
        <v>8.32</v>
      </c>
      <c r="R16">
        <f t="shared" si="15"/>
        <v>0</v>
      </c>
      <c r="S16">
        <f t="shared" si="16"/>
        <v>8.32</v>
      </c>
      <c r="U16" s="17">
        <f t="shared" si="0"/>
        <v>5.3802497162315555E-2</v>
      </c>
      <c r="V16" s="17">
        <f t="shared" si="1"/>
        <v>7.877412031782044E-2</v>
      </c>
      <c r="W16" s="17">
        <f t="shared" si="2"/>
        <v>0.1507377979568672</v>
      </c>
      <c r="X16" s="17">
        <f t="shared" si="3"/>
        <v>0.21748013620885359</v>
      </c>
      <c r="Y16" s="17">
        <f t="shared" si="4"/>
        <v>0.19432463110102136</v>
      </c>
      <c r="Z16" s="17">
        <f t="shared" si="5"/>
        <v>4.3132803632236094E-2</v>
      </c>
      <c r="AA16" s="17">
        <f t="shared" si="6"/>
        <v>5.4710556186152108E-2</v>
      </c>
      <c r="AB16" s="17">
        <f t="shared" si="7"/>
        <v>6.5607264472190702E-2</v>
      </c>
      <c r="AC16" s="17">
        <f t="shared" si="8"/>
        <v>6.8558456299659482E-2</v>
      </c>
      <c r="AD16" s="17">
        <f t="shared" si="9"/>
        <v>0</v>
      </c>
      <c r="AE16" s="17">
        <f t="shared" si="10"/>
        <v>0</v>
      </c>
      <c r="AF16" s="17">
        <f t="shared" si="11"/>
        <v>0</v>
      </c>
      <c r="AG16" s="17">
        <f t="shared" si="12"/>
        <v>0</v>
      </c>
      <c r="AH16" s="17">
        <f t="shared" si="17"/>
        <v>0.23745743473325745</v>
      </c>
      <c r="AI16" s="17">
        <f t="shared" si="18"/>
        <v>0.1888762769580023</v>
      </c>
      <c r="AJ16" s="17">
        <f t="shared" si="19"/>
        <v>0</v>
      </c>
      <c r="AK16" s="17">
        <f t="shared" si="20"/>
        <v>0.1888762769580023</v>
      </c>
      <c r="AL16" s="17"/>
      <c r="AM16" s="7"/>
      <c r="AN16" s="7"/>
      <c r="AO16" s="7"/>
      <c r="AP16" s="7"/>
    </row>
    <row r="17" spans="1:45" ht="18.75" x14ac:dyDescent="0.3">
      <c r="A17">
        <v>1911</v>
      </c>
      <c r="B17">
        <v>58.19</v>
      </c>
      <c r="C17">
        <v>1.74</v>
      </c>
      <c r="D17">
        <v>4.2300000000000004</v>
      </c>
      <c r="E17">
        <v>9.6</v>
      </c>
      <c r="F17">
        <v>17.989999999999998</v>
      </c>
      <c r="G17">
        <v>7.45</v>
      </c>
      <c r="H17">
        <v>5.29</v>
      </c>
      <c r="I17">
        <v>4.3099999999999996</v>
      </c>
      <c r="J17">
        <v>0</v>
      </c>
      <c r="K17">
        <v>0</v>
      </c>
      <c r="L17">
        <v>0</v>
      </c>
      <c r="M17">
        <v>0</v>
      </c>
      <c r="N17">
        <v>6.7</v>
      </c>
      <c r="O17">
        <v>0</v>
      </c>
      <c r="P17">
        <f t="shared" si="13"/>
        <v>12.74</v>
      </c>
      <c r="Q17">
        <f t="shared" si="14"/>
        <v>4.3099999999999996</v>
      </c>
      <c r="R17">
        <f t="shared" si="15"/>
        <v>6.7</v>
      </c>
      <c r="S17">
        <f t="shared" si="16"/>
        <v>11.01</v>
      </c>
      <c r="U17" s="17">
        <f t="shared" si="0"/>
        <v>2.9902045024918372E-2</v>
      </c>
      <c r="V17" s="17">
        <f t="shared" si="1"/>
        <v>7.2692902560577435E-2</v>
      </c>
      <c r="W17" s="17">
        <f t="shared" si="2"/>
        <v>0.16497680013748067</v>
      </c>
      <c r="X17" s="17">
        <f t="shared" si="3"/>
        <v>0.30915964942429969</v>
      </c>
      <c r="Y17" s="17">
        <f t="shared" si="4"/>
        <v>0.12802887094002408</v>
      </c>
      <c r="Z17" s="17">
        <f t="shared" si="5"/>
        <v>9.0909090909090912E-2</v>
      </c>
      <c r="AA17" s="17">
        <f t="shared" si="6"/>
        <v>7.4067709228389747E-2</v>
      </c>
      <c r="AB17" s="17">
        <f t="shared" si="7"/>
        <v>0</v>
      </c>
      <c r="AC17" s="17">
        <f t="shared" si="8"/>
        <v>0</v>
      </c>
      <c r="AD17" s="17">
        <f t="shared" si="9"/>
        <v>0</v>
      </c>
      <c r="AE17" s="17">
        <f t="shared" si="10"/>
        <v>0</v>
      </c>
      <c r="AF17" s="17">
        <f t="shared" si="11"/>
        <v>0.11514005842928339</v>
      </c>
      <c r="AG17" s="17">
        <f t="shared" si="12"/>
        <v>0</v>
      </c>
      <c r="AH17" s="17">
        <f t="shared" si="17"/>
        <v>0.21893796184911499</v>
      </c>
      <c r="AI17" s="17">
        <f t="shared" si="18"/>
        <v>7.4067709228389747E-2</v>
      </c>
      <c r="AJ17" s="17">
        <f t="shared" si="19"/>
        <v>0.11514005842928339</v>
      </c>
      <c r="AK17" s="17">
        <f t="shared" si="20"/>
        <v>0.18920776765767314</v>
      </c>
      <c r="AL17" s="17"/>
      <c r="AM17" s="7"/>
      <c r="AN17" s="7"/>
      <c r="AO17" s="7"/>
      <c r="AP17" s="7"/>
    </row>
    <row r="18" spans="1:45" x14ac:dyDescent="0.25">
      <c r="A18">
        <v>1912</v>
      </c>
      <c r="B18">
        <v>48</v>
      </c>
      <c r="C18">
        <v>1.32</v>
      </c>
      <c r="D18">
        <v>1.94999999999999</v>
      </c>
      <c r="E18">
        <v>9.18</v>
      </c>
      <c r="F18">
        <v>12.86</v>
      </c>
      <c r="G18">
        <v>5.26</v>
      </c>
      <c r="H18">
        <v>12.79</v>
      </c>
      <c r="I18">
        <v>4.51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f t="shared" si="13"/>
        <v>18.049999999999997</v>
      </c>
      <c r="Q18">
        <f t="shared" si="14"/>
        <v>4.51</v>
      </c>
      <c r="R18">
        <f t="shared" si="15"/>
        <v>0</v>
      </c>
      <c r="S18">
        <f t="shared" si="16"/>
        <v>4.51</v>
      </c>
      <c r="U18" s="17">
        <f t="shared" si="0"/>
        <v>2.75E-2</v>
      </c>
      <c r="V18" s="17">
        <f t="shared" si="1"/>
        <v>4.0624999999999793E-2</v>
      </c>
      <c r="W18" s="17">
        <f t="shared" si="2"/>
        <v>0.19125</v>
      </c>
      <c r="X18" s="17">
        <f t="shared" si="3"/>
        <v>0.26791666666666664</v>
      </c>
      <c r="Y18" s="17">
        <f t="shared" si="4"/>
        <v>0.10958333333333332</v>
      </c>
      <c r="Z18" s="17">
        <f t="shared" si="5"/>
        <v>0.2664583333333333</v>
      </c>
      <c r="AA18" s="17">
        <f t="shared" si="6"/>
        <v>9.3958333333333324E-2</v>
      </c>
      <c r="AB18" s="17">
        <f t="shared" si="7"/>
        <v>0</v>
      </c>
      <c r="AC18" s="17">
        <f t="shared" si="8"/>
        <v>0</v>
      </c>
      <c r="AD18" s="17">
        <f t="shared" si="9"/>
        <v>0</v>
      </c>
      <c r="AE18" s="17">
        <f t="shared" si="10"/>
        <v>0</v>
      </c>
      <c r="AF18" s="17">
        <f t="shared" si="11"/>
        <v>0</v>
      </c>
      <c r="AG18" s="17">
        <f t="shared" si="12"/>
        <v>0</v>
      </c>
      <c r="AH18" s="17">
        <f t="shared" si="17"/>
        <v>0.37604166666666661</v>
      </c>
      <c r="AI18" s="17">
        <f t="shared" si="18"/>
        <v>9.3958333333333324E-2</v>
      </c>
      <c r="AJ18" s="17">
        <f t="shared" si="19"/>
        <v>0</v>
      </c>
      <c r="AK18" s="17">
        <f t="shared" si="20"/>
        <v>9.3958333333333324E-2</v>
      </c>
      <c r="AL18" s="17"/>
    </row>
    <row r="19" spans="1:45" x14ac:dyDescent="0.25">
      <c r="A19">
        <v>1913</v>
      </c>
      <c r="B19">
        <v>42.15</v>
      </c>
      <c r="C19">
        <v>1.44</v>
      </c>
      <c r="D19">
        <v>4.1900000000000004</v>
      </c>
      <c r="E19">
        <v>8.39</v>
      </c>
      <c r="F19">
        <v>12</v>
      </c>
      <c r="G19">
        <v>8.5</v>
      </c>
      <c r="H19">
        <v>5.47</v>
      </c>
      <c r="I19">
        <v>2.02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f t="shared" si="13"/>
        <v>13.969999999999999</v>
      </c>
      <c r="Q19">
        <f t="shared" si="14"/>
        <v>2.02</v>
      </c>
      <c r="R19">
        <f t="shared" si="15"/>
        <v>0</v>
      </c>
      <c r="S19">
        <f t="shared" si="16"/>
        <v>2.02</v>
      </c>
      <c r="U19" s="17">
        <f t="shared" si="0"/>
        <v>3.4163701067615661E-2</v>
      </c>
      <c r="V19" s="17">
        <f t="shared" si="1"/>
        <v>9.9406880189798347E-2</v>
      </c>
      <c r="W19" s="17">
        <f t="shared" si="2"/>
        <v>0.19905100830367736</v>
      </c>
      <c r="X19" s="17">
        <f t="shared" si="3"/>
        <v>0.28469750889679718</v>
      </c>
      <c r="Y19" s="17">
        <f t="shared" si="4"/>
        <v>0.20166073546856467</v>
      </c>
      <c r="Z19" s="17">
        <f t="shared" si="5"/>
        <v>0.12977461447212338</v>
      </c>
      <c r="AA19" s="17">
        <f t="shared" si="6"/>
        <v>4.792408066429419E-2</v>
      </c>
      <c r="AB19" s="17">
        <f t="shared" si="7"/>
        <v>0</v>
      </c>
      <c r="AC19" s="17">
        <f t="shared" si="8"/>
        <v>0</v>
      </c>
      <c r="AD19" s="17">
        <f t="shared" si="9"/>
        <v>0</v>
      </c>
      <c r="AE19" s="17">
        <f t="shared" si="10"/>
        <v>0</v>
      </c>
      <c r="AF19" s="17">
        <f t="shared" si="11"/>
        <v>0</v>
      </c>
      <c r="AG19" s="17">
        <f t="shared" si="12"/>
        <v>0</v>
      </c>
      <c r="AH19" s="17">
        <f t="shared" si="17"/>
        <v>0.33143534994068802</v>
      </c>
      <c r="AI19" s="17">
        <f t="shared" si="18"/>
        <v>4.792408066429419E-2</v>
      </c>
      <c r="AJ19" s="17">
        <f t="shared" si="19"/>
        <v>0</v>
      </c>
      <c r="AK19" s="17">
        <f t="shared" si="20"/>
        <v>4.792408066429419E-2</v>
      </c>
      <c r="AL19" s="17"/>
    </row>
    <row r="20" spans="1:45" x14ac:dyDescent="0.25">
      <c r="A20">
        <v>1914</v>
      </c>
      <c r="B20">
        <v>36.590000000000003</v>
      </c>
      <c r="C20">
        <v>1.39</v>
      </c>
      <c r="D20">
        <v>2.84</v>
      </c>
      <c r="E20">
        <v>11.239999999999901</v>
      </c>
      <c r="F20">
        <v>10.62</v>
      </c>
      <c r="G20">
        <v>8.74</v>
      </c>
      <c r="H20">
        <v>1.69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f t="shared" si="13"/>
        <v>10.43</v>
      </c>
      <c r="Q20">
        <f t="shared" si="14"/>
        <v>0</v>
      </c>
      <c r="R20">
        <f t="shared" si="15"/>
        <v>0</v>
      </c>
      <c r="S20">
        <f t="shared" si="16"/>
        <v>0</v>
      </c>
      <c r="U20" s="17">
        <f t="shared" si="0"/>
        <v>3.798852145394916E-2</v>
      </c>
      <c r="V20" s="17">
        <f t="shared" si="1"/>
        <v>7.7616835200874548E-2</v>
      </c>
      <c r="W20" s="17">
        <f t="shared" si="2"/>
        <v>0.30718775621754302</v>
      </c>
      <c r="X20" s="17">
        <f t="shared" si="3"/>
        <v>0.2902432358567914</v>
      </c>
      <c r="Y20" s="17">
        <f t="shared" si="4"/>
        <v>0.23886307734353646</v>
      </c>
      <c r="Z20" s="17">
        <f t="shared" si="5"/>
        <v>4.6187482918830278E-2</v>
      </c>
      <c r="AA20" s="17">
        <f t="shared" si="6"/>
        <v>0</v>
      </c>
      <c r="AB20" s="17">
        <f t="shared" si="7"/>
        <v>0</v>
      </c>
      <c r="AC20" s="17">
        <f t="shared" si="8"/>
        <v>0</v>
      </c>
      <c r="AD20" s="17">
        <f t="shared" si="9"/>
        <v>0</v>
      </c>
      <c r="AE20" s="17">
        <f t="shared" si="10"/>
        <v>0</v>
      </c>
      <c r="AF20" s="17">
        <f t="shared" si="11"/>
        <v>0</v>
      </c>
      <c r="AG20" s="17">
        <f t="shared" si="12"/>
        <v>0</v>
      </c>
      <c r="AH20" s="17">
        <f t="shared" si="17"/>
        <v>0.28505056026236675</v>
      </c>
      <c r="AI20" s="17">
        <f t="shared" si="18"/>
        <v>0</v>
      </c>
      <c r="AJ20" s="17">
        <f t="shared" si="19"/>
        <v>0</v>
      </c>
      <c r="AK20" s="17">
        <f t="shared" si="20"/>
        <v>0</v>
      </c>
      <c r="AL20" s="17"/>
    </row>
    <row r="21" spans="1:45" x14ac:dyDescent="0.25">
      <c r="A21">
        <v>1915</v>
      </c>
      <c r="B21">
        <v>47.34</v>
      </c>
      <c r="C21">
        <v>1.58</v>
      </c>
      <c r="D21">
        <v>4.1900000000000004</v>
      </c>
      <c r="E21">
        <v>7.23</v>
      </c>
      <c r="F21">
        <v>11.069999999999901</v>
      </c>
      <c r="G21">
        <v>10.6799999999999</v>
      </c>
      <c r="H21">
        <v>5.3599999999999897</v>
      </c>
      <c r="I21">
        <v>0</v>
      </c>
      <c r="J21">
        <v>0</v>
      </c>
      <c r="K21">
        <v>7.05</v>
      </c>
      <c r="L21">
        <v>0</v>
      </c>
      <c r="M21">
        <v>0</v>
      </c>
      <c r="N21">
        <v>0</v>
      </c>
      <c r="O21">
        <v>0</v>
      </c>
      <c r="P21">
        <f t="shared" si="13"/>
        <v>16.039999999999889</v>
      </c>
      <c r="Q21">
        <f t="shared" si="14"/>
        <v>7.05</v>
      </c>
      <c r="R21">
        <f t="shared" si="15"/>
        <v>0</v>
      </c>
      <c r="S21">
        <f t="shared" si="16"/>
        <v>7.05</v>
      </c>
      <c r="U21" s="17">
        <f t="shared" si="0"/>
        <v>3.3375580904098014E-2</v>
      </c>
      <c r="V21" s="17">
        <f t="shared" si="1"/>
        <v>8.8508660752006765E-2</v>
      </c>
      <c r="W21" s="17">
        <f t="shared" si="2"/>
        <v>0.15272496831432192</v>
      </c>
      <c r="X21" s="17">
        <f t="shared" si="3"/>
        <v>0.2338403041825074</v>
      </c>
      <c r="Y21" s="17">
        <f t="shared" si="4"/>
        <v>0.22560202788339459</v>
      </c>
      <c r="Z21" s="17">
        <f t="shared" si="5"/>
        <v>0.11322348964934494</v>
      </c>
      <c r="AA21" s="17">
        <f t="shared" si="6"/>
        <v>0</v>
      </c>
      <c r="AB21" s="17">
        <f t="shared" si="7"/>
        <v>0</v>
      </c>
      <c r="AC21" s="17">
        <f t="shared" si="8"/>
        <v>0.14892268694550062</v>
      </c>
      <c r="AD21" s="17">
        <f t="shared" si="9"/>
        <v>0</v>
      </c>
      <c r="AE21" s="17">
        <f t="shared" si="10"/>
        <v>0</v>
      </c>
      <c r="AF21" s="17">
        <f t="shared" si="11"/>
        <v>0</v>
      </c>
      <c r="AG21" s="17">
        <f t="shared" si="12"/>
        <v>0</v>
      </c>
      <c r="AH21" s="17">
        <f t="shared" si="17"/>
        <v>0.33882551753273954</v>
      </c>
      <c r="AI21" s="17">
        <f t="shared" si="18"/>
        <v>0.14892268694550062</v>
      </c>
      <c r="AJ21" s="17">
        <f t="shared" si="19"/>
        <v>0</v>
      </c>
      <c r="AK21" s="17">
        <f t="shared" si="20"/>
        <v>0.14892268694550062</v>
      </c>
      <c r="AL21" s="17"/>
    </row>
    <row r="22" spans="1:45" x14ac:dyDescent="0.25">
      <c r="A22">
        <v>1916</v>
      </c>
      <c r="B22">
        <v>39.32</v>
      </c>
      <c r="C22">
        <v>2.2000000000000002</v>
      </c>
      <c r="D22">
        <v>4</v>
      </c>
      <c r="E22">
        <v>8.52</v>
      </c>
      <c r="F22">
        <v>11.85</v>
      </c>
      <c r="G22">
        <v>8.59</v>
      </c>
      <c r="H22">
        <v>3.99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f t="shared" si="13"/>
        <v>12.58</v>
      </c>
      <c r="Q22">
        <f t="shared" si="14"/>
        <v>0</v>
      </c>
      <c r="R22">
        <f t="shared" si="15"/>
        <v>0</v>
      </c>
      <c r="S22">
        <f t="shared" si="16"/>
        <v>0</v>
      </c>
      <c r="U22" s="17">
        <f t="shared" si="0"/>
        <v>5.5951169888097667E-2</v>
      </c>
      <c r="V22" s="17">
        <f t="shared" si="1"/>
        <v>0.10172939979654121</v>
      </c>
      <c r="W22" s="17">
        <f t="shared" si="2"/>
        <v>0.21668362156663273</v>
      </c>
      <c r="X22" s="17">
        <f t="shared" si="3"/>
        <v>0.30137334689725331</v>
      </c>
      <c r="Y22" s="17">
        <f t="shared" si="4"/>
        <v>0.21846388606307221</v>
      </c>
      <c r="Z22" s="17">
        <f t="shared" si="5"/>
        <v>0.10147507629704985</v>
      </c>
      <c r="AA22" s="17">
        <f t="shared" si="6"/>
        <v>0</v>
      </c>
      <c r="AB22" s="17">
        <f t="shared" si="7"/>
        <v>0</v>
      </c>
      <c r="AC22" s="17">
        <f t="shared" si="8"/>
        <v>0</v>
      </c>
      <c r="AD22" s="17">
        <f t="shared" si="9"/>
        <v>0</v>
      </c>
      <c r="AE22" s="17">
        <f t="shared" si="10"/>
        <v>0</v>
      </c>
      <c r="AF22" s="17">
        <f t="shared" si="11"/>
        <v>0</v>
      </c>
      <c r="AG22" s="17">
        <f t="shared" si="12"/>
        <v>0</v>
      </c>
      <c r="AH22" s="17">
        <f t="shared" si="17"/>
        <v>0.31993896236012209</v>
      </c>
      <c r="AI22" s="17">
        <f t="shared" si="18"/>
        <v>0</v>
      </c>
      <c r="AJ22" s="17">
        <f t="shared" si="19"/>
        <v>0</v>
      </c>
      <c r="AK22" s="17">
        <f t="shared" si="20"/>
        <v>0</v>
      </c>
      <c r="AL22" s="17"/>
    </row>
    <row r="23" spans="1:45" x14ac:dyDescent="0.25">
      <c r="A23">
        <v>1917</v>
      </c>
      <c r="B23">
        <v>39.14</v>
      </c>
      <c r="C23">
        <v>2.0099999999999998</v>
      </c>
      <c r="D23">
        <v>4.1100000000000003</v>
      </c>
      <c r="E23">
        <v>6.6099999999999897</v>
      </c>
      <c r="F23">
        <v>9.15</v>
      </c>
      <c r="G23">
        <v>7.54</v>
      </c>
      <c r="H23">
        <v>7.13</v>
      </c>
      <c r="I23">
        <v>2.4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f t="shared" si="13"/>
        <v>14.67</v>
      </c>
      <c r="Q23">
        <f t="shared" si="14"/>
        <v>2.4</v>
      </c>
      <c r="R23">
        <f t="shared" si="15"/>
        <v>0</v>
      </c>
      <c r="S23">
        <f t="shared" si="16"/>
        <v>2.4</v>
      </c>
      <c r="U23" s="17">
        <f t="shared" si="0"/>
        <v>5.1354113438937143E-2</v>
      </c>
      <c r="V23" s="17">
        <f t="shared" si="1"/>
        <v>0.1050076647930506</v>
      </c>
      <c r="W23" s="17">
        <f t="shared" si="2"/>
        <v>0.16888094021461394</v>
      </c>
      <c r="X23" s="17">
        <f t="shared" si="3"/>
        <v>0.23377618804292286</v>
      </c>
      <c r="Y23" s="17">
        <f t="shared" si="4"/>
        <v>0.19264179867143588</v>
      </c>
      <c r="Z23" s="17">
        <f t="shared" si="5"/>
        <v>0.18216658150229945</v>
      </c>
      <c r="AA23" s="17">
        <f t="shared" si="6"/>
        <v>6.1318344404701068E-2</v>
      </c>
      <c r="AB23" s="17">
        <f t="shared" si="7"/>
        <v>0</v>
      </c>
      <c r="AC23" s="17">
        <f t="shared" si="8"/>
        <v>0</v>
      </c>
      <c r="AD23" s="17">
        <f t="shared" si="9"/>
        <v>0</v>
      </c>
      <c r="AE23" s="17">
        <f t="shared" si="10"/>
        <v>0</v>
      </c>
      <c r="AF23" s="17">
        <f t="shared" si="11"/>
        <v>0</v>
      </c>
      <c r="AG23" s="17">
        <f t="shared" si="12"/>
        <v>0</v>
      </c>
      <c r="AH23" s="17">
        <f t="shared" si="17"/>
        <v>0.3748083801737353</v>
      </c>
      <c r="AI23" s="17">
        <f t="shared" si="18"/>
        <v>6.1318344404701068E-2</v>
      </c>
      <c r="AJ23" s="17">
        <f t="shared" si="19"/>
        <v>0</v>
      </c>
      <c r="AK23" s="17">
        <f t="shared" si="20"/>
        <v>6.1318344404701068E-2</v>
      </c>
      <c r="AL23" s="17"/>
    </row>
    <row r="24" spans="1:45" x14ac:dyDescent="0.25">
      <c r="A24">
        <v>1918</v>
      </c>
      <c r="B24">
        <v>36.56</v>
      </c>
      <c r="C24">
        <v>1.34</v>
      </c>
      <c r="D24">
        <v>2.78</v>
      </c>
      <c r="E24">
        <v>6.9399999999999897</v>
      </c>
      <c r="F24">
        <v>12.59</v>
      </c>
      <c r="G24">
        <v>7.17</v>
      </c>
      <c r="H24">
        <v>0</v>
      </c>
      <c r="I24">
        <v>2.27</v>
      </c>
      <c r="J24">
        <v>0</v>
      </c>
      <c r="K24">
        <v>3.18</v>
      </c>
      <c r="L24">
        <v>0</v>
      </c>
      <c r="M24">
        <v>0</v>
      </c>
      <c r="N24">
        <v>0</v>
      </c>
      <c r="O24">
        <v>0</v>
      </c>
      <c r="P24">
        <f t="shared" si="13"/>
        <v>7.17</v>
      </c>
      <c r="Q24">
        <f t="shared" si="14"/>
        <v>5.45</v>
      </c>
      <c r="R24">
        <f t="shared" si="15"/>
        <v>0</v>
      </c>
      <c r="S24">
        <f t="shared" si="16"/>
        <v>5.45</v>
      </c>
      <c r="U24" s="17">
        <f t="shared" si="0"/>
        <v>3.665207877461707E-2</v>
      </c>
      <c r="V24" s="17">
        <f t="shared" si="1"/>
        <v>7.6039387308533907E-2</v>
      </c>
      <c r="W24" s="17">
        <f t="shared" si="2"/>
        <v>0.18982494529540453</v>
      </c>
      <c r="X24" s="17">
        <f t="shared" si="3"/>
        <v>0.34436542669584241</v>
      </c>
      <c r="Y24" s="17">
        <f t="shared" si="4"/>
        <v>0.19611597374179429</v>
      </c>
      <c r="Z24" s="17">
        <f t="shared" si="5"/>
        <v>0</v>
      </c>
      <c r="AA24" s="17">
        <f t="shared" si="6"/>
        <v>6.2089715536105032E-2</v>
      </c>
      <c r="AB24" s="17">
        <f t="shared" si="7"/>
        <v>0</v>
      </c>
      <c r="AC24" s="17">
        <f t="shared" si="8"/>
        <v>8.6980306345733047E-2</v>
      </c>
      <c r="AD24" s="17">
        <f t="shared" si="9"/>
        <v>0</v>
      </c>
      <c r="AE24" s="17">
        <f t="shared" si="10"/>
        <v>0</v>
      </c>
      <c r="AF24" s="17">
        <f t="shared" si="11"/>
        <v>0</v>
      </c>
      <c r="AG24" s="17">
        <f t="shared" si="12"/>
        <v>0</v>
      </c>
      <c r="AH24" s="17">
        <f t="shared" si="17"/>
        <v>0.19611597374179429</v>
      </c>
      <c r="AI24" s="17">
        <f t="shared" si="18"/>
        <v>0.14907002188183807</v>
      </c>
      <c r="AJ24" s="17">
        <f t="shared" si="19"/>
        <v>0</v>
      </c>
      <c r="AK24" s="17">
        <f t="shared" si="20"/>
        <v>0.14907002188183807</v>
      </c>
      <c r="AL24" s="17"/>
    </row>
    <row r="25" spans="1:45" x14ac:dyDescent="0.25">
      <c r="A25">
        <v>1919</v>
      </c>
      <c r="B25">
        <v>50.82</v>
      </c>
      <c r="C25">
        <v>2.5499999999999998</v>
      </c>
      <c r="D25">
        <v>4.25999999999999</v>
      </c>
      <c r="E25">
        <v>6.0399999999999903</v>
      </c>
      <c r="F25">
        <v>21.74</v>
      </c>
      <c r="G25">
        <v>8.25</v>
      </c>
      <c r="H25">
        <v>3.67</v>
      </c>
      <c r="I25">
        <v>4.1500000000000004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f t="shared" si="13"/>
        <v>11.92</v>
      </c>
      <c r="Q25">
        <f t="shared" si="14"/>
        <v>4.1500000000000004</v>
      </c>
      <c r="R25">
        <f t="shared" si="15"/>
        <v>0</v>
      </c>
      <c r="S25">
        <f t="shared" si="16"/>
        <v>4.1500000000000004</v>
      </c>
      <c r="U25" s="17">
        <f t="shared" si="0"/>
        <v>5.0177095631641085E-2</v>
      </c>
      <c r="V25" s="17">
        <f t="shared" si="1"/>
        <v>8.3825265643447264E-2</v>
      </c>
      <c r="W25" s="17">
        <f t="shared" si="2"/>
        <v>0.1188508461235732</v>
      </c>
      <c r="X25" s="17">
        <f t="shared" si="3"/>
        <v>0.42778433687524592</v>
      </c>
      <c r="Y25" s="17">
        <f t="shared" si="4"/>
        <v>0.16233766233766234</v>
      </c>
      <c r="Z25" s="17">
        <f t="shared" si="5"/>
        <v>7.2215663124754026E-2</v>
      </c>
      <c r="AA25" s="17">
        <f t="shared" si="6"/>
        <v>8.1660763478945297E-2</v>
      </c>
      <c r="AB25" s="17">
        <f t="shared" si="7"/>
        <v>0</v>
      </c>
      <c r="AC25" s="17">
        <f t="shared" si="8"/>
        <v>0</v>
      </c>
      <c r="AD25" s="17">
        <f t="shared" si="9"/>
        <v>0</v>
      </c>
      <c r="AE25" s="17">
        <f t="shared" si="10"/>
        <v>0</v>
      </c>
      <c r="AF25" s="17">
        <f t="shared" si="11"/>
        <v>0</v>
      </c>
      <c r="AG25" s="17">
        <f t="shared" si="12"/>
        <v>0</v>
      </c>
      <c r="AH25" s="17">
        <f t="shared" si="17"/>
        <v>0.23455332546241636</v>
      </c>
      <c r="AI25" s="17">
        <f t="shared" si="18"/>
        <v>8.1660763478945297E-2</v>
      </c>
      <c r="AJ25" s="17">
        <f t="shared" si="19"/>
        <v>0</v>
      </c>
      <c r="AK25" s="17">
        <f t="shared" si="20"/>
        <v>8.1660763478945297E-2</v>
      </c>
      <c r="AL25" s="17"/>
    </row>
    <row r="26" spans="1:45" x14ac:dyDescent="0.25">
      <c r="A26">
        <v>1920</v>
      </c>
      <c r="B26">
        <v>54.45</v>
      </c>
      <c r="C26">
        <v>1.94</v>
      </c>
      <c r="D26">
        <v>4.0199999999999996</v>
      </c>
      <c r="E26">
        <v>6.52</v>
      </c>
      <c r="F26">
        <v>19.2699999999999</v>
      </c>
      <c r="G26">
        <v>6.6999999999999904</v>
      </c>
      <c r="H26">
        <v>11.39</v>
      </c>
      <c r="I26">
        <v>4.42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f t="shared" si="13"/>
        <v>18.089999999999989</v>
      </c>
      <c r="Q26">
        <f t="shared" si="14"/>
        <v>4.42</v>
      </c>
      <c r="R26">
        <f t="shared" si="15"/>
        <v>0</v>
      </c>
      <c r="S26">
        <f t="shared" si="16"/>
        <v>4.42</v>
      </c>
      <c r="U26" s="17">
        <f t="shared" si="0"/>
        <v>3.5629017447199263E-2</v>
      </c>
      <c r="V26" s="17">
        <f t="shared" si="1"/>
        <v>7.3829201101928366E-2</v>
      </c>
      <c r="W26" s="17">
        <f t="shared" si="2"/>
        <v>0.119742883379247</v>
      </c>
      <c r="X26" s="17">
        <f t="shared" si="3"/>
        <v>0.35390266299357021</v>
      </c>
      <c r="Y26" s="17">
        <f t="shared" si="4"/>
        <v>0.12304866850321378</v>
      </c>
      <c r="Z26" s="17">
        <f t="shared" si="5"/>
        <v>0.20918273645546373</v>
      </c>
      <c r="AA26" s="17">
        <f t="shared" si="6"/>
        <v>8.1175390266299358E-2</v>
      </c>
      <c r="AB26" s="17">
        <f t="shared" si="7"/>
        <v>0</v>
      </c>
      <c r="AC26" s="17">
        <f t="shared" si="8"/>
        <v>0</v>
      </c>
      <c r="AD26" s="17">
        <f t="shared" si="9"/>
        <v>0</v>
      </c>
      <c r="AE26" s="17">
        <f t="shared" si="10"/>
        <v>0</v>
      </c>
      <c r="AF26" s="17">
        <f t="shared" si="11"/>
        <v>0</v>
      </c>
      <c r="AG26" s="17">
        <f t="shared" si="12"/>
        <v>0</v>
      </c>
      <c r="AH26" s="17">
        <f t="shared" si="17"/>
        <v>0.33223140495867753</v>
      </c>
      <c r="AI26" s="17">
        <f t="shared" si="18"/>
        <v>8.1175390266299358E-2</v>
      </c>
      <c r="AJ26" s="17">
        <f t="shared" si="19"/>
        <v>0</v>
      </c>
      <c r="AK26" s="17">
        <f t="shared" si="20"/>
        <v>8.1175390266299358E-2</v>
      </c>
      <c r="AL26" s="17"/>
    </row>
    <row r="27" spans="1:45" x14ac:dyDescent="0.25">
      <c r="A27">
        <v>1921</v>
      </c>
      <c r="B27">
        <v>42.14</v>
      </c>
      <c r="C27">
        <v>2.12</v>
      </c>
      <c r="D27">
        <v>4.68</v>
      </c>
      <c r="E27">
        <v>5.78</v>
      </c>
      <c r="F27">
        <v>10.09</v>
      </c>
      <c r="G27">
        <v>6.46</v>
      </c>
      <c r="H27">
        <v>3.3</v>
      </c>
      <c r="I27">
        <v>4.6399999999999997</v>
      </c>
      <c r="J27">
        <v>0</v>
      </c>
      <c r="K27">
        <v>0</v>
      </c>
      <c r="L27">
        <v>4.91</v>
      </c>
      <c r="M27">
        <v>0</v>
      </c>
      <c r="N27">
        <v>0</v>
      </c>
      <c r="O27">
        <v>0</v>
      </c>
      <c r="P27">
        <f t="shared" si="13"/>
        <v>9.76</v>
      </c>
      <c r="Q27">
        <f t="shared" si="14"/>
        <v>4.6399999999999997</v>
      </c>
      <c r="R27">
        <f t="shared" si="15"/>
        <v>4.91</v>
      </c>
      <c r="S27">
        <f t="shared" si="16"/>
        <v>9.5500000000000007</v>
      </c>
      <c r="U27" s="17">
        <f t="shared" si="0"/>
        <v>5.0308495491219747E-2</v>
      </c>
      <c r="V27" s="17">
        <f t="shared" si="1"/>
        <v>0.11105837683910773</v>
      </c>
      <c r="W27" s="17">
        <f t="shared" si="2"/>
        <v>0.13716184148077837</v>
      </c>
      <c r="X27" s="17">
        <f t="shared" si="3"/>
        <v>0.23943996203132414</v>
      </c>
      <c r="Y27" s="17">
        <f t="shared" si="4"/>
        <v>0.15329852871381111</v>
      </c>
      <c r="Z27" s="17">
        <f t="shared" si="5"/>
        <v>7.8310393925011865E-2</v>
      </c>
      <c r="AA27" s="17">
        <f t="shared" si="6"/>
        <v>0.11010915994304697</v>
      </c>
      <c r="AB27" s="17">
        <f t="shared" si="7"/>
        <v>0</v>
      </c>
      <c r="AC27" s="17">
        <f t="shared" si="8"/>
        <v>0</v>
      </c>
      <c r="AD27" s="17">
        <f t="shared" si="9"/>
        <v>0.11651637399145705</v>
      </c>
      <c r="AE27" s="17">
        <f t="shared" si="10"/>
        <v>0</v>
      </c>
      <c r="AF27" s="17">
        <f t="shared" si="11"/>
        <v>0</v>
      </c>
      <c r="AG27" s="17">
        <f t="shared" si="12"/>
        <v>0</v>
      </c>
      <c r="AH27" s="17">
        <f t="shared" si="17"/>
        <v>0.23160892263882299</v>
      </c>
      <c r="AI27" s="17">
        <f t="shared" si="18"/>
        <v>0.11010915994304697</v>
      </c>
      <c r="AJ27" s="17">
        <f t="shared" si="19"/>
        <v>0.11651637399145705</v>
      </c>
      <c r="AK27" s="17">
        <f t="shared" si="20"/>
        <v>0.22662553393450402</v>
      </c>
      <c r="AL27" s="17"/>
      <c r="AS27" s="32">
        <f>TTEST(A2:A123,C2:C123,2,3)</f>
        <v>5.6969513461362539E-213</v>
      </c>
    </row>
    <row r="28" spans="1:45" x14ac:dyDescent="0.25">
      <c r="A28">
        <v>1922</v>
      </c>
      <c r="B28">
        <v>42.52</v>
      </c>
      <c r="C28">
        <v>1.39</v>
      </c>
      <c r="D28">
        <v>5.98</v>
      </c>
      <c r="E28">
        <v>7.4799999999999898</v>
      </c>
      <c r="F28">
        <v>14.309999999999899</v>
      </c>
      <c r="G28">
        <v>6.72</v>
      </c>
      <c r="H28">
        <v>1.59</v>
      </c>
      <c r="I28">
        <v>2.19</v>
      </c>
      <c r="J28">
        <v>2.72</v>
      </c>
      <c r="K28">
        <v>0</v>
      </c>
      <c r="L28">
        <v>0</v>
      </c>
      <c r="M28">
        <v>0</v>
      </c>
      <c r="N28">
        <v>0</v>
      </c>
      <c r="O28">
        <v>0</v>
      </c>
      <c r="P28">
        <f t="shared" si="13"/>
        <v>8.31</v>
      </c>
      <c r="Q28">
        <f t="shared" si="14"/>
        <v>4.91</v>
      </c>
      <c r="R28">
        <f t="shared" si="15"/>
        <v>0</v>
      </c>
      <c r="S28">
        <f t="shared" si="16"/>
        <v>4.91</v>
      </c>
      <c r="U28" s="17">
        <f t="shared" si="0"/>
        <v>3.2690498588899337E-2</v>
      </c>
      <c r="V28" s="17">
        <f t="shared" si="1"/>
        <v>0.14063969896519285</v>
      </c>
      <c r="W28" s="17">
        <f t="shared" si="2"/>
        <v>0.17591721542803362</v>
      </c>
      <c r="X28" s="17">
        <f t="shared" si="3"/>
        <v>0.33654750705550091</v>
      </c>
      <c r="Y28" s="17">
        <f t="shared" si="4"/>
        <v>0.15804327375352772</v>
      </c>
      <c r="Z28" s="17">
        <f t="shared" si="5"/>
        <v>3.7394167450611478E-2</v>
      </c>
      <c r="AA28" s="17">
        <f t="shared" si="6"/>
        <v>5.1505174035747878E-2</v>
      </c>
      <c r="AB28" s="17">
        <f t="shared" si="7"/>
        <v>6.3969896519285044E-2</v>
      </c>
      <c r="AC28" s="17">
        <f t="shared" si="8"/>
        <v>0</v>
      </c>
      <c r="AD28" s="17">
        <f t="shared" si="9"/>
        <v>0</v>
      </c>
      <c r="AE28" s="17">
        <f t="shared" si="10"/>
        <v>0</v>
      </c>
      <c r="AF28" s="17">
        <f t="shared" si="11"/>
        <v>0</v>
      </c>
      <c r="AG28" s="17">
        <f t="shared" si="12"/>
        <v>0</v>
      </c>
      <c r="AH28" s="17">
        <f t="shared" si="17"/>
        <v>0.1954374412041392</v>
      </c>
      <c r="AI28" s="17">
        <f t="shared" si="18"/>
        <v>0.11547507055503292</v>
      </c>
      <c r="AJ28" s="17">
        <f t="shared" si="19"/>
        <v>0</v>
      </c>
      <c r="AK28" s="17">
        <f t="shared" si="20"/>
        <v>0.11547507055503292</v>
      </c>
      <c r="AL28" s="17"/>
    </row>
    <row r="29" spans="1:45" x14ac:dyDescent="0.25">
      <c r="A29">
        <v>1923</v>
      </c>
      <c r="B29">
        <v>35.18</v>
      </c>
      <c r="C29">
        <v>1.63</v>
      </c>
      <c r="D29">
        <v>4.9800000000000004</v>
      </c>
      <c r="E29">
        <v>9.07</v>
      </c>
      <c r="F29">
        <v>11.33</v>
      </c>
      <c r="G29">
        <v>3.91</v>
      </c>
      <c r="H29">
        <v>0</v>
      </c>
      <c r="I29">
        <v>4.09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f t="shared" si="13"/>
        <v>3.91</v>
      </c>
      <c r="Q29">
        <f t="shared" si="14"/>
        <v>4.09</v>
      </c>
      <c r="R29">
        <f t="shared" si="15"/>
        <v>0</v>
      </c>
      <c r="S29">
        <f t="shared" si="16"/>
        <v>4.09</v>
      </c>
      <c r="U29" s="17">
        <f t="shared" si="0"/>
        <v>4.6333143831722566E-2</v>
      </c>
      <c r="V29" s="17">
        <f t="shared" si="1"/>
        <v>0.14155770324047756</v>
      </c>
      <c r="W29" s="17">
        <f t="shared" si="2"/>
        <v>0.2578169414440023</v>
      </c>
      <c r="X29" s="17">
        <f t="shared" si="3"/>
        <v>0.32205798749289372</v>
      </c>
      <c r="Y29" s="17">
        <f t="shared" si="4"/>
        <v>0.11114269471290507</v>
      </c>
      <c r="Z29" s="17">
        <f t="shared" si="5"/>
        <v>0</v>
      </c>
      <c r="AA29" s="17">
        <f t="shared" si="6"/>
        <v>0.11625923820352473</v>
      </c>
      <c r="AB29" s="17">
        <f t="shared" si="7"/>
        <v>0</v>
      </c>
      <c r="AC29" s="17">
        <f t="shared" si="8"/>
        <v>0</v>
      </c>
      <c r="AD29" s="17">
        <f t="shared" si="9"/>
        <v>0</v>
      </c>
      <c r="AE29" s="17">
        <f t="shared" si="10"/>
        <v>0</v>
      </c>
      <c r="AF29" s="17">
        <f t="shared" si="11"/>
        <v>0</v>
      </c>
      <c r="AG29" s="17">
        <f t="shared" si="12"/>
        <v>0</v>
      </c>
      <c r="AH29" s="17">
        <f t="shared" si="17"/>
        <v>0.11114269471290507</v>
      </c>
      <c r="AI29" s="17">
        <f t="shared" si="18"/>
        <v>0.11625923820352473</v>
      </c>
      <c r="AJ29" s="17">
        <f t="shared" si="19"/>
        <v>0</v>
      </c>
      <c r="AK29" s="17">
        <f t="shared" si="20"/>
        <v>0.11625923820352473</v>
      </c>
      <c r="AL29" s="17"/>
    </row>
    <row r="30" spans="1:45" x14ac:dyDescent="0.25">
      <c r="A30">
        <v>1924</v>
      </c>
      <c r="B30">
        <v>45.65</v>
      </c>
      <c r="C30">
        <v>1.61</v>
      </c>
      <c r="D30">
        <v>4.4599999999999902</v>
      </c>
      <c r="E30">
        <v>6.63</v>
      </c>
      <c r="F30">
        <v>8.7799999999999994</v>
      </c>
      <c r="G30">
        <v>11.549999999999899</v>
      </c>
      <c r="H30">
        <v>3.92</v>
      </c>
      <c r="I30">
        <v>4.45</v>
      </c>
      <c r="J30">
        <v>0</v>
      </c>
      <c r="K30">
        <v>0</v>
      </c>
      <c r="L30">
        <v>4.07</v>
      </c>
      <c r="M30">
        <v>0</v>
      </c>
      <c r="N30">
        <v>0</v>
      </c>
      <c r="O30">
        <v>0</v>
      </c>
      <c r="P30">
        <f t="shared" si="13"/>
        <v>15.469999999999899</v>
      </c>
      <c r="Q30">
        <f t="shared" si="14"/>
        <v>4.45</v>
      </c>
      <c r="R30">
        <f t="shared" si="15"/>
        <v>4.07</v>
      </c>
      <c r="S30">
        <f t="shared" si="16"/>
        <v>8.52</v>
      </c>
      <c r="U30" s="17">
        <f t="shared" si="0"/>
        <v>3.5268346111719612E-2</v>
      </c>
      <c r="V30" s="17">
        <f t="shared" si="1"/>
        <v>9.769989047097459E-2</v>
      </c>
      <c r="W30" s="17">
        <f t="shared" si="2"/>
        <v>0.14523548740416212</v>
      </c>
      <c r="X30" s="17">
        <f t="shared" si="3"/>
        <v>0.19233296823658269</v>
      </c>
      <c r="Y30" s="17">
        <f t="shared" si="4"/>
        <v>0.2530120481927689</v>
      </c>
      <c r="Z30" s="17">
        <f t="shared" si="5"/>
        <v>8.5870755750273822E-2</v>
      </c>
      <c r="AA30" s="17">
        <f t="shared" si="6"/>
        <v>9.7480832420591468E-2</v>
      </c>
      <c r="AB30" s="17">
        <f t="shared" si="7"/>
        <v>0</v>
      </c>
      <c r="AC30" s="17">
        <f t="shared" si="8"/>
        <v>0</v>
      </c>
      <c r="AD30" s="17">
        <f t="shared" si="9"/>
        <v>8.91566265060241E-2</v>
      </c>
      <c r="AE30" s="17">
        <f t="shared" si="10"/>
        <v>0</v>
      </c>
      <c r="AF30" s="17">
        <f t="shared" si="11"/>
        <v>0</v>
      </c>
      <c r="AG30" s="17">
        <f t="shared" si="12"/>
        <v>0</v>
      </c>
      <c r="AH30" s="17">
        <f t="shared" si="17"/>
        <v>0.33888280394304271</v>
      </c>
      <c r="AI30" s="17">
        <f t="shared" si="18"/>
        <v>9.7480832420591468E-2</v>
      </c>
      <c r="AJ30" s="17">
        <f t="shared" si="19"/>
        <v>8.91566265060241E-2</v>
      </c>
      <c r="AK30" s="17">
        <f t="shared" si="20"/>
        <v>0.18663745892661557</v>
      </c>
      <c r="AL30" s="17"/>
    </row>
    <row r="31" spans="1:45" x14ac:dyDescent="0.25">
      <c r="A31">
        <v>1925</v>
      </c>
      <c r="B31">
        <v>36.49</v>
      </c>
      <c r="C31">
        <v>1.66</v>
      </c>
      <c r="D31">
        <v>3.59</v>
      </c>
      <c r="E31">
        <v>9.94</v>
      </c>
      <c r="F31">
        <v>7.55</v>
      </c>
      <c r="G31">
        <v>10.479999999999899</v>
      </c>
      <c r="H31">
        <v>3.09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f t="shared" si="13"/>
        <v>13.569999999999899</v>
      </c>
      <c r="Q31">
        <f t="shared" si="14"/>
        <v>0</v>
      </c>
      <c r="R31">
        <f t="shared" si="15"/>
        <v>0</v>
      </c>
      <c r="S31">
        <f t="shared" si="16"/>
        <v>0</v>
      </c>
      <c r="U31" s="17">
        <f t="shared" si="0"/>
        <v>4.5491915593313233E-2</v>
      </c>
      <c r="V31" s="17">
        <f t="shared" si="1"/>
        <v>9.838311866264729E-2</v>
      </c>
      <c r="W31" s="17">
        <f t="shared" si="2"/>
        <v>0.27240339819128523</v>
      </c>
      <c r="X31" s="17">
        <f t="shared" si="3"/>
        <v>0.2069060016442861</v>
      </c>
      <c r="Y31" s="17">
        <f t="shared" si="4"/>
        <v>0.28720197314332419</v>
      </c>
      <c r="Z31" s="17">
        <f t="shared" si="5"/>
        <v>8.4680734447793907E-2</v>
      </c>
      <c r="AA31" s="17">
        <f t="shared" si="6"/>
        <v>0</v>
      </c>
      <c r="AB31" s="17">
        <f t="shared" si="7"/>
        <v>0</v>
      </c>
      <c r="AC31" s="17">
        <f t="shared" si="8"/>
        <v>0</v>
      </c>
      <c r="AD31" s="17">
        <f t="shared" si="9"/>
        <v>0</v>
      </c>
      <c r="AE31" s="17">
        <f t="shared" si="10"/>
        <v>0</v>
      </c>
      <c r="AF31" s="17">
        <f t="shared" si="11"/>
        <v>0</v>
      </c>
      <c r="AG31" s="17">
        <f t="shared" si="12"/>
        <v>0</v>
      </c>
      <c r="AH31" s="17">
        <f t="shared" si="17"/>
        <v>0.37188270759111808</v>
      </c>
      <c r="AI31" s="17">
        <f t="shared" si="18"/>
        <v>0</v>
      </c>
      <c r="AJ31" s="17">
        <f t="shared" si="19"/>
        <v>0</v>
      </c>
      <c r="AK31" s="17">
        <f t="shared" si="20"/>
        <v>0</v>
      </c>
      <c r="AL31" s="17"/>
    </row>
    <row r="32" spans="1:45" x14ac:dyDescent="0.25">
      <c r="A32">
        <v>1926</v>
      </c>
      <c r="B32">
        <v>45.78</v>
      </c>
      <c r="C32">
        <v>2.3199999999999998</v>
      </c>
      <c r="D32">
        <v>4.93</v>
      </c>
      <c r="E32">
        <v>9.9899999999999896</v>
      </c>
      <c r="F32">
        <v>11</v>
      </c>
      <c r="G32">
        <v>11.19</v>
      </c>
      <c r="H32">
        <v>0</v>
      </c>
      <c r="I32">
        <v>0</v>
      </c>
      <c r="J32">
        <v>2.73</v>
      </c>
      <c r="K32">
        <v>3.4</v>
      </c>
      <c r="L32">
        <v>0</v>
      </c>
      <c r="M32">
        <v>0</v>
      </c>
      <c r="N32">
        <v>0</v>
      </c>
      <c r="O32">
        <v>0</v>
      </c>
      <c r="P32">
        <f t="shared" si="13"/>
        <v>11.19</v>
      </c>
      <c r="Q32">
        <f t="shared" si="14"/>
        <v>6.13</v>
      </c>
      <c r="R32">
        <f t="shared" si="15"/>
        <v>0</v>
      </c>
      <c r="S32">
        <f t="shared" si="16"/>
        <v>6.13</v>
      </c>
      <c r="U32" s="17">
        <f t="shared" si="0"/>
        <v>5.0677151594582782E-2</v>
      </c>
      <c r="V32" s="17">
        <f t="shared" si="1"/>
        <v>0.10768894713848841</v>
      </c>
      <c r="W32" s="17">
        <f t="shared" si="2"/>
        <v>0.21821756225425926</v>
      </c>
      <c r="X32" s="17">
        <f t="shared" si="3"/>
        <v>0.2402795980777632</v>
      </c>
      <c r="Y32" s="17">
        <f t="shared" si="4"/>
        <v>0.24442988204456093</v>
      </c>
      <c r="Z32" s="17">
        <f t="shared" si="5"/>
        <v>0</v>
      </c>
      <c r="AA32" s="17">
        <f t="shared" si="6"/>
        <v>0</v>
      </c>
      <c r="AB32" s="17">
        <f t="shared" si="7"/>
        <v>5.9633027522935776E-2</v>
      </c>
      <c r="AC32" s="17">
        <f t="shared" si="8"/>
        <v>7.4268239405854086E-2</v>
      </c>
      <c r="AD32" s="17">
        <f t="shared" si="9"/>
        <v>0</v>
      </c>
      <c r="AE32" s="17">
        <f t="shared" si="10"/>
        <v>0</v>
      </c>
      <c r="AF32" s="17">
        <f t="shared" si="11"/>
        <v>0</v>
      </c>
      <c r="AG32" s="17">
        <f t="shared" si="12"/>
        <v>0</v>
      </c>
      <c r="AH32" s="17">
        <f t="shared" si="17"/>
        <v>0.24442988204456093</v>
      </c>
      <c r="AI32" s="17">
        <f t="shared" si="18"/>
        <v>0.13390126692878987</v>
      </c>
      <c r="AJ32" s="17">
        <f t="shared" si="19"/>
        <v>0</v>
      </c>
      <c r="AK32" s="17">
        <f t="shared" si="20"/>
        <v>0.13390126692878987</v>
      </c>
      <c r="AL32" s="17"/>
    </row>
    <row r="33" spans="1:42" x14ac:dyDescent="0.25">
      <c r="A33">
        <v>1927</v>
      </c>
      <c r="B33">
        <v>50.91</v>
      </c>
      <c r="C33">
        <v>1.93</v>
      </c>
      <c r="D33">
        <v>3.15</v>
      </c>
      <c r="E33">
        <v>7.41</v>
      </c>
      <c r="F33">
        <v>11.82</v>
      </c>
      <c r="G33">
        <v>5.37</v>
      </c>
      <c r="H33">
        <v>11.4</v>
      </c>
      <c r="I33">
        <v>2.09</v>
      </c>
      <c r="J33">
        <v>0</v>
      </c>
      <c r="K33">
        <v>3.47</v>
      </c>
      <c r="L33">
        <v>4.07</v>
      </c>
      <c r="M33">
        <v>0</v>
      </c>
      <c r="N33">
        <v>0</v>
      </c>
      <c r="O33">
        <v>0</v>
      </c>
      <c r="P33">
        <f t="shared" si="13"/>
        <v>16.77</v>
      </c>
      <c r="Q33">
        <f t="shared" si="14"/>
        <v>5.5600000000000005</v>
      </c>
      <c r="R33">
        <f t="shared" si="15"/>
        <v>4.07</v>
      </c>
      <c r="S33">
        <f t="shared" si="16"/>
        <v>9.6300000000000008</v>
      </c>
      <c r="U33" s="17">
        <f t="shared" si="0"/>
        <v>3.7910037320762133E-2</v>
      </c>
      <c r="V33" s="17">
        <f t="shared" si="1"/>
        <v>6.1873895109015913E-2</v>
      </c>
      <c r="W33" s="17">
        <f t="shared" si="2"/>
        <v>0.14555097230406602</v>
      </c>
      <c r="X33" s="17">
        <f t="shared" si="3"/>
        <v>0.23217442545668829</v>
      </c>
      <c r="Y33" s="17">
        <f t="shared" si="4"/>
        <v>0.10548025928108427</v>
      </c>
      <c r="Z33" s="17">
        <f t="shared" si="5"/>
        <v>0.22392457277548616</v>
      </c>
      <c r="AA33" s="17">
        <f t="shared" si="6"/>
        <v>4.1052838342172458E-2</v>
      </c>
      <c r="AB33" s="17">
        <f t="shared" si="7"/>
        <v>0</v>
      </c>
      <c r="AC33" s="17">
        <f t="shared" si="8"/>
        <v>6.8159497151836584E-2</v>
      </c>
      <c r="AD33" s="17">
        <f t="shared" si="9"/>
        <v>7.9945000982125328E-2</v>
      </c>
      <c r="AE33" s="17">
        <f t="shared" si="10"/>
        <v>0</v>
      </c>
      <c r="AF33" s="17">
        <f t="shared" si="11"/>
        <v>0</v>
      </c>
      <c r="AG33" s="17">
        <f t="shared" si="12"/>
        <v>0</v>
      </c>
      <c r="AH33" s="17">
        <f t="shared" si="17"/>
        <v>0.32940483205657045</v>
      </c>
      <c r="AI33" s="17">
        <f t="shared" si="18"/>
        <v>0.10921233549400905</v>
      </c>
      <c r="AJ33" s="17">
        <f t="shared" si="19"/>
        <v>7.9945000982125328E-2</v>
      </c>
      <c r="AK33" s="17">
        <f t="shared" si="20"/>
        <v>0.18915733647613436</v>
      </c>
      <c r="AL33" s="17"/>
    </row>
    <row r="34" spans="1:42" x14ac:dyDescent="0.25">
      <c r="A34">
        <v>1928</v>
      </c>
      <c r="B34">
        <v>45.52</v>
      </c>
      <c r="C34">
        <v>2.0299999999999998</v>
      </c>
      <c r="D34">
        <v>3.68</v>
      </c>
      <c r="E34">
        <v>5.65</v>
      </c>
      <c r="F34">
        <v>15.93</v>
      </c>
      <c r="G34">
        <v>11.99</v>
      </c>
      <c r="H34">
        <v>3.92</v>
      </c>
      <c r="I34">
        <v>2.13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f t="shared" si="13"/>
        <v>15.91</v>
      </c>
      <c r="Q34">
        <f t="shared" si="14"/>
        <v>2.13</v>
      </c>
      <c r="R34">
        <f t="shared" si="15"/>
        <v>0</v>
      </c>
      <c r="S34">
        <f t="shared" si="16"/>
        <v>2.13</v>
      </c>
      <c r="U34" s="17">
        <f t="shared" ref="U34:U65" si="21">C34/$B34</f>
        <v>4.4595782073813699E-2</v>
      </c>
      <c r="V34" s="17">
        <f t="shared" ref="V34:V65" si="22">D34/$B34</f>
        <v>8.0843585237258347E-2</v>
      </c>
      <c r="W34" s="17">
        <f t="shared" ref="W34:W65" si="23">E34/$B34</f>
        <v>0.12412126537785588</v>
      </c>
      <c r="X34" s="17">
        <f t="shared" ref="X34:X65" si="24">F34/$B34</f>
        <v>0.34995606326889278</v>
      </c>
      <c r="Y34" s="17">
        <f t="shared" ref="Y34:Y65" si="25">G34/$B34</f>
        <v>0.26340070298769769</v>
      </c>
      <c r="Z34" s="17">
        <f t="shared" ref="Z34:Z65" si="26">H34/$B34</f>
        <v>8.6115992970123012E-2</v>
      </c>
      <c r="AA34" s="17">
        <f t="shared" ref="AA34:AA65" si="27">I34/$B34</f>
        <v>4.6792618629173985E-2</v>
      </c>
      <c r="AB34" s="17">
        <f t="shared" ref="AB34:AB65" si="28">J34/$B34</f>
        <v>0</v>
      </c>
      <c r="AC34" s="17">
        <f t="shared" ref="AC34:AC65" si="29">K34/$B34</f>
        <v>0</v>
      </c>
      <c r="AD34" s="17">
        <f t="shared" ref="AD34:AD65" si="30">L34/$B34</f>
        <v>0</v>
      </c>
      <c r="AE34" s="17">
        <f t="shared" ref="AE34:AE65" si="31">M34/$B34</f>
        <v>0</v>
      </c>
      <c r="AF34" s="17">
        <f t="shared" ref="AF34:AF65" si="32">N34/$B34</f>
        <v>0</v>
      </c>
      <c r="AG34" s="17">
        <f t="shared" ref="AG34:AG65" si="33">O34/$B34</f>
        <v>0</v>
      </c>
      <c r="AH34" s="17">
        <f t="shared" si="17"/>
        <v>0.3495166959578207</v>
      </c>
      <c r="AI34" s="17">
        <f t="shared" si="18"/>
        <v>4.6792618629173985E-2</v>
      </c>
      <c r="AJ34" s="17">
        <f t="shared" si="19"/>
        <v>0</v>
      </c>
      <c r="AK34" s="17">
        <f t="shared" si="20"/>
        <v>4.6792618629173985E-2</v>
      </c>
      <c r="AL34" s="17"/>
    </row>
    <row r="35" spans="1:42" x14ac:dyDescent="0.25">
      <c r="A35">
        <v>1929</v>
      </c>
      <c r="B35">
        <v>45.08</v>
      </c>
      <c r="C35">
        <v>1.46</v>
      </c>
      <c r="D35">
        <v>3.55</v>
      </c>
      <c r="E35">
        <v>12.7</v>
      </c>
      <c r="F35">
        <v>12.22</v>
      </c>
      <c r="G35">
        <v>4.84</v>
      </c>
      <c r="H35">
        <v>10.029999999999999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f t="shared" si="13"/>
        <v>14.87</v>
      </c>
      <c r="Q35">
        <f t="shared" si="14"/>
        <v>0</v>
      </c>
      <c r="R35">
        <f t="shared" si="15"/>
        <v>0</v>
      </c>
      <c r="S35">
        <f t="shared" si="16"/>
        <v>0</v>
      </c>
      <c r="U35" s="17">
        <f t="shared" si="21"/>
        <v>3.2386867790594499E-2</v>
      </c>
      <c r="V35" s="17">
        <f t="shared" si="22"/>
        <v>7.8748890860692103E-2</v>
      </c>
      <c r="W35" s="17">
        <f t="shared" si="23"/>
        <v>0.28172138420585624</v>
      </c>
      <c r="X35" s="17">
        <f t="shared" si="24"/>
        <v>0.27107364685004437</v>
      </c>
      <c r="Y35" s="17">
        <f t="shared" si="25"/>
        <v>0.10736468500443656</v>
      </c>
      <c r="Z35" s="17">
        <f t="shared" si="26"/>
        <v>0.22249334516415262</v>
      </c>
      <c r="AA35" s="17">
        <f t="shared" si="27"/>
        <v>0</v>
      </c>
      <c r="AB35" s="17">
        <f t="shared" si="28"/>
        <v>0</v>
      </c>
      <c r="AC35" s="17">
        <f t="shared" si="29"/>
        <v>0</v>
      </c>
      <c r="AD35" s="17">
        <f t="shared" si="30"/>
        <v>0</v>
      </c>
      <c r="AE35" s="17">
        <f t="shared" si="31"/>
        <v>0</v>
      </c>
      <c r="AF35" s="17">
        <f t="shared" si="32"/>
        <v>0</v>
      </c>
      <c r="AG35" s="17">
        <f t="shared" si="33"/>
        <v>0</v>
      </c>
      <c r="AH35" s="17">
        <f t="shared" si="17"/>
        <v>0.32985803016858917</v>
      </c>
      <c r="AI35" s="17">
        <f t="shared" si="18"/>
        <v>0</v>
      </c>
      <c r="AJ35" s="17">
        <f t="shared" si="19"/>
        <v>0</v>
      </c>
      <c r="AK35" s="17">
        <f t="shared" si="20"/>
        <v>0</v>
      </c>
      <c r="AL35" s="17"/>
    </row>
    <row r="36" spans="1:42" x14ac:dyDescent="0.25">
      <c r="A36">
        <v>1930</v>
      </c>
      <c r="B36">
        <v>32.9</v>
      </c>
      <c r="C36">
        <v>1.72</v>
      </c>
      <c r="D36">
        <v>3.48</v>
      </c>
      <c r="E36">
        <v>6.09</v>
      </c>
      <c r="F36">
        <v>9.5500000000000007</v>
      </c>
      <c r="G36">
        <v>5.5399999999999903</v>
      </c>
      <c r="H36">
        <v>1.65</v>
      </c>
      <c r="I36">
        <v>4.71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f t="shared" si="13"/>
        <v>7.1899999999999906</v>
      </c>
      <c r="Q36">
        <f t="shared" si="14"/>
        <v>4.71</v>
      </c>
      <c r="R36">
        <f t="shared" si="15"/>
        <v>0</v>
      </c>
      <c r="S36">
        <f t="shared" si="16"/>
        <v>4.71</v>
      </c>
      <c r="U36" s="17">
        <f t="shared" si="21"/>
        <v>5.2279635258358666E-2</v>
      </c>
      <c r="V36" s="17">
        <f t="shared" si="22"/>
        <v>0.10577507598784194</v>
      </c>
      <c r="W36" s="17">
        <f t="shared" si="23"/>
        <v>0.18510638297872342</v>
      </c>
      <c r="X36" s="17">
        <f t="shared" si="24"/>
        <v>0.29027355623100309</v>
      </c>
      <c r="Y36" s="17">
        <f t="shared" si="25"/>
        <v>0.1683890577507596</v>
      </c>
      <c r="Z36" s="17">
        <f t="shared" si="26"/>
        <v>5.0151975683890578E-2</v>
      </c>
      <c r="AA36" s="17">
        <f t="shared" si="27"/>
        <v>0.14316109422492401</v>
      </c>
      <c r="AB36" s="17">
        <f t="shared" si="28"/>
        <v>0</v>
      </c>
      <c r="AC36" s="17">
        <f t="shared" si="29"/>
        <v>0</v>
      </c>
      <c r="AD36" s="17">
        <f t="shared" si="30"/>
        <v>0</v>
      </c>
      <c r="AE36" s="17">
        <f t="shared" si="31"/>
        <v>0</v>
      </c>
      <c r="AF36" s="17">
        <f t="shared" si="32"/>
        <v>0</v>
      </c>
      <c r="AG36" s="17">
        <f t="shared" si="33"/>
        <v>0</v>
      </c>
      <c r="AH36" s="17">
        <f t="shared" si="17"/>
        <v>0.21854103343465017</v>
      </c>
      <c r="AI36" s="17">
        <f t="shared" si="18"/>
        <v>0.14316109422492401</v>
      </c>
      <c r="AJ36" s="17">
        <f t="shared" si="19"/>
        <v>0</v>
      </c>
      <c r="AK36" s="17">
        <f t="shared" si="20"/>
        <v>0.14316109422492401</v>
      </c>
      <c r="AL36" s="17"/>
    </row>
    <row r="37" spans="1:42" x14ac:dyDescent="0.25">
      <c r="A37">
        <v>1931</v>
      </c>
      <c r="B37">
        <v>35.770000000000003</v>
      </c>
      <c r="C37">
        <v>1.51</v>
      </c>
      <c r="D37">
        <v>3.36</v>
      </c>
      <c r="E37">
        <v>7.6099999999999897</v>
      </c>
      <c r="F37">
        <v>13.4</v>
      </c>
      <c r="G37">
        <v>4.67</v>
      </c>
      <c r="H37">
        <v>4.99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f t="shared" si="13"/>
        <v>9.66</v>
      </c>
      <c r="Q37">
        <f t="shared" si="14"/>
        <v>0</v>
      </c>
      <c r="R37">
        <f t="shared" si="15"/>
        <v>0</v>
      </c>
      <c r="S37">
        <f t="shared" si="16"/>
        <v>0</v>
      </c>
      <c r="U37" s="17">
        <f t="shared" si="21"/>
        <v>4.2214145932345536E-2</v>
      </c>
      <c r="V37" s="17">
        <f t="shared" si="22"/>
        <v>9.393346379647749E-2</v>
      </c>
      <c r="W37" s="17">
        <f t="shared" si="23"/>
        <v>0.21274811294380735</v>
      </c>
      <c r="X37" s="17">
        <f t="shared" si="24"/>
        <v>0.37461559966452335</v>
      </c>
      <c r="Y37" s="17">
        <f t="shared" si="25"/>
        <v>0.13055633212188983</v>
      </c>
      <c r="Z37" s="17">
        <f t="shared" si="26"/>
        <v>0.13950237629298293</v>
      </c>
      <c r="AA37" s="17">
        <f t="shared" si="27"/>
        <v>0</v>
      </c>
      <c r="AB37" s="17">
        <f t="shared" si="28"/>
        <v>0</v>
      </c>
      <c r="AC37" s="17">
        <f t="shared" si="29"/>
        <v>0</v>
      </c>
      <c r="AD37" s="17">
        <f t="shared" si="30"/>
        <v>0</v>
      </c>
      <c r="AE37" s="17">
        <f t="shared" si="31"/>
        <v>0</v>
      </c>
      <c r="AF37" s="17">
        <f t="shared" si="32"/>
        <v>0</v>
      </c>
      <c r="AG37" s="17">
        <f t="shared" si="33"/>
        <v>0</v>
      </c>
      <c r="AH37" s="17">
        <f t="shared" si="17"/>
        <v>0.27005870841487278</v>
      </c>
      <c r="AI37" s="17">
        <f t="shared" si="18"/>
        <v>0</v>
      </c>
      <c r="AJ37" s="17">
        <f t="shared" si="19"/>
        <v>0</v>
      </c>
      <c r="AK37" s="17">
        <f t="shared" si="20"/>
        <v>0</v>
      </c>
      <c r="AL37" s="17"/>
    </row>
    <row r="38" spans="1:42" x14ac:dyDescent="0.25">
      <c r="A38">
        <v>1932</v>
      </c>
      <c r="B38">
        <v>43.16</v>
      </c>
      <c r="C38">
        <v>1.55</v>
      </c>
      <c r="D38">
        <v>5.25</v>
      </c>
      <c r="E38">
        <v>6.83</v>
      </c>
      <c r="F38">
        <v>8.44</v>
      </c>
      <c r="G38">
        <v>4.7399999999999904</v>
      </c>
      <c r="H38">
        <v>8.89</v>
      </c>
      <c r="I38">
        <v>4.8</v>
      </c>
      <c r="J38">
        <v>2.54</v>
      </c>
      <c r="K38">
        <v>0</v>
      </c>
      <c r="L38">
        <v>0</v>
      </c>
      <c r="M38">
        <v>0</v>
      </c>
      <c r="N38">
        <v>0</v>
      </c>
      <c r="O38">
        <v>0</v>
      </c>
      <c r="P38">
        <f t="shared" si="13"/>
        <v>13.629999999999992</v>
      </c>
      <c r="Q38">
        <f t="shared" si="14"/>
        <v>7.34</v>
      </c>
      <c r="R38">
        <f t="shared" si="15"/>
        <v>0</v>
      </c>
      <c r="S38">
        <f t="shared" si="16"/>
        <v>7.34</v>
      </c>
      <c r="U38" s="17">
        <f t="shared" si="21"/>
        <v>3.5912882298424473E-2</v>
      </c>
      <c r="V38" s="17">
        <f t="shared" si="22"/>
        <v>0.12164040778498611</v>
      </c>
      <c r="W38" s="17">
        <f t="shared" si="23"/>
        <v>0.15824837812789622</v>
      </c>
      <c r="X38" s="17">
        <f t="shared" si="24"/>
        <v>0.19555143651529194</v>
      </c>
      <c r="Y38" s="17">
        <f t="shared" si="25"/>
        <v>0.1098239110287301</v>
      </c>
      <c r="Z38" s="17">
        <f t="shared" si="26"/>
        <v>0.20597775718257649</v>
      </c>
      <c r="AA38" s="17">
        <f t="shared" si="27"/>
        <v>0.11121408711770157</v>
      </c>
      <c r="AB38" s="17">
        <f t="shared" si="28"/>
        <v>5.8850787766450426E-2</v>
      </c>
      <c r="AC38" s="17">
        <f t="shared" si="29"/>
        <v>0</v>
      </c>
      <c r="AD38" s="17">
        <f t="shared" si="30"/>
        <v>0</v>
      </c>
      <c r="AE38" s="17">
        <f t="shared" si="31"/>
        <v>0</v>
      </c>
      <c r="AF38" s="17">
        <f t="shared" si="32"/>
        <v>0</v>
      </c>
      <c r="AG38" s="17">
        <f t="shared" si="33"/>
        <v>0</v>
      </c>
      <c r="AH38" s="17">
        <f t="shared" si="17"/>
        <v>0.31580166821130662</v>
      </c>
      <c r="AI38" s="17">
        <f t="shared" si="18"/>
        <v>0.17006487488415201</v>
      </c>
      <c r="AJ38" s="17">
        <f t="shared" si="19"/>
        <v>0</v>
      </c>
      <c r="AK38" s="17">
        <f t="shared" si="20"/>
        <v>0.17006487488415201</v>
      </c>
      <c r="AL38" s="17"/>
    </row>
    <row r="39" spans="1:42" x14ac:dyDescent="0.25">
      <c r="A39">
        <v>1933</v>
      </c>
      <c r="B39">
        <v>46.95</v>
      </c>
      <c r="C39">
        <v>2.0099999999999998</v>
      </c>
      <c r="D39">
        <v>4.68</v>
      </c>
      <c r="E39">
        <v>4.59</v>
      </c>
      <c r="F39">
        <v>21.5</v>
      </c>
      <c r="G39">
        <v>11.58</v>
      </c>
      <c r="H39">
        <v>0</v>
      </c>
      <c r="I39">
        <v>2.38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f t="shared" si="13"/>
        <v>11.58</v>
      </c>
      <c r="Q39">
        <f t="shared" si="14"/>
        <v>2.38</v>
      </c>
      <c r="R39">
        <f t="shared" si="15"/>
        <v>0</v>
      </c>
      <c r="S39">
        <f t="shared" si="16"/>
        <v>2.38</v>
      </c>
      <c r="U39" s="17">
        <f t="shared" si="21"/>
        <v>4.2811501597444082E-2</v>
      </c>
      <c r="V39" s="17">
        <f t="shared" si="22"/>
        <v>9.9680511182108619E-2</v>
      </c>
      <c r="W39" s="17">
        <f t="shared" si="23"/>
        <v>9.7763578274760371E-2</v>
      </c>
      <c r="X39" s="17">
        <f t="shared" si="24"/>
        <v>0.45793397231096911</v>
      </c>
      <c r="Y39" s="17">
        <f t="shared" si="25"/>
        <v>0.24664536741214055</v>
      </c>
      <c r="Z39" s="17">
        <f t="shared" si="26"/>
        <v>0</v>
      </c>
      <c r="AA39" s="17">
        <f t="shared" si="27"/>
        <v>5.0692225772097969E-2</v>
      </c>
      <c r="AB39" s="17">
        <f t="shared" si="28"/>
        <v>0</v>
      </c>
      <c r="AC39" s="17">
        <f t="shared" si="29"/>
        <v>0</v>
      </c>
      <c r="AD39" s="17">
        <f t="shared" si="30"/>
        <v>0</v>
      </c>
      <c r="AE39" s="17">
        <f t="shared" si="31"/>
        <v>0</v>
      </c>
      <c r="AF39" s="17">
        <f t="shared" si="32"/>
        <v>0</v>
      </c>
      <c r="AG39" s="17">
        <f t="shared" si="33"/>
        <v>0</v>
      </c>
      <c r="AH39" s="17">
        <f t="shared" si="17"/>
        <v>0.24664536741214055</v>
      </c>
      <c r="AI39" s="17">
        <f t="shared" si="18"/>
        <v>5.0692225772097969E-2</v>
      </c>
      <c r="AJ39" s="17">
        <f t="shared" si="19"/>
        <v>0</v>
      </c>
      <c r="AK39" s="17">
        <f t="shared" si="20"/>
        <v>5.0692225772097969E-2</v>
      </c>
      <c r="AL39" s="17"/>
    </row>
    <row r="40" spans="1:42" x14ac:dyDescent="0.25">
      <c r="A40">
        <v>1934</v>
      </c>
      <c r="B40">
        <v>42.4</v>
      </c>
      <c r="C40">
        <v>2.08</v>
      </c>
      <c r="D40">
        <v>4.2799999999999896</v>
      </c>
      <c r="E40">
        <v>8.27</v>
      </c>
      <c r="F40">
        <v>10.82</v>
      </c>
      <c r="G40">
        <v>9.27</v>
      </c>
      <c r="H40">
        <v>2</v>
      </c>
      <c r="I40">
        <v>0</v>
      </c>
      <c r="J40">
        <v>5.4499999999999904</v>
      </c>
      <c r="K40">
        <v>0</v>
      </c>
      <c r="L40">
        <v>0</v>
      </c>
      <c r="M40">
        <v>0</v>
      </c>
      <c r="N40">
        <v>0</v>
      </c>
      <c r="O40">
        <v>0</v>
      </c>
      <c r="P40">
        <f t="shared" si="13"/>
        <v>11.27</v>
      </c>
      <c r="Q40">
        <f t="shared" si="14"/>
        <v>5.4499999999999904</v>
      </c>
      <c r="R40">
        <f t="shared" si="15"/>
        <v>0</v>
      </c>
      <c r="S40">
        <f t="shared" si="16"/>
        <v>5.4499999999999904</v>
      </c>
      <c r="U40" s="17">
        <f t="shared" si="21"/>
        <v>4.9056603773584909E-2</v>
      </c>
      <c r="V40" s="17">
        <f t="shared" si="22"/>
        <v>0.10094339622641485</v>
      </c>
      <c r="W40" s="17">
        <f t="shared" si="23"/>
        <v>0.19504716981132075</v>
      </c>
      <c r="X40" s="17">
        <f t="shared" si="24"/>
        <v>0.25518867924528305</v>
      </c>
      <c r="Y40" s="17">
        <f t="shared" si="25"/>
        <v>0.21863207547169811</v>
      </c>
      <c r="Z40" s="17">
        <f t="shared" si="26"/>
        <v>4.716981132075472E-2</v>
      </c>
      <c r="AA40" s="17">
        <f t="shared" si="27"/>
        <v>0</v>
      </c>
      <c r="AB40" s="17">
        <f t="shared" si="28"/>
        <v>0.12853773584905639</v>
      </c>
      <c r="AC40" s="17">
        <f t="shared" si="29"/>
        <v>0</v>
      </c>
      <c r="AD40" s="17">
        <f t="shared" si="30"/>
        <v>0</v>
      </c>
      <c r="AE40" s="17">
        <f t="shared" si="31"/>
        <v>0</v>
      </c>
      <c r="AF40" s="17">
        <f t="shared" si="32"/>
        <v>0</v>
      </c>
      <c r="AG40" s="17">
        <f t="shared" si="33"/>
        <v>0</v>
      </c>
      <c r="AH40" s="17">
        <f t="shared" si="17"/>
        <v>0.26580188679245281</v>
      </c>
      <c r="AI40" s="17">
        <f t="shared" si="18"/>
        <v>0.12853773584905639</v>
      </c>
      <c r="AJ40" s="17">
        <f t="shared" si="19"/>
        <v>0</v>
      </c>
      <c r="AK40" s="17">
        <f t="shared" si="20"/>
        <v>0.12853773584905639</v>
      </c>
      <c r="AL40" s="17"/>
    </row>
    <row r="41" spans="1:42" x14ac:dyDescent="0.25">
      <c r="A41">
        <v>1935</v>
      </c>
      <c r="B41">
        <v>41.37</v>
      </c>
      <c r="C41">
        <v>1.73</v>
      </c>
      <c r="D41">
        <v>5.13</v>
      </c>
      <c r="E41">
        <v>10.65</v>
      </c>
      <c r="F41">
        <v>10.3799999999999</v>
      </c>
      <c r="G41">
        <v>6.2099999999999902</v>
      </c>
      <c r="H41">
        <v>1.86</v>
      </c>
      <c r="I41">
        <v>2.25</v>
      </c>
      <c r="J41">
        <v>2.89</v>
      </c>
      <c r="K41">
        <v>0</v>
      </c>
      <c r="L41">
        <v>0</v>
      </c>
      <c r="M41">
        <v>0</v>
      </c>
      <c r="N41">
        <v>0</v>
      </c>
      <c r="O41">
        <v>0</v>
      </c>
      <c r="P41">
        <f t="shared" si="13"/>
        <v>8.0699999999999896</v>
      </c>
      <c r="Q41">
        <f t="shared" si="14"/>
        <v>5.1400000000000006</v>
      </c>
      <c r="R41">
        <f t="shared" si="15"/>
        <v>0</v>
      </c>
      <c r="S41">
        <f t="shared" si="16"/>
        <v>5.1400000000000006</v>
      </c>
      <c r="U41" s="17">
        <f t="shared" si="21"/>
        <v>4.1817742325356538E-2</v>
      </c>
      <c r="V41" s="17">
        <f t="shared" si="22"/>
        <v>0.12400290065264685</v>
      </c>
      <c r="W41" s="17">
        <f t="shared" si="23"/>
        <v>0.25743292240754173</v>
      </c>
      <c r="X41" s="17">
        <f t="shared" si="24"/>
        <v>0.25090645395213684</v>
      </c>
      <c r="Y41" s="17">
        <f t="shared" si="25"/>
        <v>0.15010877447425647</v>
      </c>
      <c r="Z41" s="17">
        <f t="shared" si="26"/>
        <v>4.4960116026105876E-2</v>
      </c>
      <c r="AA41" s="17">
        <f t="shared" si="27"/>
        <v>5.4387237128353881E-2</v>
      </c>
      <c r="AB41" s="17">
        <f t="shared" si="28"/>
        <v>6.9857384578196763E-2</v>
      </c>
      <c r="AC41" s="17">
        <f t="shared" si="29"/>
        <v>0</v>
      </c>
      <c r="AD41" s="17">
        <f t="shared" si="30"/>
        <v>0</v>
      </c>
      <c r="AE41" s="17">
        <f t="shared" si="31"/>
        <v>0</v>
      </c>
      <c r="AF41" s="17">
        <f t="shared" si="32"/>
        <v>0</v>
      </c>
      <c r="AG41" s="17">
        <f t="shared" si="33"/>
        <v>0</v>
      </c>
      <c r="AH41" s="17">
        <f t="shared" si="17"/>
        <v>0.19506889050036236</v>
      </c>
      <c r="AI41" s="17">
        <f t="shared" si="18"/>
        <v>0.12424462170655065</v>
      </c>
      <c r="AJ41" s="17">
        <f t="shared" si="19"/>
        <v>0</v>
      </c>
      <c r="AK41" s="17">
        <f t="shared" si="20"/>
        <v>0.12424462170655065</v>
      </c>
      <c r="AL41" s="17"/>
    </row>
    <row r="42" spans="1:42" x14ac:dyDescent="0.25">
      <c r="A42">
        <v>1936</v>
      </c>
      <c r="B42">
        <v>45.97</v>
      </c>
      <c r="C42">
        <v>2.09</v>
      </c>
      <c r="D42">
        <v>3.83</v>
      </c>
      <c r="E42">
        <v>7.8699999999999903</v>
      </c>
      <c r="F42">
        <v>12.639999999999899</v>
      </c>
      <c r="G42">
        <v>6.1499999999999897</v>
      </c>
      <c r="H42">
        <v>10.559999999999899</v>
      </c>
      <c r="I42">
        <v>0</v>
      </c>
      <c r="J42">
        <v>2.64</v>
      </c>
      <c r="K42">
        <v>0</v>
      </c>
      <c r="L42">
        <v>0</v>
      </c>
      <c r="M42">
        <v>0</v>
      </c>
      <c r="N42">
        <v>0</v>
      </c>
      <c r="O42">
        <v>0</v>
      </c>
      <c r="P42">
        <f t="shared" si="13"/>
        <v>16.709999999999887</v>
      </c>
      <c r="Q42">
        <f t="shared" si="14"/>
        <v>2.64</v>
      </c>
      <c r="R42">
        <f t="shared" si="15"/>
        <v>0</v>
      </c>
      <c r="S42">
        <f t="shared" si="16"/>
        <v>2.64</v>
      </c>
      <c r="U42" s="17">
        <f t="shared" si="21"/>
        <v>4.5464433326082222E-2</v>
      </c>
      <c r="V42" s="17">
        <f t="shared" si="22"/>
        <v>8.3315205568849249E-2</v>
      </c>
      <c r="W42" s="17">
        <f t="shared" si="23"/>
        <v>0.17119860778768742</v>
      </c>
      <c r="X42" s="17">
        <f t="shared" si="24"/>
        <v>0.27496193169458122</v>
      </c>
      <c r="Y42" s="17">
        <f t="shared" si="25"/>
        <v>0.13378290189253839</v>
      </c>
      <c r="Z42" s="17">
        <f t="shared" si="26"/>
        <v>0.22971503154230802</v>
      </c>
      <c r="AA42" s="17">
        <f t="shared" si="27"/>
        <v>0</v>
      </c>
      <c r="AB42" s="17">
        <f t="shared" si="28"/>
        <v>5.7428757885577553E-2</v>
      </c>
      <c r="AC42" s="17">
        <f t="shared" si="29"/>
        <v>0</v>
      </c>
      <c r="AD42" s="17">
        <f t="shared" si="30"/>
        <v>0</v>
      </c>
      <c r="AE42" s="17">
        <f t="shared" si="31"/>
        <v>0</v>
      </c>
      <c r="AF42" s="17">
        <f t="shared" si="32"/>
        <v>0</v>
      </c>
      <c r="AG42" s="17">
        <f t="shared" si="33"/>
        <v>0</v>
      </c>
      <c r="AH42" s="17">
        <f t="shared" si="17"/>
        <v>0.36349793343484638</v>
      </c>
      <c r="AI42" s="17">
        <f t="shared" si="18"/>
        <v>5.7428757885577553E-2</v>
      </c>
      <c r="AJ42" s="17">
        <f t="shared" si="19"/>
        <v>0</v>
      </c>
      <c r="AK42" s="17">
        <f t="shared" si="20"/>
        <v>5.7428757885577553E-2</v>
      </c>
      <c r="AL42" s="17"/>
    </row>
    <row r="43" spans="1:42" x14ac:dyDescent="0.25">
      <c r="A43">
        <v>1937</v>
      </c>
      <c r="B43">
        <v>42.75</v>
      </c>
      <c r="C43">
        <v>2.0099999999999998</v>
      </c>
      <c r="D43">
        <v>2.61</v>
      </c>
      <c r="E43">
        <v>8.3699999999999992</v>
      </c>
      <c r="F43">
        <v>12.82</v>
      </c>
      <c r="G43">
        <v>8.4</v>
      </c>
      <c r="H43">
        <v>6.21</v>
      </c>
      <c r="I43">
        <v>2.12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f t="shared" si="13"/>
        <v>14.61</v>
      </c>
      <c r="Q43">
        <f t="shared" si="14"/>
        <v>2.12</v>
      </c>
      <c r="R43">
        <f t="shared" si="15"/>
        <v>0</v>
      </c>
      <c r="S43">
        <f t="shared" si="16"/>
        <v>2.12</v>
      </c>
      <c r="U43" s="17">
        <f t="shared" si="21"/>
        <v>4.7017543859649118E-2</v>
      </c>
      <c r="V43" s="17">
        <f t="shared" si="22"/>
        <v>6.1052631578947365E-2</v>
      </c>
      <c r="W43" s="17">
        <f t="shared" si="23"/>
        <v>0.19578947368421051</v>
      </c>
      <c r="X43" s="17">
        <f t="shared" si="24"/>
        <v>0.29988304093567253</v>
      </c>
      <c r="Y43" s="17">
        <f t="shared" si="25"/>
        <v>0.19649122807017544</v>
      </c>
      <c r="Z43" s="17">
        <f t="shared" si="26"/>
        <v>0.14526315789473684</v>
      </c>
      <c r="AA43" s="17">
        <f t="shared" si="27"/>
        <v>4.9590643274853803E-2</v>
      </c>
      <c r="AB43" s="17">
        <f t="shared" si="28"/>
        <v>0</v>
      </c>
      <c r="AC43" s="17">
        <f t="shared" si="29"/>
        <v>0</v>
      </c>
      <c r="AD43" s="17">
        <f t="shared" si="30"/>
        <v>0</v>
      </c>
      <c r="AE43" s="17">
        <f t="shared" si="31"/>
        <v>0</v>
      </c>
      <c r="AF43" s="17">
        <f t="shared" si="32"/>
        <v>0</v>
      </c>
      <c r="AG43" s="17">
        <f t="shared" si="33"/>
        <v>0</v>
      </c>
      <c r="AH43" s="17">
        <f t="shared" si="17"/>
        <v>0.34175438596491226</v>
      </c>
      <c r="AI43" s="17">
        <f t="shared" si="18"/>
        <v>4.9590643274853803E-2</v>
      </c>
      <c r="AJ43" s="17">
        <f t="shared" si="19"/>
        <v>0</v>
      </c>
      <c r="AK43" s="17">
        <f t="shared" si="20"/>
        <v>4.9590643274853803E-2</v>
      </c>
      <c r="AL43" s="17"/>
    </row>
    <row r="44" spans="1:42" ht="18.75" x14ac:dyDescent="0.3">
      <c r="A44">
        <v>1938</v>
      </c>
      <c r="B44">
        <v>48.62</v>
      </c>
      <c r="C44">
        <v>2.29</v>
      </c>
      <c r="D44">
        <v>6.11</v>
      </c>
      <c r="E44">
        <v>10.36</v>
      </c>
      <c r="F44">
        <v>9.4499999999999993</v>
      </c>
      <c r="G44">
        <v>4.4400000000000004</v>
      </c>
      <c r="H44">
        <v>8.82</v>
      </c>
      <c r="I44">
        <v>2.1800000000000002</v>
      </c>
      <c r="J44">
        <v>0</v>
      </c>
      <c r="K44">
        <v>0</v>
      </c>
      <c r="L44">
        <v>4.8099999999999996</v>
      </c>
      <c r="M44">
        <v>0</v>
      </c>
      <c r="N44">
        <v>0</v>
      </c>
      <c r="O44">
        <v>0</v>
      </c>
      <c r="P44">
        <f t="shared" si="13"/>
        <v>13.260000000000002</v>
      </c>
      <c r="Q44">
        <f t="shared" si="14"/>
        <v>2.1800000000000002</v>
      </c>
      <c r="R44">
        <f t="shared" si="15"/>
        <v>4.8099999999999996</v>
      </c>
      <c r="S44">
        <f t="shared" si="16"/>
        <v>6.99</v>
      </c>
      <c r="U44" s="17">
        <f t="shared" si="21"/>
        <v>4.7099958864664747E-2</v>
      </c>
      <c r="V44" s="17">
        <f t="shared" si="22"/>
        <v>0.12566844919786097</v>
      </c>
      <c r="W44" s="17">
        <f t="shared" si="23"/>
        <v>0.21308103661044839</v>
      </c>
      <c r="X44" s="17">
        <f t="shared" si="24"/>
        <v>0.19436445907034142</v>
      </c>
      <c r="Y44" s="17">
        <f t="shared" si="25"/>
        <v>9.132044426162074E-2</v>
      </c>
      <c r="Z44" s="17">
        <f t="shared" si="26"/>
        <v>0.18140682846565201</v>
      </c>
      <c r="AA44" s="17">
        <f t="shared" si="27"/>
        <v>4.4837515425750728E-2</v>
      </c>
      <c r="AB44" s="17">
        <f t="shared" si="28"/>
        <v>0</v>
      </c>
      <c r="AC44" s="17">
        <f t="shared" si="29"/>
        <v>0</v>
      </c>
      <c r="AD44" s="17">
        <f t="shared" si="30"/>
        <v>9.8930481283422453E-2</v>
      </c>
      <c r="AE44" s="17">
        <f t="shared" si="31"/>
        <v>0</v>
      </c>
      <c r="AF44" s="17">
        <f t="shared" si="32"/>
        <v>0</v>
      </c>
      <c r="AG44" s="17">
        <f t="shared" si="33"/>
        <v>0</v>
      </c>
      <c r="AH44" s="17">
        <f t="shared" si="17"/>
        <v>0.27272727272727276</v>
      </c>
      <c r="AI44" s="17">
        <f t="shared" si="18"/>
        <v>4.4837515425750728E-2</v>
      </c>
      <c r="AJ44" s="17">
        <f t="shared" si="19"/>
        <v>9.8930481283422453E-2</v>
      </c>
      <c r="AK44" s="17">
        <f t="shared" si="20"/>
        <v>0.14376799670917317</v>
      </c>
      <c r="AL44" s="17"/>
      <c r="AM44" s="7" t="s">
        <v>15</v>
      </c>
      <c r="AN44" s="7"/>
      <c r="AO44" s="7"/>
      <c r="AP44" s="7"/>
    </row>
    <row r="45" spans="1:42" ht="18.75" x14ac:dyDescent="0.3">
      <c r="A45">
        <v>1939</v>
      </c>
      <c r="B45">
        <v>37.450000000000003</v>
      </c>
      <c r="C45">
        <v>1.45</v>
      </c>
      <c r="D45">
        <v>5.74</v>
      </c>
      <c r="E45">
        <v>6.2299999999999898</v>
      </c>
      <c r="F45">
        <v>10.239999999999901</v>
      </c>
      <c r="G45">
        <v>10.28</v>
      </c>
      <c r="H45">
        <v>3.38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f t="shared" si="13"/>
        <v>13.66</v>
      </c>
      <c r="Q45">
        <f t="shared" si="14"/>
        <v>0</v>
      </c>
      <c r="R45">
        <f t="shared" si="15"/>
        <v>0</v>
      </c>
      <c r="S45">
        <f t="shared" si="16"/>
        <v>0</v>
      </c>
      <c r="U45" s="17">
        <f t="shared" si="21"/>
        <v>3.8718291054739652E-2</v>
      </c>
      <c r="V45" s="17">
        <f t="shared" si="22"/>
        <v>0.15327102803738318</v>
      </c>
      <c r="W45" s="17">
        <f t="shared" si="23"/>
        <v>0.16635514018691561</v>
      </c>
      <c r="X45" s="17">
        <f t="shared" si="24"/>
        <v>0.27343124165553806</v>
      </c>
      <c r="Y45" s="17">
        <f t="shared" si="25"/>
        <v>0.27449933244325764</v>
      </c>
      <c r="Z45" s="17">
        <f t="shared" si="26"/>
        <v>9.0253671562082763E-2</v>
      </c>
      <c r="AA45" s="17">
        <f t="shared" si="27"/>
        <v>0</v>
      </c>
      <c r="AB45" s="17">
        <f t="shared" si="28"/>
        <v>0</v>
      </c>
      <c r="AC45" s="17">
        <f t="shared" si="29"/>
        <v>0</v>
      </c>
      <c r="AD45" s="17">
        <f t="shared" si="30"/>
        <v>0</v>
      </c>
      <c r="AE45" s="17">
        <f t="shared" si="31"/>
        <v>0</v>
      </c>
      <c r="AF45" s="17">
        <f t="shared" si="32"/>
        <v>0</v>
      </c>
      <c r="AG45" s="17">
        <f t="shared" si="33"/>
        <v>0</v>
      </c>
      <c r="AH45" s="17">
        <f t="shared" si="17"/>
        <v>0.36475300400534039</v>
      </c>
      <c r="AI45" s="17">
        <f t="shared" si="18"/>
        <v>0</v>
      </c>
      <c r="AJ45" s="17">
        <f t="shared" si="19"/>
        <v>0</v>
      </c>
      <c r="AK45" s="17">
        <f t="shared" si="20"/>
        <v>0</v>
      </c>
      <c r="AL45" s="17"/>
      <c r="AM45" s="7" t="s">
        <v>16</v>
      </c>
      <c r="AN45" s="7" t="s">
        <v>17</v>
      </c>
      <c r="AO45" s="7"/>
      <c r="AP45" s="7"/>
    </row>
    <row r="46" spans="1:42" ht="18.75" x14ac:dyDescent="0.3">
      <c r="A46">
        <v>1940</v>
      </c>
      <c r="B46">
        <v>45.9</v>
      </c>
      <c r="C46">
        <v>1.63</v>
      </c>
      <c r="D46">
        <v>3.5399999999999898</v>
      </c>
      <c r="E46">
        <v>5.7</v>
      </c>
      <c r="F46">
        <v>20.149999999999899</v>
      </c>
      <c r="G46">
        <v>8.27</v>
      </c>
      <c r="H46">
        <v>1.83</v>
      </c>
      <c r="I46">
        <v>2.02</v>
      </c>
      <c r="J46">
        <v>2.6</v>
      </c>
      <c r="K46">
        <v>0</v>
      </c>
      <c r="L46">
        <v>0</v>
      </c>
      <c r="M46">
        <v>0</v>
      </c>
      <c r="N46">
        <v>0</v>
      </c>
      <c r="O46">
        <v>0</v>
      </c>
      <c r="P46">
        <f t="shared" si="13"/>
        <v>10.1</v>
      </c>
      <c r="Q46">
        <f t="shared" si="14"/>
        <v>4.62</v>
      </c>
      <c r="R46">
        <f t="shared" si="15"/>
        <v>0</v>
      </c>
      <c r="S46">
        <f t="shared" si="16"/>
        <v>4.62</v>
      </c>
      <c r="U46" s="17">
        <f t="shared" si="21"/>
        <v>3.5511982570806101E-2</v>
      </c>
      <c r="V46" s="17">
        <f t="shared" si="22"/>
        <v>7.7124183006535729E-2</v>
      </c>
      <c r="W46" s="17">
        <f t="shared" si="23"/>
        <v>0.12418300653594772</v>
      </c>
      <c r="X46" s="17">
        <f t="shared" si="24"/>
        <v>0.43899782135076032</v>
      </c>
      <c r="Y46" s="17">
        <f t="shared" si="25"/>
        <v>0.18017429193899781</v>
      </c>
      <c r="Z46" s="17">
        <f t="shared" si="26"/>
        <v>3.9869281045751638E-2</v>
      </c>
      <c r="AA46" s="17">
        <f t="shared" si="27"/>
        <v>4.400871459694989E-2</v>
      </c>
      <c r="AB46" s="17">
        <f t="shared" si="28"/>
        <v>5.6644880174291944E-2</v>
      </c>
      <c r="AC46" s="17">
        <f t="shared" si="29"/>
        <v>0</v>
      </c>
      <c r="AD46" s="17">
        <f t="shared" si="30"/>
        <v>0</v>
      </c>
      <c r="AE46" s="17">
        <f t="shared" si="31"/>
        <v>0</v>
      </c>
      <c r="AF46" s="17">
        <f t="shared" si="32"/>
        <v>0</v>
      </c>
      <c r="AG46" s="17">
        <f t="shared" si="33"/>
        <v>0</v>
      </c>
      <c r="AH46" s="17">
        <f t="shared" si="17"/>
        <v>0.22004357298474944</v>
      </c>
      <c r="AI46" s="17">
        <f t="shared" si="18"/>
        <v>0.10065359477124183</v>
      </c>
      <c r="AJ46" s="17">
        <f t="shared" si="19"/>
        <v>0</v>
      </c>
      <c r="AK46" s="17">
        <f t="shared" si="20"/>
        <v>0.10065359477124183</v>
      </c>
      <c r="AL46" s="17"/>
      <c r="AM46" s="7" t="s">
        <v>0</v>
      </c>
      <c r="AN46" s="7" t="s">
        <v>18</v>
      </c>
      <c r="AO46" s="7"/>
      <c r="AP46" s="7"/>
    </row>
    <row r="47" spans="1:42" ht="18.75" x14ac:dyDescent="0.3">
      <c r="A47">
        <v>1941</v>
      </c>
      <c r="B47">
        <v>36.14</v>
      </c>
      <c r="C47">
        <v>1.55</v>
      </c>
      <c r="D47">
        <v>3.38</v>
      </c>
      <c r="E47">
        <v>5.6899999999999897</v>
      </c>
      <c r="F47">
        <v>13.569999999999901</v>
      </c>
      <c r="G47">
        <v>8.3800000000000008</v>
      </c>
      <c r="H47">
        <v>3.38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f t="shared" si="13"/>
        <v>11.760000000000002</v>
      </c>
      <c r="Q47">
        <f t="shared" si="14"/>
        <v>0</v>
      </c>
      <c r="R47">
        <f t="shared" si="15"/>
        <v>0</v>
      </c>
      <c r="S47">
        <f t="shared" si="16"/>
        <v>0</v>
      </c>
      <c r="U47" s="17">
        <f t="shared" si="21"/>
        <v>4.2888765910348646E-2</v>
      </c>
      <c r="V47" s="17">
        <f t="shared" si="22"/>
        <v>9.3525179856115109E-2</v>
      </c>
      <c r="W47" s="17">
        <f t="shared" si="23"/>
        <v>0.15744327614831183</v>
      </c>
      <c r="X47" s="17">
        <f t="shared" si="24"/>
        <v>0.37548422800221087</v>
      </c>
      <c r="Y47" s="17">
        <f t="shared" si="25"/>
        <v>0.23187603763143333</v>
      </c>
      <c r="Z47" s="17">
        <f t="shared" si="26"/>
        <v>9.3525179856115109E-2</v>
      </c>
      <c r="AA47" s="17">
        <f t="shared" si="27"/>
        <v>0</v>
      </c>
      <c r="AB47" s="17">
        <f t="shared" si="28"/>
        <v>0</v>
      </c>
      <c r="AC47" s="17">
        <f t="shared" si="29"/>
        <v>0</v>
      </c>
      <c r="AD47" s="17">
        <f t="shared" si="30"/>
        <v>0</v>
      </c>
      <c r="AE47" s="17">
        <f t="shared" si="31"/>
        <v>0</v>
      </c>
      <c r="AF47" s="17">
        <f t="shared" si="32"/>
        <v>0</v>
      </c>
      <c r="AG47" s="17">
        <f t="shared" si="33"/>
        <v>0</v>
      </c>
      <c r="AH47" s="17">
        <f t="shared" si="17"/>
        <v>0.32540121748754847</v>
      </c>
      <c r="AI47" s="17">
        <f t="shared" si="18"/>
        <v>0</v>
      </c>
      <c r="AJ47" s="17">
        <f t="shared" si="19"/>
        <v>0</v>
      </c>
      <c r="AK47" s="17">
        <f t="shared" si="20"/>
        <v>0</v>
      </c>
      <c r="AL47" s="17"/>
      <c r="AM47" s="7" t="s">
        <v>1</v>
      </c>
      <c r="AN47" s="7" t="s">
        <v>19</v>
      </c>
      <c r="AO47" s="7"/>
      <c r="AP47" s="7"/>
    </row>
    <row r="48" spans="1:42" ht="18.75" x14ac:dyDescent="0.3">
      <c r="A48">
        <v>1942</v>
      </c>
      <c r="B48">
        <v>50.28</v>
      </c>
      <c r="C48">
        <v>1.19</v>
      </c>
      <c r="D48">
        <v>3.17</v>
      </c>
      <c r="E48">
        <v>6.89</v>
      </c>
      <c r="F48">
        <v>21.309999999999899</v>
      </c>
      <c r="G48">
        <v>11.09</v>
      </c>
      <c r="H48">
        <v>3.42</v>
      </c>
      <c r="I48">
        <v>0</v>
      </c>
      <c r="J48">
        <v>2.95</v>
      </c>
      <c r="K48">
        <v>0</v>
      </c>
      <c r="L48">
        <v>0</v>
      </c>
      <c r="M48">
        <v>0</v>
      </c>
      <c r="N48">
        <v>0</v>
      </c>
      <c r="O48">
        <v>0</v>
      </c>
      <c r="P48">
        <f t="shared" si="13"/>
        <v>14.51</v>
      </c>
      <c r="Q48">
        <f t="shared" si="14"/>
        <v>2.95</v>
      </c>
      <c r="R48">
        <f t="shared" si="15"/>
        <v>0</v>
      </c>
      <c r="S48">
        <f t="shared" si="16"/>
        <v>2.95</v>
      </c>
      <c r="U48" s="17">
        <f t="shared" si="21"/>
        <v>2.3667462211614955E-2</v>
      </c>
      <c r="V48" s="17">
        <f t="shared" si="22"/>
        <v>6.3046937151949076E-2</v>
      </c>
      <c r="W48" s="17">
        <f t="shared" si="23"/>
        <v>0.13703261734287986</v>
      </c>
      <c r="X48" s="17">
        <f t="shared" si="24"/>
        <v>0.42382657120127087</v>
      </c>
      <c r="Y48" s="17">
        <f t="shared" si="25"/>
        <v>0.2205648369132856</v>
      </c>
      <c r="Z48" s="17">
        <f t="shared" si="26"/>
        <v>6.8019093078758947E-2</v>
      </c>
      <c r="AA48" s="17">
        <f t="shared" si="27"/>
        <v>0</v>
      </c>
      <c r="AB48" s="17">
        <f t="shared" si="28"/>
        <v>5.8671439936356408E-2</v>
      </c>
      <c r="AC48" s="17">
        <f t="shared" si="29"/>
        <v>0</v>
      </c>
      <c r="AD48" s="17">
        <f t="shared" si="30"/>
        <v>0</v>
      </c>
      <c r="AE48" s="17">
        <f t="shared" si="31"/>
        <v>0</v>
      </c>
      <c r="AF48" s="17">
        <f t="shared" si="32"/>
        <v>0</v>
      </c>
      <c r="AG48" s="17">
        <f t="shared" si="33"/>
        <v>0</v>
      </c>
      <c r="AH48" s="17">
        <f t="shared" si="17"/>
        <v>0.28858392999204452</v>
      </c>
      <c r="AI48" s="17">
        <f t="shared" si="18"/>
        <v>5.8671439936356408E-2</v>
      </c>
      <c r="AJ48" s="17">
        <f t="shared" si="19"/>
        <v>0</v>
      </c>
      <c r="AK48" s="17">
        <f t="shared" si="20"/>
        <v>5.8671439936356408E-2</v>
      </c>
      <c r="AL48" s="17"/>
      <c r="AM48" s="7" t="s">
        <v>2</v>
      </c>
      <c r="AN48" s="7" t="s">
        <v>20</v>
      </c>
      <c r="AO48" s="7"/>
      <c r="AP48" s="7"/>
    </row>
    <row r="49" spans="1:42" ht="18.75" x14ac:dyDescent="0.3">
      <c r="A49">
        <v>1943</v>
      </c>
      <c r="B49">
        <v>36.71</v>
      </c>
      <c r="C49">
        <v>1.74</v>
      </c>
      <c r="D49">
        <v>4.1199999999999903</v>
      </c>
      <c r="E49">
        <v>3.11</v>
      </c>
      <c r="F49">
        <v>12.57</v>
      </c>
      <c r="G49">
        <v>11.64</v>
      </c>
      <c r="H49">
        <v>3.25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f t="shared" si="13"/>
        <v>14.89</v>
      </c>
      <c r="Q49">
        <f t="shared" si="14"/>
        <v>0</v>
      </c>
      <c r="R49">
        <f t="shared" si="15"/>
        <v>0</v>
      </c>
      <c r="S49">
        <f t="shared" si="16"/>
        <v>0</v>
      </c>
      <c r="U49" s="17">
        <f t="shared" si="21"/>
        <v>4.7398529011168616E-2</v>
      </c>
      <c r="V49" s="17">
        <f t="shared" si="22"/>
        <v>0.1122309997275944</v>
      </c>
      <c r="W49" s="17">
        <f t="shared" si="23"/>
        <v>8.4718060473985279E-2</v>
      </c>
      <c r="X49" s="17">
        <f t="shared" si="24"/>
        <v>0.34241351130482156</v>
      </c>
      <c r="Y49" s="17">
        <f t="shared" si="25"/>
        <v>0.31707981476436942</v>
      </c>
      <c r="Z49" s="17">
        <f t="shared" si="26"/>
        <v>8.8531735222010355E-2</v>
      </c>
      <c r="AA49" s="17">
        <f t="shared" si="27"/>
        <v>0</v>
      </c>
      <c r="AB49" s="17">
        <f t="shared" si="28"/>
        <v>0</v>
      </c>
      <c r="AC49" s="17">
        <f t="shared" si="29"/>
        <v>0</v>
      </c>
      <c r="AD49" s="17">
        <f t="shared" si="30"/>
        <v>0</v>
      </c>
      <c r="AE49" s="17">
        <f t="shared" si="31"/>
        <v>0</v>
      </c>
      <c r="AF49" s="17">
        <f t="shared" si="32"/>
        <v>0</v>
      </c>
      <c r="AG49" s="17">
        <f t="shared" si="33"/>
        <v>0</v>
      </c>
      <c r="AH49" s="17">
        <f t="shared" si="17"/>
        <v>0.40561154998637977</v>
      </c>
      <c r="AI49" s="17">
        <f t="shared" si="18"/>
        <v>0</v>
      </c>
      <c r="AJ49" s="17">
        <f t="shared" si="19"/>
        <v>0</v>
      </c>
      <c r="AK49" s="17">
        <f t="shared" si="20"/>
        <v>0</v>
      </c>
      <c r="AL49" s="17"/>
      <c r="AM49" s="7" t="s">
        <v>3</v>
      </c>
      <c r="AN49" s="7" t="s">
        <v>21</v>
      </c>
      <c r="AO49" s="7"/>
      <c r="AP49" s="7"/>
    </row>
    <row r="50" spans="1:42" ht="18.75" x14ac:dyDescent="0.3">
      <c r="A50">
        <v>1944</v>
      </c>
      <c r="B50">
        <v>50.54</v>
      </c>
      <c r="C50">
        <v>1.81</v>
      </c>
      <c r="D50">
        <v>3.36</v>
      </c>
      <c r="E50">
        <v>5.43</v>
      </c>
      <c r="F50">
        <v>10.83</v>
      </c>
      <c r="G50">
        <v>8.52</v>
      </c>
      <c r="H50">
        <v>4.79</v>
      </c>
      <c r="I50">
        <v>6.8</v>
      </c>
      <c r="J50">
        <v>0</v>
      </c>
      <c r="K50">
        <v>3.58</v>
      </c>
      <c r="L50">
        <v>0</v>
      </c>
      <c r="M50">
        <v>5.25</v>
      </c>
      <c r="N50">
        <v>0</v>
      </c>
      <c r="O50">
        <v>0</v>
      </c>
      <c r="P50">
        <f t="shared" si="13"/>
        <v>13.309999999999999</v>
      </c>
      <c r="Q50">
        <f t="shared" si="14"/>
        <v>10.379999999999999</v>
      </c>
      <c r="R50">
        <f t="shared" si="15"/>
        <v>5.25</v>
      </c>
      <c r="S50">
        <f t="shared" si="16"/>
        <v>15.629999999999999</v>
      </c>
      <c r="U50" s="17">
        <f t="shared" si="21"/>
        <v>3.5813217253660469E-2</v>
      </c>
      <c r="V50" s="17">
        <f t="shared" si="22"/>
        <v>6.6481994459833799E-2</v>
      </c>
      <c r="W50" s="17">
        <f t="shared" si="23"/>
        <v>0.1074396517609814</v>
      </c>
      <c r="X50" s="17">
        <f t="shared" si="24"/>
        <v>0.2142857142857143</v>
      </c>
      <c r="Y50" s="17">
        <f t="shared" si="25"/>
        <v>0.16857934309457856</v>
      </c>
      <c r="Z50" s="17">
        <f t="shared" si="26"/>
        <v>9.4776414721013058E-2</v>
      </c>
      <c r="AA50" s="17">
        <f t="shared" si="27"/>
        <v>0.13454689354966362</v>
      </c>
      <c r="AB50" s="17">
        <f t="shared" si="28"/>
        <v>0</v>
      </c>
      <c r="AC50" s="17">
        <f t="shared" si="29"/>
        <v>7.0834982192322912E-2</v>
      </c>
      <c r="AD50" s="17">
        <f t="shared" si="30"/>
        <v>0</v>
      </c>
      <c r="AE50" s="17">
        <f t="shared" si="31"/>
        <v>0.10387811634349031</v>
      </c>
      <c r="AF50" s="17">
        <f t="shared" si="32"/>
        <v>0</v>
      </c>
      <c r="AG50" s="17">
        <f t="shared" si="33"/>
        <v>0</v>
      </c>
      <c r="AH50" s="17">
        <f t="shared" si="17"/>
        <v>0.26335575781559162</v>
      </c>
      <c r="AI50" s="17">
        <f t="shared" si="18"/>
        <v>0.20538187574198652</v>
      </c>
      <c r="AJ50" s="17">
        <f t="shared" si="19"/>
        <v>0.10387811634349031</v>
      </c>
      <c r="AK50" s="17">
        <f t="shared" si="20"/>
        <v>0.30925999208547683</v>
      </c>
      <c r="AL50" s="17"/>
      <c r="AM50" s="7" t="s">
        <v>4</v>
      </c>
      <c r="AN50" s="7" t="s">
        <v>22</v>
      </c>
      <c r="AO50" s="7"/>
      <c r="AP50" s="7"/>
    </row>
    <row r="51" spans="1:42" ht="18.75" x14ac:dyDescent="0.3">
      <c r="A51">
        <v>1945</v>
      </c>
      <c r="B51">
        <v>51.96</v>
      </c>
      <c r="C51">
        <v>1.58</v>
      </c>
      <c r="D51">
        <v>5.43</v>
      </c>
      <c r="E51">
        <v>11.67</v>
      </c>
      <c r="F51">
        <v>17.27</v>
      </c>
      <c r="G51">
        <v>8.3000000000000007</v>
      </c>
      <c r="H51">
        <v>1.81</v>
      </c>
      <c r="I51">
        <v>2.2799999999999998</v>
      </c>
      <c r="J51">
        <v>0</v>
      </c>
      <c r="K51">
        <v>3.4</v>
      </c>
      <c r="L51">
        <v>0</v>
      </c>
      <c r="M51">
        <v>0</v>
      </c>
      <c r="N51">
        <v>0</v>
      </c>
      <c r="O51">
        <v>0</v>
      </c>
      <c r="P51">
        <f t="shared" si="13"/>
        <v>10.110000000000001</v>
      </c>
      <c r="Q51">
        <f t="shared" si="14"/>
        <v>5.68</v>
      </c>
      <c r="R51">
        <f t="shared" si="15"/>
        <v>0</v>
      </c>
      <c r="S51">
        <f t="shared" si="16"/>
        <v>5.68</v>
      </c>
      <c r="U51" s="17">
        <f t="shared" si="21"/>
        <v>3.0408006158583526E-2</v>
      </c>
      <c r="V51" s="17">
        <f t="shared" si="22"/>
        <v>0.10450346420323325</v>
      </c>
      <c r="W51" s="17">
        <f t="shared" si="23"/>
        <v>0.22459584295612009</v>
      </c>
      <c r="X51" s="17">
        <f t="shared" si="24"/>
        <v>0.33237105465742878</v>
      </c>
      <c r="Y51" s="17">
        <f t="shared" si="25"/>
        <v>0.15973826020015397</v>
      </c>
      <c r="Z51" s="17">
        <f t="shared" si="26"/>
        <v>3.4834488067744418E-2</v>
      </c>
      <c r="AA51" s="17">
        <f t="shared" si="27"/>
        <v>4.3879907621247112E-2</v>
      </c>
      <c r="AB51" s="17">
        <f t="shared" si="28"/>
        <v>0</v>
      </c>
      <c r="AC51" s="17">
        <f t="shared" si="29"/>
        <v>6.5434949961508851E-2</v>
      </c>
      <c r="AD51" s="17">
        <f t="shared" si="30"/>
        <v>0</v>
      </c>
      <c r="AE51" s="17">
        <f t="shared" si="31"/>
        <v>0</v>
      </c>
      <c r="AF51" s="17">
        <f t="shared" si="32"/>
        <v>0</v>
      </c>
      <c r="AG51" s="17">
        <f t="shared" si="33"/>
        <v>0</v>
      </c>
      <c r="AH51" s="17">
        <f t="shared" si="17"/>
        <v>0.19457274826789839</v>
      </c>
      <c r="AI51" s="17">
        <f t="shared" si="18"/>
        <v>0.10931485758275597</v>
      </c>
      <c r="AJ51" s="17">
        <f t="shared" si="19"/>
        <v>0</v>
      </c>
      <c r="AK51" s="17">
        <f t="shared" si="20"/>
        <v>0.10931485758275597</v>
      </c>
      <c r="AL51" s="17"/>
      <c r="AM51" s="7" t="s">
        <v>23</v>
      </c>
      <c r="AN51" s="7" t="s">
        <v>37</v>
      </c>
      <c r="AO51" s="7"/>
      <c r="AP51" s="7"/>
    </row>
    <row r="52" spans="1:42" ht="18.75" x14ac:dyDescent="0.3">
      <c r="A52">
        <v>1946</v>
      </c>
      <c r="B52">
        <v>38.380000000000003</v>
      </c>
      <c r="C52">
        <v>1.74</v>
      </c>
      <c r="D52">
        <v>4.5</v>
      </c>
      <c r="E52">
        <v>4.3299999999999903</v>
      </c>
      <c r="F52">
        <v>10.99</v>
      </c>
      <c r="G52">
        <v>3.95</v>
      </c>
      <c r="H52">
        <v>5.14</v>
      </c>
      <c r="I52">
        <v>0</v>
      </c>
      <c r="J52">
        <v>0</v>
      </c>
      <c r="K52">
        <v>3.35</v>
      </c>
      <c r="L52">
        <v>4.1500000000000004</v>
      </c>
      <c r="M52">
        <v>0</v>
      </c>
      <c r="N52">
        <v>0</v>
      </c>
      <c r="O52">
        <v>0</v>
      </c>
      <c r="P52">
        <f t="shared" si="13"/>
        <v>9.09</v>
      </c>
      <c r="Q52">
        <f t="shared" si="14"/>
        <v>3.35</v>
      </c>
      <c r="R52">
        <f t="shared" si="15"/>
        <v>4.1500000000000004</v>
      </c>
      <c r="S52">
        <f t="shared" si="16"/>
        <v>7.5</v>
      </c>
      <c r="U52" s="17">
        <f t="shared" si="21"/>
        <v>4.5336112558624284E-2</v>
      </c>
      <c r="V52" s="17">
        <f t="shared" si="22"/>
        <v>0.11724856696195934</v>
      </c>
      <c r="W52" s="17">
        <f t="shared" si="23"/>
        <v>0.1128191766545073</v>
      </c>
      <c r="X52" s="17">
        <f t="shared" si="24"/>
        <v>0.2863470557582074</v>
      </c>
      <c r="Y52" s="17">
        <f t="shared" si="25"/>
        <v>0.10291818655549766</v>
      </c>
      <c r="Z52" s="17">
        <f t="shared" si="26"/>
        <v>0.13392391870766021</v>
      </c>
      <c r="AA52" s="17">
        <f t="shared" si="27"/>
        <v>0</v>
      </c>
      <c r="AB52" s="17">
        <f t="shared" si="28"/>
        <v>0</v>
      </c>
      <c r="AC52" s="17">
        <f t="shared" si="29"/>
        <v>8.7285044293903075E-2</v>
      </c>
      <c r="AD52" s="17">
        <f t="shared" si="30"/>
        <v>0.10812923397602918</v>
      </c>
      <c r="AE52" s="17">
        <f t="shared" si="31"/>
        <v>0</v>
      </c>
      <c r="AF52" s="17">
        <f t="shared" si="32"/>
        <v>0</v>
      </c>
      <c r="AG52" s="17">
        <f t="shared" si="33"/>
        <v>0</v>
      </c>
      <c r="AH52" s="17">
        <f t="shared" si="17"/>
        <v>0.23684210526315785</v>
      </c>
      <c r="AI52" s="17">
        <f t="shared" si="18"/>
        <v>8.7285044293903075E-2</v>
      </c>
      <c r="AJ52" s="17">
        <f t="shared" si="19"/>
        <v>0.10812923397602918</v>
      </c>
      <c r="AK52" s="17">
        <f t="shared" si="20"/>
        <v>0.19541427826993224</v>
      </c>
      <c r="AL52" s="17"/>
      <c r="AM52" s="7" t="s">
        <v>25</v>
      </c>
      <c r="AN52" s="7" t="s">
        <v>38</v>
      </c>
      <c r="AO52" s="7"/>
      <c r="AP52" s="7"/>
    </row>
    <row r="53" spans="1:42" x14ac:dyDescent="0.25">
      <c r="A53">
        <v>1947</v>
      </c>
      <c r="B53">
        <v>44.78</v>
      </c>
      <c r="C53">
        <v>1.6</v>
      </c>
      <c r="D53">
        <v>5.14</v>
      </c>
      <c r="E53">
        <v>4.3</v>
      </c>
      <c r="F53">
        <v>17.849999999999898</v>
      </c>
      <c r="G53">
        <v>5.9499999999999904</v>
      </c>
      <c r="H53">
        <v>3.23</v>
      </c>
      <c r="I53">
        <v>6.47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f t="shared" si="13"/>
        <v>9.1799999999999908</v>
      </c>
      <c r="Q53">
        <f t="shared" si="14"/>
        <v>6.47</v>
      </c>
      <c r="R53">
        <f t="shared" si="15"/>
        <v>0</v>
      </c>
      <c r="S53">
        <f t="shared" si="16"/>
        <v>6.47</v>
      </c>
      <c r="U53" s="17">
        <f t="shared" si="21"/>
        <v>3.5730236712818227E-2</v>
      </c>
      <c r="V53" s="17">
        <f t="shared" si="22"/>
        <v>0.11478338543992853</v>
      </c>
      <c r="W53" s="17">
        <f t="shared" si="23"/>
        <v>9.6025011165698962E-2</v>
      </c>
      <c r="X53" s="17">
        <f t="shared" si="24"/>
        <v>0.39861545332737602</v>
      </c>
      <c r="Y53" s="17">
        <f t="shared" si="25"/>
        <v>0.13287181777579254</v>
      </c>
      <c r="Z53" s="17">
        <f t="shared" si="26"/>
        <v>7.213041536400179E-2</v>
      </c>
      <c r="AA53" s="17">
        <f t="shared" si="27"/>
        <v>0.14448414470745868</v>
      </c>
      <c r="AB53" s="17">
        <f t="shared" si="28"/>
        <v>0</v>
      </c>
      <c r="AC53" s="17">
        <f t="shared" si="29"/>
        <v>0</v>
      </c>
      <c r="AD53" s="17">
        <f t="shared" si="30"/>
        <v>0</v>
      </c>
      <c r="AE53" s="17">
        <f t="shared" si="31"/>
        <v>0</v>
      </c>
      <c r="AF53" s="17">
        <f t="shared" si="32"/>
        <v>0</v>
      </c>
      <c r="AG53" s="17">
        <f t="shared" si="33"/>
        <v>0</v>
      </c>
      <c r="AH53" s="17">
        <f t="shared" si="17"/>
        <v>0.20500223313979432</v>
      </c>
      <c r="AI53" s="17">
        <f t="shared" si="18"/>
        <v>0.14448414470745868</v>
      </c>
      <c r="AJ53" s="17">
        <f t="shared" si="19"/>
        <v>0</v>
      </c>
      <c r="AK53" s="17">
        <f t="shared" si="20"/>
        <v>0.14448414470745868</v>
      </c>
      <c r="AL53" s="17"/>
    </row>
    <row r="54" spans="1:42" x14ac:dyDescent="0.25">
      <c r="A54">
        <v>1948</v>
      </c>
      <c r="B54">
        <v>49.58</v>
      </c>
      <c r="C54">
        <v>2.42</v>
      </c>
      <c r="D54">
        <v>4.45</v>
      </c>
      <c r="E54">
        <v>11.909999999999901</v>
      </c>
      <c r="F54">
        <v>12.34</v>
      </c>
      <c r="G54">
        <v>10.17</v>
      </c>
      <c r="H54">
        <v>4.9800000000000004</v>
      </c>
      <c r="I54">
        <v>0</v>
      </c>
      <c r="J54">
        <v>0</v>
      </c>
      <c r="K54">
        <v>3.1</v>
      </c>
      <c r="L54">
        <v>0</v>
      </c>
      <c r="M54">
        <v>0</v>
      </c>
      <c r="N54">
        <v>0</v>
      </c>
      <c r="O54">
        <v>0</v>
      </c>
      <c r="P54">
        <f t="shared" si="13"/>
        <v>15.15</v>
      </c>
      <c r="Q54">
        <f t="shared" si="14"/>
        <v>3.1</v>
      </c>
      <c r="R54">
        <f t="shared" si="15"/>
        <v>0</v>
      </c>
      <c r="S54">
        <f t="shared" si="16"/>
        <v>3.1</v>
      </c>
      <c r="U54" s="17">
        <f t="shared" si="21"/>
        <v>4.8810004033884628E-2</v>
      </c>
      <c r="V54" s="17">
        <f t="shared" si="22"/>
        <v>8.9753933037515138E-2</v>
      </c>
      <c r="W54" s="17">
        <f t="shared" si="23"/>
        <v>0.24021782977006659</v>
      </c>
      <c r="X54" s="17">
        <f t="shared" si="24"/>
        <v>0.24889068172650264</v>
      </c>
      <c r="Y54" s="17">
        <f t="shared" si="25"/>
        <v>0.20512303348124244</v>
      </c>
      <c r="Z54" s="17">
        <f t="shared" si="26"/>
        <v>0.10044372730939896</v>
      </c>
      <c r="AA54" s="17">
        <f t="shared" si="27"/>
        <v>0</v>
      </c>
      <c r="AB54" s="17">
        <f t="shared" si="28"/>
        <v>0</v>
      </c>
      <c r="AC54" s="17">
        <f t="shared" si="29"/>
        <v>6.2525211778943129E-2</v>
      </c>
      <c r="AD54" s="17">
        <f t="shared" si="30"/>
        <v>0</v>
      </c>
      <c r="AE54" s="17">
        <f t="shared" si="31"/>
        <v>0</v>
      </c>
      <c r="AF54" s="17">
        <f t="shared" si="32"/>
        <v>0</v>
      </c>
      <c r="AG54" s="17">
        <f t="shared" si="33"/>
        <v>0</v>
      </c>
      <c r="AH54" s="17">
        <f t="shared" si="17"/>
        <v>0.30556676079064138</v>
      </c>
      <c r="AI54" s="17">
        <f t="shared" si="18"/>
        <v>6.2525211778943129E-2</v>
      </c>
      <c r="AJ54" s="17">
        <f t="shared" si="19"/>
        <v>0</v>
      </c>
      <c r="AK54" s="17">
        <f t="shared" si="20"/>
        <v>6.2525211778943129E-2</v>
      </c>
      <c r="AL54" s="17"/>
    </row>
    <row r="55" spans="1:42" x14ac:dyDescent="0.25">
      <c r="A55">
        <v>1949</v>
      </c>
      <c r="B55">
        <v>39.08</v>
      </c>
      <c r="C55">
        <v>1.73</v>
      </c>
      <c r="D55">
        <v>3.22</v>
      </c>
      <c r="E55">
        <v>7.6199999999999903</v>
      </c>
      <c r="F55">
        <v>17.279999999999902</v>
      </c>
      <c r="G55">
        <v>2.0699999999999998</v>
      </c>
      <c r="H55">
        <v>4.96</v>
      </c>
      <c r="I55">
        <v>2.0299999999999998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f t="shared" si="13"/>
        <v>7.0299999999999994</v>
      </c>
      <c r="Q55">
        <f t="shared" si="14"/>
        <v>2.0299999999999998</v>
      </c>
      <c r="R55">
        <f t="shared" si="15"/>
        <v>0</v>
      </c>
      <c r="S55">
        <f t="shared" si="16"/>
        <v>2.0299999999999998</v>
      </c>
      <c r="U55" s="17">
        <f t="shared" si="21"/>
        <v>4.4268167860798367E-2</v>
      </c>
      <c r="V55" s="17">
        <f t="shared" si="22"/>
        <v>8.2395087001023548E-2</v>
      </c>
      <c r="W55" s="17">
        <f t="shared" si="23"/>
        <v>0.19498464687819833</v>
      </c>
      <c r="X55" s="17">
        <f t="shared" si="24"/>
        <v>0.4421699078812667</v>
      </c>
      <c r="Y55" s="17">
        <f t="shared" si="25"/>
        <v>5.2968270214943707E-2</v>
      </c>
      <c r="Z55" s="17">
        <f t="shared" si="26"/>
        <v>0.12691914022517911</v>
      </c>
      <c r="AA55" s="17">
        <f t="shared" si="27"/>
        <v>5.194472876151484E-2</v>
      </c>
      <c r="AB55" s="17">
        <f t="shared" si="28"/>
        <v>0</v>
      </c>
      <c r="AC55" s="17">
        <f t="shared" si="29"/>
        <v>0</v>
      </c>
      <c r="AD55" s="17">
        <f t="shared" si="30"/>
        <v>0</v>
      </c>
      <c r="AE55" s="17">
        <f t="shared" si="31"/>
        <v>0</v>
      </c>
      <c r="AF55" s="17">
        <f t="shared" si="32"/>
        <v>0</v>
      </c>
      <c r="AG55" s="17">
        <f t="shared" si="33"/>
        <v>0</v>
      </c>
      <c r="AH55" s="17">
        <f t="shared" si="17"/>
        <v>0.17988741044012282</v>
      </c>
      <c r="AI55" s="17">
        <f t="shared" si="18"/>
        <v>5.194472876151484E-2</v>
      </c>
      <c r="AJ55" s="17">
        <f t="shared" si="19"/>
        <v>0</v>
      </c>
      <c r="AK55" s="17">
        <f t="shared" si="20"/>
        <v>5.194472876151484E-2</v>
      </c>
      <c r="AL55" s="17"/>
    </row>
    <row r="56" spans="1:42" x14ac:dyDescent="0.25">
      <c r="A56">
        <v>1950</v>
      </c>
      <c r="B56">
        <v>39.880000000000003</v>
      </c>
      <c r="C56">
        <v>2.2200000000000002</v>
      </c>
      <c r="D56">
        <v>5.53</v>
      </c>
      <c r="E56">
        <v>5.96</v>
      </c>
      <c r="F56">
        <v>12.69</v>
      </c>
      <c r="G56">
        <v>3.43</v>
      </c>
      <c r="H56">
        <v>3.62</v>
      </c>
      <c r="I56">
        <v>2.25</v>
      </c>
      <c r="J56">
        <v>0</v>
      </c>
      <c r="K56">
        <v>3.9</v>
      </c>
      <c r="L56">
        <v>0</v>
      </c>
      <c r="M56">
        <v>0</v>
      </c>
      <c r="N56">
        <v>0</v>
      </c>
      <c r="O56">
        <v>0</v>
      </c>
      <c r="P56">
        <f t="shared" si="13"/>
        <v>7.0500000000000007</v>
      </c>
      <c r="Q56">
        <f t="shared" si="14"/>
        <v>6.15</v>
      </c>
      <c r="R56">
        <f t="shared" si="15"/>
        <v>0</v>
      </c>
      <c r="S56">
        <f t="shared" si="16"/>
        <v>6.15</v>
      </c>
      <c r="U56" s="17">
        <f t="shared" si="21"/>
        <v>5.5667001003009031E-2</v>
      </c>
      <c r="V56" s="17">
        <f t="shared" si="22"/>
        <v>0.13866599799398194</v>
      </c>
      <c r="W56" s="17">
        <f t="shared" si="23"/>
        <v>0.14944834503510532</v>
      </c>
      <c r="X56" s="17">
        <f t="shared" si="24"/>
        <v>0.31820461384152454</v>
      </c>
      <c r="Y56" s="17">
        <f t="shared" si="25"/>
        <v>8.6008024072216652E-2</v>
      </c>
      <c r="Z56" s="17">
        <f t="shared" si="26"/>
        <v>9.0772316950852555E-2</v>
      </c>
      <c r="AA56" s="17">
        <f t="shared" si="27"/>
        <v>5.6419257773319957E-2</v>
      </c>
      <c r="AB56" s="17">
        <f t="shared" si="28"/>
        <v>0</v>
      </c>
      <c r="AC56" s="17">
        <f t="shared" si="29"/>
        <v>9.7793380140421257E-2</v>
      </c>
      <c r="AD56" s="17">
        <f t="shared" si="30"/>
        <v>0</v>
      </c>
      <c r="AE56" s="17">
        <f t="shared" si="31"/>
        <v>0</v>
      </c>
      <c r="AF56" s="17">
        <f t="shared" si="32"/>
        <v>0</v>
      </c>
      <c r="AG56" s="17">
        <f t="shared" si="33"/>
        <v>0</v>
      </c>
      <c r="AH56" s="17">
        <f t="shared" si="17"/>
        <v>0.17678034102306922</v>
      </c>
      <c r="AI56" s="17">
        <f t="shared" si="18"/>
        <v>0.15421263791374121</v>
      </c>
      <c r="AJ56" s="17">
        <f t="shared" si="19"/>
        <v>0</v>
      </c>
      <c r="AK56" s="17">
        <f t="shared" si="20"/>
        <v>0.15421263791374121</v>
      </c>
      <c r="AL56" s="17"/>
    </row>
    <row r="57" spans="1:42" x14ac:dyDescent="0.25">
      <c r="A57">
        <v>1951</v>
      </c>
      <c r="B57">
        <v>47.26</v>
      </c>
      <c r="C57">
        <v>2.15</v>
      </c>
      <c r="D57">
        <v>3.34</v>
      </c>
      <c r="E57">
        <v>8.1199999999999992</v>
      </c>
      <c r="F57">
        <v>13.35</v>
      </c>
      <c r="G57">
        <v>14.45</v>
      </c>
      <c r="H57">
        <v>3.46</v>
      </c>
      <c r="I57">
        <v>2.2999999999999998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f t="shared" si="13"/>
        <v>17.91</v>
      </c>
      <c r="Q57">
        <f t="shared" si="14"/>
        <v>2.2999999999999998</v>
      </c>
      <c r="R57">
        <f t="shared" si="15"/>
        <v>0</v>
      </c>
      <c r="S57">
        <f t="shared" si="16"/>
        <v>2.2999999999999998</v>
      </c>
      <c r="U57" s="17">
        <f t="shared" si="21"/>
        <v>4.549301735082522E-2</v>
      </c>
      <c r="V57" s="17">
        <f t="shared" si="22"/>
        <v>7.0672873465933136E-2</v>
      </c>
      <c r="W57" s="17">
        <f t="shared" si="23"/>
        <v>0.17181548878544223</v>
      </c>
      <c r="X57" s="17">
        <f t="shared" si="24"/>
        <v>0.2824798984341938</v>
      </c>
      <c r="Y57" s="17">
        <f t="shared" si="25"/>
        <v>0.30575539568345322</v>
      </c>
      <c r="Z57" s="17">
        <f t="shared" si="26"/>
        <v>7.3212018620397806E-2</v>
      </c>
      <c r="AA57" s="17">
        <f t="shared" si="27"/>
        <v>4.8666948793906047E-2</v>
      </c>
      <c r="AB57" s="17">
        <f t="shared" si="28"/>
        <v>0</v>
      </c>
      <c r="AC57" s="17">
        <f t="shared" si="29"/>
        <v>0</v>
      </c>
      <c r="AD57" s="17">
        <f t="shared" si="30"/>
        <v>0</v>
      </c>
      <c r="AE57" s="17">
        <f t="shared" si="31"/>
        <v>0</v>
      </c>
      <c r="AF57" s="17">
        <f t="shared" si="32"/>
        <v>0</v>
      </c>
      <c r="AG57" s="17">
        <f t="shared" si="33"/>
        <v>0</v>
      </c>
      <c r="AH57" s="17">
        <f t="shared" si="17"/>
        <v>0.37896741430385106</v>
      </c>
      <c r="AI57" s="17">
        <f t="shared" si="18"/>
        <v>4.8666948793906047E-2</v>
      </c>
      <c r="AJ57" s="17">
        <f t="shared" si="19"/>
        <v>0</v>
      </c>
      <c r="AK57" s="17">
        <f t="shared" si="20"/>
        <v>4.8666948793906047E-2</v>
      </c>
      <c r="AL57" s="17"/>
    </row>
    <row r="58" spans="1:42" x14ac:dyDescent="0.25">
      <c r="A58">
        <v>1952</v>
      </c>
      <c r="B58">
        <v>49.73</v>
      </c>
      <c r="C58">
        <v>2.14</v>
      </c>
      <c r="D58">
        <v>3.17</v>
      </c>
      <c r="E58">
        <v>6.23</v>
      </c>
      <c r="F58">
        <v>15.44</v>
      </c>
      <c r="G58">
        <v>12.06</v>
      </c>
      <c r="H58">
        <v>5.29</v>
      </c>
      <c r="I58">
        <v>2.0699999999999998</v>
      </c>
      <c r="J58">
        <v>0</v>
      </c>
      <c r="K58">
        <v>3.15</v>
      </c>
      <c r="L58">
        <v>0</v>
      </c>
      <c r="M58">
        <v>0</v>
      </c>
      <c r="N58">
        <v>0</v>
      </c>
      <c r="O58">
        <v>0</v>
      </c>
      <c r="P58">
        <f t="shared" si="13"/>
        <v>17.350000000000001</v>
      </c>
      <c r="Q58">
        <f t="shared" si="14"/>
        <v>5.22</v>
      </c>
      <c r="R58">
        <f t="shared" si="15"/>
        <v>0</v>
      </c>
      <c r="S58">
        <f t="shared" si="16"/>
        <v>5.22</v>
      </c>
      <c r="U58" s="17">
        <f t="shared" si="21"/>
        <v>4.3032374824049875E-2</v>
      </c>
      <c r="V58" s="17">
        <f t="shared" si="22"/>
        <v>6.374421878141967E-2</v>
      </c>
      <c r="W58" s="17">
        <f t="shared" si="23"/>
        <v>0.12527649306253771</v>
      </c>
      <c r="X58" s="17">
        <f t="shared" si="24"/>
        <v>0.31047657349688318</v>
      </c>
      <c r="Y58" s="17">
        <f t="shared" si="25"/>
        <v>0.24250955157852405</v>
      </c>
      <c r="Z58" s="17">
        <f t="shared" si="26"/>
        <v>0.10637442187814197</v>
      </c>
      <c r="AA58" s="17">
        <f t="shared" si="27"/>
        <v>4.162477377840338E-2</v>
      </c>
      <c r="AB58" s="17">
        <f t="shared" si="28"/>
        <v>0</v>
      </c>
      <c r="AC58" s="17">
        <f t="shared" si="29"/>
        <v>6.3342047054092104E-2</v>
      </c>
      <c r="AD58" s="17">
        <f t="shared" si="30"/>
        <v>0</v>
      </c>
      <c r="AE58" s="17">
        <f t="shared" si="31"/>
        <v>0</v>
      </c>
      <c r="AF58" s="17">
        <f t="shared" si="32"/>
        <v>0</v>
      </c>
      <c r="AG58" s="17">
        <f t="shared" si="33"/>
        <v>0</v>
      </c>
      <c r="AH58" s="17">
        <f t="shared" si="17"/>
        <v>0.348883973456666</v>
      </c>
      <c r="AI58" s="17">
        <f t="shared" si="18"/>
        <v>0.10496682083249548</v>
      </c>
      <c r="AJ58" s="17">
        <f t="shared" si="19"/>
        <v>0</v>
      </c>
      <c r="AK58" s="17">
        <f t="shared" si="20"/>
        <v>0.10496682083249548</v>
      </c>
      <c r="AL58" s="17"/>
    </row>
    <row r="59" spans="1:42" x14ac:dyDescent="0.25">
      <c r="A59">
        <v>1953</v>
      </c>
      <c r="B59">
        <v>45.77</v>
      </c>
      <c r="C59">
        <v>1.33</v>
      </c>
      <c r="D59">
        <v>4.55</v>
      </c>
      <c r="E59">
        <v>8.6399999999999899</v>
      </c>
      <c r="F59">
        <v>13.6899999999999</v>
      </c>
      <c r="G59">
        <v>11.42</v>
      </c>
      <c r="H59">
        <v>3.53</v>
      </c>
      <c r="I59">
        <v>2.5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f t="shared" si="13"/>
        <v>14.95</v>
      </c>
      <c r="Q59">
        <f t="shared" si="14"/>
        <v>2.5</v>
      </c>
      <c r="R59">
        <f t="shared" si="15"/>
        <v>0</v>
      </c>
      <c r="S59">
        <f t="shared" si="16"/>
        <v>2.5</v>
      </c>
      <c r="U59" s="17">
        <f t="shared" si="21"/>
        <v>2.9058335154031025E-2</v>
      </c>
      <c r="V59" s="17">
        <f t="shared" si="22"/>
        <v>9.9410093948000863E-2</v>
      </c>
      <c r="W59" s="17">
        <f t="shared" si="23"/>
        <v>0.18876993663972011</v>
      </c>
      <c r="X59" s="17">
        <f t="shared" si="24"/>
        <v>0.29910421673585097</v>
      </c>
      <c r="Y59" s="17">
        <f t="shared" si="25"/>
        <v>0.24950841162333404</v>
      </c>
      <c r="Z59" s="17">
        <f t="shared" si="26"/>
        <v>7.7124754205811663E-2</v>
      </c>
      <c r="AA59" s="17">
        <f t="shared" si="27"/>
        <v>5.4620930740659816E-2</v>
      </c>
      <c r="AB59" s="17">
        <f t="shared" si="28"/>
        <v>0</v>
      </c>
      <c r="AC59" s="17">
        <f t="shared" si="29"/>
        <v>0</v>
      </c>
      <c r="AD59" s="17">
        <f t="shared" si="30"/>
        <v>0</v>
      </c>
      <c r="AE59" s="17">
        <f t="shared" si="31"/>
        <v>0</v>
      </c>
      <c r="AF59" s="17">
        <f t="shared" si="32"/>
        <v>0</v>
      </c>
      <c r="AG59" s="17">
        <f t="shared" si="33"/>
        <v>0</v>
      </c>
      <c r="AH59" s="17">
        <f t="shared" si="17"/>
        <v>0.3266331658291457</v>
      </c>
      <c r="AI59" s="17">
        <f t="shared" si="18"/>
        <v>5.4620930740659816E-2</v>
      </c>
      <c r="AJ59" s="17">
        <f t="shared" si="19"/>
        <v>0</v>
      </c>
      <c r="AK59" s="17">
        <f t="shared" si="20"/>
        <v>5.4620930740659816E-2</v>
      </c>
      <c r="AL59" s="17"/>
    </row>
    <row r="60" spans="1:42" x14ac:dyDescent="0.25">
      <c r="A60">
        <v>1954</v>
      </c>
      <c r="B60">
        <v>42.4</v>
      </c>
      <c r="C60">
        <v>1.42</v>
      </c>
      <c r="D60">
        <v>3.71999999999999</v>
      </c>
      <c r="E60">
        <v>5.5299999999999896</v>
      </c>
      <c r="F60">
        <v>17.18</v>
      </c>
      <c r="G60">
        <v>2.96</v>
      </c>
      <c r="H60">
        <v>0</v>
      </c>
      <c r="I60">
        <v>7.07</v>
      </c>
      <c r="J60">
        <v>0</v>
      </c>
      <c r="K60">
        <v>0</v>
      </c>
      <c r="L60">
        <v>4.3899999999999997</v>
      </c>
      <c r="M60">
        <v>0</v>
      </c>
      <c r="N60">
        <v>0</v>
      </c>
      <c r="O60">
        <v>0</v>
      </c>
      <c r="P60">
        <f t="shared" si="13"/>
        <v>2.96</v>
      </c>
      <c r="Q60">
        <f t="shared" si="14"/>
        <v>7.07</v>
      </c>
      <c r="R60">
        <f t="shared" si="15"/>
        <v>4.3899999999999997</v>
      </c>
      <c r="S60">
        <f t="shared" si="16"/>
        <v>11.46</v>
      </c>
      <c r="U60" s="17">
        <f t="shared" si="21"/>
        <v>3.3490566037735849E-2</v>
      </c>
      <c r="V60" s="17">
        <f t="shared" si="22"/>
        <v>8.7735849056603546E-2</v>
      </c>
      <c r="W60" s="17">
        <f t="shared" si="23"/>
        <v>0.13042452830188656</v>
      </c>
      <c r="X60" s="17">
        <f t="shared" si="24"/>
        <v>0.40518867924528301</v>
      </c>
      <c r="Y60" s="17">
        <f t="shared" si="25"/>
        <v>6.981132075471698E-2</v>
      </c>
      <c r="Z60" s="17">
        <f t="shared" si="26"/>
        <v>0</v>
      </c>
      <c r="AA60" s="17">
        <f t="shared" si="27"/>
        <v>0.16674528301886793</v>
      </c>
      <c r="AB60" s="17">
        <f t="shared" si="28"/>
        <v>0</v>
      </c>
      <c r="AC60" s="17">
        <f t="shared" si="29"/>
        <v>0</v>
      </c>
      <c r="AD60" s="17">
        <f t="shared" si="30"/>
        <v>0.10353773584905659</v>
      </c>
      <c r="AE60" s="17">
        <f t="shared" si="31"/>
        <v>0</v>
      </c>
      <c r="AF60" s="17">
        <f t="shared" si="32"/>
        <v>0</v>
      </c>
      <c r="AG60" s="17">
        <f t="shared" si="33"/>
        <v>0</v>
      </c>
      <c r="AH60" s="17">
        <f t="shared" si="17"/>
        <v>6.981132075471698E-2</v>
      </c>
      <c r="AI60" s="17">
        <f t="shared" si="18"/>
        <v>0.16674528301886793</v>
      </c>
      <c r="AJ60" s="17">
        <f t="shared" si="19"/>
        <v>0.10353773584905659</v>
      </c>
      <c r="AK60" s="17">
        <f t="shared" si="20"/>
        <v>0.2702830188679245</v>
      </c>
      <c r="AL60" s="17"/>
    </row>
    <row r="61" spans="1:42" x14ac:dyDescent="0.25">
      <c r="A61">
        <v>1955</v>
      </c>
      <c r="B61">
        <v>41.04</v>
      </c>
      <c r="C61">
        <v>1.76</v>
      </c>
      <c r="D61">
        <v>3.85</v>
      </c>
      <c r="E61">
        <v>4.0999999999999996</v>
      </c>
      <c r="F61">
        <v>12.739999999999901</v>
      </c>
      <c r="G61">
        <v>2.46999999999999</v>
      </c>
      <c r="H61">
        <v>4.8</v>
      </c>
      <c r="I61">
        <v>4.1500000000000004</v>
      </c>
      <c r="J61">
        <v>0</v>
      </c>
      <c r="K61">
        <v>7</v>
      </c>
      <c r="L61">
        <v>0</v>
      </c>
      <c r="M61">
        <v>0</v>
      </c>
      <c r="N61">
        <v>0</v>
      </c>
      <c r="O61">
        <v>0</v>
      </c>
      <c r="P61">
        <f t="shared" si="13"/>
        <v>7.2699999999999898</v>
      </c>
      <c r="Q61">
        <f t="shared" si="14"/>
        <v>11.15</v>
      </c>
      <c r="R61">
        <f t="shared" si="15"/>
        <v>0</v>
      </c>
      <c r="S61">
        <f t="shared" si="16"/>
        <v>11.15</v>
      </c>
      <c r="U61" s="17">
        <f t="shared" si="21"/>
        <v>4.2884990253411311E-2</v>
      </c>
      <c r="V61" s="17">
        <f t="shared" si="22"/>
        <v>9.3810916179337234E-2</v>
      </c>
      <c r="W61" s="17">
        <f t="shared" si="23"/>
        <v>9.9902534113060423E-2</v>
      </c>
      <c r="X61" s="17">
        <f t="shared" si="24"/>
        <v>0.31042884990253172</v>
      </c>
      <c r="Y61" s="17">
        <f t="shared" si="25"/>
        <v>6.0185185185184939E-2</v>
      </c>
      <c r="Z61" s="17">
        <f t="shared" si="26"/>
        <v>0.11695906432748537</v>
      </c>
      <c r="AA61" s="17">
        <f t="shared" si="27"/>
        <v>0.10112085769980508</v>
      </c>
      <c r="AB61" s="17">
        <f t="shared" si="28"/>
        <v>0</v>
      </c>
      <c r="AC61" s="17">
        <f t="shared" si="29"/>
        <v>0.1705653021442495</v>
      </c>
      <c r="AD61" s="17">
        <f t="shared" si="30"/>
        <v>0</v>
      </c>
      <c r="AE61" s="17">
        <f t="shared" si="31"/>
        <v>0</v>
      </c>
      <c r="AF61" s="17">
        <f t="shared" si="32"/>
        <v>0</v>
      </c>
      <c r="AG61" s="17">
        <f t="shared" si="33"/>
        <v>0</v>
      </c>
      <c r="AH61" s="17">
        <f t="shared" si="17"/>
        <v>0.17714424951267033</v>
      </c>
      <c r="AI61" s="17">
        <f t="shared" si="18"/>
        <v>0.27168615984405459</v>
      </c>
      <c r="AJ61" s="17">
        <f t="shared" si="19"/>
        <v>0</v>
      </c>
      <c r="AK61" s="17">
        <f t="shared" si="20"/>
        <v>0.27168615984405459</v>
      </c>
      <c r="AL61" s="17"/>
    </row>
    <row r="62" spans="1:42" x14ac:dyDescent="0.25">
      <c r="A62">
        <v>1956</v>
      </c>
      <c r="B62">
        <v>43.58</v>
      </c>
      <c r="C62">
        <v>1.98</v>
      </c>
      <c r="D62">
        <v>6.17</v>
      </c>
      <c r="E62">
        <v>10.18</v>
      </c>
      <c r="F62">
        <v>11.059999999999899</v>
      </c>
      <c r="G62">
        <v>12.4499999999999</v>
      </c>
      <c r="H62">
        <v>1.52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f t="shared" si="13"/>
        <v>13.969999999999899</v>
      </c>
      <c r="Q62">
        <f t="shared" si="14"/>
        <v>0</v>
      </c>
      <c r="R62">
        <f t="shared" si="15"/>
        <v>0</v>
      </c>
      <c r="S62">
        <f t="shared" si="16"/>
        <v>0</v>
      </c>
      <c r="U62" s="17">
        <f t="shared" si="21"/>
        <v>4.5433685176686556E-2</v>
      </c>
      <c r="V62" s="17">
        <f t="shared" si="22"/>
        <v>0.14157870582836163</v>
      </c>
      <c r="W62" s="17">
        <f t="shared" si="23"/>
        <v>0.23359339146397431</v>
      </c>
      <c r="X62" s="17">
        <f t="shared" si="24"/>
        <v>0.25378614043138825</v>
      </c>
      <c r="Y62" s="17">
        <f t="shared" si="25"/>
        <v>0.28568150527764802</v>
      </c>
      <c r="Z62" s="17">
        <f t="shared" si="26"/>
        <v>3.4878384580082605E-2</v>
      </c>
      <c r="AA62" s="17">
        <f t="shared" si="27"/>
        <v>0</v>
      </c>
      <c r="AB62" s="17">
        <f t="shared" si="28"/>
        <v>0</v>
      </c>
      <c r="AC62" s="17">
        <f t="shared" si="29"/>
        <v>0</v>
      </c>
      <c r="AD62" s="17">
        <f t="shared" si="30"/>
        <v>0</v>
      </c>
      <c r="AE62" s="17">
        <f t="shared" si="31"/>
        <v>0</v>
      </c>
      <c r="AF62" s="17">
        <f t="shared" si="32"/>
        <v>0</v>
      </c>
      <c r="AG62" s="17">
        <f t="shared" si="33"/>
        <v>0</v>
      </c>
      <c r="AH62" s="17">
        <f t="shared" si="17"/>
        <v>0.32055988985773065</v>
      </c>
      <c r="AI62" s="17">
        <f t="shared" si="18"/>
        <v>0</v>
      </c>
      <c r="AJ62" s="17">
        <f t="shared" si="19"/>
        <v>0</v>
      </c>
      <c r="AK62" s="17">
        <f t="shared" si="20"/>
        <v>0</v>
      </c>
      <c r="AL62" s="17"/>
    </row>
    <row r="63" spans="1:42" x14ac:dyDescent="0.25">
      <c r="A63">
        <v>1957</v>
      </c>
      <c r="B63">
        <v>35</v>
      </c>
      <c r="C63">
        <v>2.57</v>
      </c>
      <c r="D63">
        <v>3.49</v>
      </c>
      <c r="E63">
        <v>9.1899999999999906</v>
      </c>
      <c r="F63">
        <v>13.62</v>
      </c>
      <c r="G63">
        <v>5.98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f t="shared" si="13"/>
        <v>5.98</v>
      </c>
      <c r="Q63">
        <f t="shared" si="14"/>
        <v>0</v>
      </c>
      <c r="R63">
        <f t="shared" si="15"/>
        <v>0</v>
      </c>
      <c r="S63">
        <f t="shared" si="16"/>
        <v>0</v>
      </c>
      <c r="U63" s="17">
        <f t="shared" si="21"/>
        <v>7.3428571428571426E-2</v>
      </c>
      <c r="V63" s="17">
        <f t="shared" si="22"/>
        <v>9.9714285714285714E-2</v>
      </c>
      <c r="W63" s="17">
        <f t="shared" si="23"/>
        <v>0.26257142857142829</v>
      </c>
      <c r="X63" s="17">
        <f t="shared" si="24"/>
        <v>0.38914285714285712</v>
      </c>
      <c r="Y63" s="17">
        <f t="shared" si="25"/>
        <v>0.17085714285714287</v>
      </c>
      <c r="Z63" s="17">
        <f t="shared" si="26"/>
        <v>0</v>
      </c>
      <c r="AA63" s="17">
        <f t="shared" si="27"/>
        <v>0</v>
      </c>
      <c r="AB63" s="17">
        <f t="shared" si="28"/>
        <v>0</v>
      </c>
      <c r="AC63" s="17">
        <f t="shared" si="29"/>
        <v>0</v>
      </c>
      <c r="AD63" s="17">
        <f t="shared" si="30"/>
        <v>0</v>
      </c>
      <c r="AE63" s="17">
        <f t="shared" si="31"/>
        <v>0</v>
      </c>
      <c r="AF63" s="17">
        <f t="shared" si="32"/>
        <v>0</v>
      </c>
      <c r="AG63" s="17">
        <f t="shared" si="33"/>
        <v>0</v>
      </c>
      <c r="AH63" s="17">
        <f t="shared" si="17"/>
        <v>0.17085714285714287</v>
      </c>
      <c r="AI63" s="17">
        <f t="shared" si="18"/>
        <v>0</v>
      </c>
      <c r="AJ63" s="17">
        <f t="shared" si="19"/>
        <v>0</v>
      </c>
      <c r="AK63" s="17">
        <f t="shared" si="20"/>
        <v>0</v>
      </c>
      <c r="AL63" s="17"/>
    </row>
    <row r="64" spans="1:42" x14ac:dyDescent="0.25">
      <c r="A64">
        <v>1958</v>
      </c>
      <c r="B64">
        <v>49.81</v>
      </c>
      <c r="C64">
        <v>1.56</v>
      </c>
      <c r="D64">
        <v>4</v>
      </c>
      <c r="E64">
        <v>8.34</v>
      </c>
      <c r="F64">
        <v>14.72</v>
      </c>
      <c r="G64">
        <v>10.210000000000001</v>
      </c>
      <c r="H64">
        <v>10.78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f t="shared" si="13"/>
        <v>20.990000000000002</v>
      </c>
      <c r="Q64">
        <f t="shared" si="14"/>
        <v>0</v>
      </c>
      <c r="R64">
        <f t="shared" si="15"/>
        <v>0</v>
      </c>
      <c r="S64">
        <f t="shared" si="16"/>
        <v>0</v>
      </c>
      <c r="U64" s="17">
        <f t="shared" si="21"/>
        <v>3.131901224653684E-2</v>
      </c>
      <c r="V64" s="17">
        <f t="shared" si="22"/>
        <v>8.0305159606504709E-2</v>
      </c>
      <c r="W64" s="17">
        <f t="shared" si="23"/>
        <v>0.16743625777956234</v>
      </c>
      <c r="X64" s="17">
        <f t="shared" si="24"/>
        <v>0.29552298735193738</v>
      </c>
      <c r="Y64" s="17">
        <f t="shared" si="25"/>
        <v>0.2049789198956033</v>
      </c>
      <c r="Z64" s="17">
        <f t="shared" si="26"/>
        <v>0.21642240513953021</v>
      </c>
      <c r="AA64" s="17">
        <f t="shared" si="27"/>
        <v>0</v>
      </c>
      <c r="AB64" s="17">
        <f t="shared" si="28"/>
        <v>0</v>
      </c>
      <c r="AC64" s="17">
        <f t="shared" si="29"/>
        <v>0</v>
      </c>
      <c r="AD64" s="17">
        <f t="shared" si="30"/>
        <v>0</v>
      </c>
      <c r="AE64" s="17">
        <f t="shared" si="31"/>
        <v>0</v>
      </c>
      <c r="AF64" s="17">
        <f t="shared" si="32"/>
        <v>0</v>
      </c>
      <c r="AG64" s="17">
        <f t="shared" si="33"/>
        <v>0</v>
      </c>
      <c r="AH64" s="17">
        <f t="shared" si="17"/>
        <v>0.4214013250351335</v>
      </c>
      <c r="AI64" s="17">
        <f t="shared" si="18"/>
        <v>0</v>
      </c>
      <c r="AJ64" s="17">
        <f t="shared" si="19"/>
        <v>0</v>
      </c>
      <c r="AK64" s="17">
        <f t="shared" si="20"/>
        <v>0</v>
      </c>
      <c r="AL64" s="17"/>
    </row>
    <row r="65" spans="1:78" x14ac:dyDescent="0.25">
      <c r="A65">
        <v>1959</v>
      </c>
      <c r="B65">
        <v>41.32</v>
      </c>
      <c r="C65">
        <v>1.74</v>
      </c>
      <c r="D65">
        <v>3.18</v>
      </c>
      <c r="E65">
        <v>7.34</v>
      </c>
      <c r="F65">
        <v>11.9</v>
      </c>
      <c r="G65">
        <v>8.96999999999999</v>
      </c>
      <c r="H65">
        <v>3.23</v>
      </c>
      <c r="I65">
        <v>4.72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f t="shared" si="13"/>
        <v>12.19999999999999</v>
      </c>
      <c r="Q65">
        <f t="shared" si="14"/>
        <v>4.72</v>
      </c>
      <c r="R65">
        <f t="shared" si="15"/>
        <v>0</v>
      </c>
      <c r="S65">
        <f t="shared" si="16"/>
        <v>4.72</v>
      </c>
      <c r="U65" s="17">
        <f t="shared" si="21"/>
        <v>4.211035818005808E-2</v>
      </c>
      <c r="V65" s="17">
        <f t="shared" si="22"/>
        <v>7.6960309777347538E-2</v>
      </c>
      <c r="W65" s="17">
        <f t="shared" si="23"/>
        <v>0.1776379477250726</v>
      </c>
      <c r="X65" s="17">
        <f t="shared" si="24"/>
        <v>0.28799612778315586</v>
      </c>
      <c r="Y65" s="17">
        <f t="shared" si="25"/>
        <v>0.21708615682478194</v>
      </c>
      <c r="Z65" s="17">
        <f t="shared" si="26"/>
        <v>7.8170377541142297E-2</v>
      </c>
      <c r="AA65" s="17">
        <f t="shared" si="27"/>
        <v>0.11423039690222651</v>
      </c>
      <c r="AB65" s="17">
        <f t="shared" si="28"/>
        <v>0</v>
      </c>
      <c r="AC65" s="17">
        <f t="shared" si="29"/>
        <v>0</v>
      </c>
      <c r="AD65" s="17">
        <f t="shared" si="30"/>
        <v>0</v>
      </c>
      <c r="AE65" s="17">
        <f t="shared" si="31"/>
        <v>0</v>
      </c>
      <c r="AF65" s="17">
        <f t="shared" si="32"/>
        <v>0</v>
      </c>
      <c r="AG65" s="17">
        <f t="shared" si="33"/>
        <v>0</v>
      </c>
      <c r="AH65" s="17">
        <f t="shared" si="17"/>
        <v>0.29525653436592425</v>
      </c>
      <c r="AI65" s="17">
        <f t="shared" si="18"/>
        <v>0.11423039690222651</v>
      </c>
      <c r="AJ65" s="17">
        <f t="shared" si="19"/>
        <v>0</v>
      </c>
      <c r="AK65" s="17">
        <f t="shared" si="20"/>
        <v>0.11423039690222651</v>
      </c>
      <c r="AL65" s="17"/>
    </row>
    <row r="66" spans="1:78" x14ac:dyDescent="0.25">
      <c r="A66">
        <v>1960</v>
      </c>
      <c r="B66">
        <v>49.41</v>
      </c>
      <c r="C66">
        <v>1.32</v>
      </c>
      <c r="D66">
        <v>3.64</v>
      </c>
      <c r="E66">
        <v>6.63</v>
      </c>
      <c r="F66">
        <v>13.79</v>
      </c>
      <c r="G66">
        <v>9.27</v>
      </c>
      <c r="H66">
        <v>1.52</v>
      </c>
      <c r="I66">
        <v>2.4</v>
      </c>
      <c r="J66">
        <v>2.84</v>
      </c>
      <c r="K66">
        <v>3.35</v>
      </c>
      <c r="L66">
        <v>4.47</v>
      </c>
      <c r="M66">
        <v>0</v>
      </c>
      <c r="N66">
        <v>0</v>
      </c>
      <c r="O66">
        <v>0</v>
      </c>
      <c r="P66">
        <f t="shared" si="13"/>
        <v>10.79</v>
      </c>
      <c r="Q66">
        <f t="shared" si="14"/>
        <v>8.59</v>
      </c>
      <c r="R66">
        <f t="shared" si="15"/>
        <v>4.47</v>
      </c>
      <c r="S66">
        <f t="shared" si="16"/>
        <v>13.059999999999999</v>
      </c>
      <c r="U66" s="17">
        <f t="shared" ref="U66:U97" si="34">C66/$B66</f>
        <v>2.6715239829993933E-2</v>
      </c>
      <c r="V66" s="17">
        <f t="shared" ref="V66:V97" si="35">D66/$B66</f>
        <v>7.3669297713013573E-2</v>
      </c>
      <c r="W66" s="17">
        <f t="shared" ref="W66:W97" si="36">E66/$B66</f>
        <v>0.13418336369156042</v>
      </c>
      <c r="X66" s="17">
        <f t="shared" ref="X66:X97" si="37">F66/$B66</f>
        <v>0.27909330095122448</v>
      </c>
      <c r="Y66" s="17">
        <f t="shared" ref="Y66:Y97" si="38">G66/$B66</f>
        <v>0.18761384335154827</v>
      </c>
      <c r="Z66" s="17">
        <f t="shared" ref="Z66:Z97" si="39">H66/$B66</f>
        <v>3.0763003440599072E-2</v>
      </c>
      <c r="AA66" s="17">
        <f t="shared" ref="AA66:AA97" si="40">I66/$B66</f>
        <v>4.8573163327261693E-2</v>
      </c>
      <c r="AB66" s="17">
        <f t="shared" ref="AB66:AB97" si="41">J66/$B66</f>
        <v>5.7478243270592998E-2</v>
      </c>
      <c r="AC66" s="17">
        <f t="shared" ref="AC66:AC97" si="42">K66/$B66</f>
        <v>6.7800040477636117E-2</v>
      </c>
      <c r="AD66" s="17">
        <f t="shared" ref="AD66:AD97" si="43">L66/$B66</f>
        <v>9.0467516697024894E-2</v>
      </c>
      <c r="AE66" s="17">
        <f t="shared" ref="AE66:AE97" si="44">M66/$B66</f>
        <v>0</v>
      </c>
      <c r="AF66" s="17">
        <f t="shared" ref="AF66:AF97" si="45">N66/$B66</f>
        <v>0</v>
      </c>
      <c r="AG66" s="17">
        <f t="shared" ref="AG66:AG97" si="46">O66/$B66</f>
        <v>0</v>
      </c>
      <c r="AH66" s="17">
        <f t="shared" si="17"/>
        <v>0.21837684679214733</v>
      </c>
      <c r="AI66" s="17">
        <f t="shared" si="18"/>
        <v>0.17385144707549083</v>
      </c>
      <c r="AJ66" s="17">
        <f t="shared" si="19"/>
        <v>9.0467516697024894E-2</v>
      </c>
      <c r="AK66" s="17">
        <f t="shared" si="20"/>
        <v>0.26431896377251574</v>
      </c>
      <c r="AL66" s="17"/>
    </row>
    <row r="67" spans="1:78" x14ac:dyDescent="0.25">
      <c r="A67">
        <v>1961</v>
      </c>
      <c r="B67">
        <v>45.53</v>
      </c>
      <c r="C67">
        <v>1.36</v>
      </c>
      <c r="D67">
        <v>5.2299999999999898</v>
      </c>
      <c r="E67">
        <v>8.75</v>
      </c>
      <c r="F67">
        <v>13.92</v>
      </c>
      <c r="G67">
        <v>12.1099999999999</v>
      </c>
      <c r="H67">
        <v>1.95</v>
      </c>
      <c r="I67">
        <v>2.1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f t="shared" ref="P67:P123" si="47">SUM(G67:H67)</f>
        <v>14.059999999999899</v>
      </c>
      <c r="Q67">
        <f t="shared" ref="Q67:Q123" si="48">SUM(I67:K67)</f>
        <v>2.1</v>
      </c>
      <c r="R67">
        <f t="shared" ref="R67:R123" si="49">SUM(L67:O67)</f>
        <v>0</v>
      </c>
      <c r="S67">
        <f t="shared" ref="S67:S123" si="50">SUM(Q67:R67)</f>
        <v>2.1</v>
      </c>
      <c r="U67" s="17">
        <f t="shared" si="34"/>
        <v>2.9870415110915882E-2</v>
      </c>
      <c r="V67" s="17">
        <f t="shared" si="35"/>
        <v>0.11486931693388952</v>
      </c>
      <c r="W67" s="17">
        <f t="shared" si="36"/>
        <v>0.19218097957390731</v>
      </c>
      <c r="X67" s="17">
        <f t="shared" si="37"/>
        <v>0.30573248407643311</v>
      </c>
      <c r="Y67" s="17">
        <f t="shared" si="38"/>
        <v>0.26597847573028549</v>
      </c>
      <c r="Z67" s="17">
        <f t="shared" si="39"/>
        <v>4.2828904019327915E-2</v>
      </c>
      <c r="AA67" s="17">
        <f t="shared" si="40"/>
        <v>4.6123435097737753E-2</v>
      </c>
      <c r="AB67" s="17">
        <f t="shared" si="41"/>
        <v>0</v>
      </c>
      <c r="AC67" s="17">
        <f t="shared" si="42"/>
        <v>0</v>
      </c>
      <c r="AD67" s="17">
        <f t="shared" si="43"/>
        <v>0</v>
      </c>
      <c r="AE67" s="17">
        <f t="shared" si="44"/>
        <v>0</v>
      </c>
      <c r="AF67" s="17">
        <f t="shared" si="45"/>
        <v>0</v>
      </c>
      <c r="AG67" s="17">
        <f t="shared" si="46"/>
        <v>0</v>
      </c>
      <c r="AH67" s="17">
        <f t="shared" ref="AH67:AH123" si="51">SUM(Y67:Z67)</f>
        <v>0.30880737974961342</v>
      </c>
      <c r="AI67" s="17">
        <f t="shared" ref="AI67:AI123" si="52">SUM(AA67:AC67)</f>
        <v>4.6123435097737753E-2</v>
      </c>
      <c r="AJ67" s="17">
        <f t="shared" ref="AJ67:AJ123" si="53">SUM(AD67:AG67)</f>
        <v>0</v>
      </c>
      <c r="AK67" s="17">
        <f t="shared" ref="AK67:AK123" si="54">SUM(AI67:AJ67)</f>
        <v>4.6123435097737753E-2</v>
      </c>
      <c r="AL67" s="17"/>
    </row>
    <row r="68" spans="1:78" x14ac:dyDescent="0.25">
      <c r="A68">
        <v>1962</v>
      </c>
      <c r="B68">
        <v>40.01</v>
      </c>
      <c r="C68">
        <v>2.1</v>
      </c>
      <c r="D68">
        <v>1.9199999999999899</v>
      </c>
      <c r="E68">
        <v>5.77</v>
      </c>
      <c r="F68">
        <v>13.7799999999999</v>
      </c>
      <c r="G68">
        <v>9.07</v>
      </c>
      <c r="H68">
        <v>7.12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f t="shared" si="47"/>
        <v>16.190000000000001</v>
      </c>
      <c r="Q68">
        <f t="shared" si="48"/>
        <v>0</v>
      </c>
      <c r="R68">
        <f t="shared" si="49"/>
        <v>0</v>
      </c>
      <c r="S68">
        <f t="shared" si="50"/>
        <v>0</v>
      </c>
      <c r="U68" s="17">
        <f t="shared" si="34"/>
        <v>5.2486878280429895E-2</v>
      </c>
      <c r="V68" s="17">
        <f t="shared" si="35"/>
        <v>4.7988002999249942E-2</v>
      </c>
      <c r="W68" s="17">
        <f t="shared" si="36"/>
        <v>0.14421394651337166</v>
      </c>
      <c r="X68" s="17">
        <f t="shared" si="37"/>
        <v>0.34441389652586607</v>
      </c>
      <c r="Y68" s="17">
        <f t="shared" si="38"/>
        <v>0.22669332666833295</v>
      </c>
      <c r="Z68" s="17">
        <f t="shared" si="39"/>
        <v>0.17795551112221947</v>
      </c>
      <c r="AA68" s="17">
        <f t="shared" si="40"/>
        <v>0</v>
      </c>
      <c r="AB68" s="17">
        <f t="shared" si="41"/>
        <v>0</v>
      </c>
      <c r="AC68" s="17">
        <f t="shared" si="42"/>
        <v>0</v>
      </c>
      <c r="AD68" s="17">
        <f t="shared" si="43"/>
        <v>0</v>
      </c>
      <c r="AE68" s="17">
        <f t="shared" si="44"/>
        <v>0</v>
      </c>
      <c r="AF68" s="17">
        <f t="shared" si="45"/>
        <v>0</v>
      </c>
      <c r="AG68" s="17">
        <f t="shared" si="46"/>
        <v>0</v>
      </c>
      <c r="AH68" s="17">
        <f t="shared" si="51"/>
        <v>0.40464883779055238</v>
      </c>
      <c r="AI68" s="17">
        <f t="shared" si="52"/>
        <v>0</v>
      </c>
      <c r="AJ68" s="17">
        <f t="shared" si="53"/>
        <v>0</v>
      </c>
      <c r="AK68" s="17">
        <f t="shared" si="54"/>
        <v>0</v>
      </c>
      <c r="AL68" s="17"/>
    </row>
    <row r="69" spans="1:78" x14ac:dyDescent="0.25">
      <c r="A69">
        <v>1963</v>
      </c>
      <c r="B69">
        <v>32.950000000000003</v>
      </c>
      <c r="C69">
        <v>1.6</v>
      </c>
      <c r="D69">
        <v>3.3499999999999899</v>
      </c>
      <c r="E69">
        <v>8.93</v>
      </c>
      <c r="F69">
        <v>7.87</v>
      </c>
      <c r="G69">
        <v>2.4</v>
      </c>
      <c r="H69">
        <v>0</v>
      </c>
      <c r="I69">
        <v>4.3</v>
      </c>
      <c r="J69">
        <v>0</v>
      </c>
      <c r="K69">
        <v>0</v>
      </c>
      <c r="L69">
        <v>4.2699999999999996</v>
      </c>
      <c r="M69">
        <v>0</v>
      </c>
      <c r="N69">
        <v>0</v>
      </c>
      <c r="O69">
        <v>0</v>
      </c>
      <c r="P69">
        <f t="shared" si="47"/>
        <v>2.4</v>
      </c>
      <c r="Q69">
        <f t="shared" si="48"/>
        <v>4.3</v>
      </c>
      <c r="R69">
        <f t="shared" si="49"/>
        <v>4.2699999999999996</v>
      </c>
      <c r="S69">
        <f t="shared" si="50"/>
        <v>8.57</v>
      </c>
      <c r="U69" s="17">
        <f t="shared" si="34"/>
        <v>4.8558421851289835E-2</v>
      </c>
      <c r="V69" s="17">
        <f t="shared" si="35"/>
        <v>0.10166919575113777</v>
      </c>
      <c r="W69" s="17">
        <f t="shared" si="36"/>
        <v>0.27101669195751132</v>
      </c>
      <c r="X69" s="17">
        <f t="shared" si="37"/>
        <v>0.23884673748103186</v>
      </c>
      <c r="Y69" s="17">
        <f t="shared" si="38"/>
        <v>7.2837632776934738E-2</v>
      </c>
      <c r="Z69" s="17">
        <f t="shared" si="39"/>
        <v>0</v>
      </c>
      <c r="AA69" s="17">
        <f t="shared" si="40"/>
        <v>0.13050075872534142</v>
      </c>
      <c r="AB69" s="17">
        <f t="shared" si="41"/>
        <v>0</v>
      </c>
      <c r="AC69" s="17">
        <f t="shared" si="42"/>
        <v>0</v>
      </c>
      <c r="AD69" s="17">
        <f t="shared" si="43"/>
        <v>0.12959028831562971</v>
      </c>
      <c r="AE69" s="17">
        <f t="shared" si="44"/>
        <v>0</v>
      </c>
      <c r="AF69" s="17">
        <f t="shared" si="45"/>
        <v>0</v>
      </c>
      <c r="AG69" s="17">
        <f t="shared" si="46"/>
        <v>0</v>
      </c>
      <c r="AH69" s="17">
        <f t="shared" si="51"/>
        <v>7.2837632776934738E-2</v>
      </c>
      <c r="AI69" s="17">
        <f t="shared" si="52"/>
        <v>0.13050075872534142</v>
      </c>
      <c r="AJ69" s="17">
        <f t="shared" si="53"/>
        <v>0.12959028831562971</v>
      </c>
      <c r="AK69" s="17">
        <f t="shared" si="54"/>
        <v>0.26009104704097114</v>
      </c>
      <c r="AL69" s="17"/>
    </row>
    <row r="70" spans="1:78" x14ac:dyDescent="0.25">
      <c r="A70">
        <v>1964</v>
      </c>
      <c r="B70">
        <v>37.479999999999997</v>
      </c>
      <c r="C70">
        <v>1.78</v>
      </c>
      <c r="D70">
        <v>4.1399999999999997</v>
      </c>
      <c r="E70">
        <v>7.8199999999999896</v>
      </c>
      <c r="F70">
        <v>10.96</v>
      </c>
      <c r="G70">
        <v>8.0399999999999991</v>
      </c>
      <c r="H70">
        <v>1.87</v>
      </c>
      <c r="I70">
        <v>0</v>
      </c>
      <c r="J70">
        <v>2.71</v>
      </c>
      <c r="K70">
        <v>0</v>
      </c>
      <c r="L70">
        <v>0</v>
      </c>
      <c r="M70">
        <v>0</v>
      </c>
      <c r="N70">
        <v>0</v>
      </c>
      <c r="O70">
        <v>0</v>
      </c>
      <c r="P70">
        <f t="shared" si="47"/>
        <v>9.91</v>
      </c>
      <c r="Q70">
        <f t="shared" si="48"/>
        <v>2.71</v>
      </c>
      <c r="R70">
        <f t="shared" si="49"/>
        <v>0</v>
      </c>
      <c r="S70">
        <f t="shared" si="50"/>
        <v>2.71</v>
      </c>
      <c r="U70" s="17">
        <f t="shared" si="34"/>
        <v>4.7491995731056572E-2</v>
      </c>
      <c r="V70" s="17">
        <f t="shared" si="35"/>
        <v>0.1104589114194237</v>
      </c>
      <c r="W70" s="17">
        <f t="shared" si="36"/>
        <v>0.20864461045891117</v>
      </c>
      <c r="X70" s="17">
        <f t="shared" si="37"/>
        <v>0.29242262540021352</v>
      </c>
      <c r="Y70" s="17">
        <f t="shared" si="38"/>
        <v>0.21451440768409819</v>
      </c>
      <c r="Z70" s="17">
        <f t="shared" si="39"/>
        <v>4.9893276414087522E-2</v>
      </c>
      <c r="AA70" s="17">
        <f t="shared" si="40"/>
        <v>0</v>
      </c>
      <c r="AB70" s="17">
        <f t="shared" si="41"/>
        <v>7.2305229455709719E-2</v>
      </c>
      <c r="AC70" s="17">
        <f t="shared" si="42"/>
        <v>0</v>
      </c>
      <c r="AD70" s="17">
        <f t="shared" si="43"/>
        <v>0</v>
      </c>
      <c r="AE70" s="17">
        <f t="shared" si="44"/>
        <v>0</v>
      </c>
      <c r="AF70" s="17">
        <f t="shared" si="45"/>
        <v>0</v>
      </c>
      <c r="AG70" s="17">
        <f t="shared" si="46"/>
        <v>0</v>
      </c>
      <c r="AH70" s="17">
        <f t="shared" si="51"/>
        <v>0.26440768409818571</v>
      </c>
      <c r="AI70" s="17">
        <f t="shared" si="52"/>
        <v>7.2305229455709719E-2</v>
      </c>
      <c r="AJ70" s="17">
        <f t="shared" si="53"/>
        <v>0</v>
      </c>
      <c r="AK70" s="17">
        <f t="shared" si="54"/>
        <v>7.2305229455709719E-2</v>
      </c>
      <c r="AL70" s="17"/>
    </row>
    <row r="71" spans="1:78" ht="18.75" x14ac:dyDescent="0.3">
      <c r="A71">
        <v>1965</v>
      </c>
      <c r="B71">
        <v>27.51</v>
      </c>
      <c r="C71">
        <v>1.89</v>
      </c>
      <c r="D71">
        <v>4.62</v>
      </c>
      <c r="E71">
        <v>6.14</v>
      </c>
      <c r="F71">
        <v>9.5299999999999994</v>
      </c>
      <c r="G71">
        <v>3.59</v>
      </c>
      <c r="H71">
        <v>1.62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f t="shared" si="47"/>
        <v>5.21</v>
      </c>
      <c r="Q71">
        <f t="shared" si="48"/>
        <v>0</v>
      </c>
      <c r="R71">
        <f t="shared" si="49"/>
        <v>0</v>
      </c>
      <c r="S71">
        <f t="shared" si="50"/>
        <v>0</v>
      </c>
      <c r="U71" s="17">
        <f t="shared" si="34"/>
        <v>6.8702290076335867E-2</v>
      </c>
      <c r="V71" s="17">
        <f t="shared" si="35"/>
        <v>0.16793893129770993</v>
      </c>
      <c r="W71" s="17">
        <f t="shared" si="36"/>
        <v>0.22319156670301707</v>
      </c>
      <c r="X71" s="17">
        <f t="shared" si="37"/>
        <v>0.34641948382406396</v>
      </c>
      <c r="Y71" s="17">
        <f t="shared" si="38"/>
        <v>0.13049800072700835</v>
      </c>
      <c r="Z71" s="17">
        <f t="shared" si="39"/>
        <v>5.8887677208287893E-2</v>
      </c>
      <c r="AA71" s="17">
        <f t="shared" si="40"/>
        <v>0</v>
      </c>
      <c r="AB71" s="17">
        <f t="shared" si="41"/>
        <v>0</v>
      </c>
      <c r="AC71" s="17">
        <f t="shared" si="42"/>
        <v>0</v>
      </c>
      <c r="AD71" s="17">
        <f t="shared" si="43"/>
        <v>0</v>
      </c>
      <c r="AE71" s="17">
        <f t="shared" si="44"/>
        <v>0</v>
      </c>
      <c r="AF71" s="17">
        <f t="shared" si="45"/>
        <v>0</v>
      </c>
      <c r="AG71" s="17">
        <f t="shared" si="46"/>
        <v>0</v>
      </c>
      <c r="AH71" s="17">
        <f t="shared" si="51"/>
        <v>0.18938567793529623</v>
      </c>
      <c r="AI71" s="17">
        <f t="shared" si="52"/>
        <v>0</v>
      </c>
      <c r="AJ71" s="17">
        <f t="shared" si="53"/>
        <v>0</v>
      </c>
      <c r="AK71" s="17">
        <f t="shared" si="54"/>
        <v>0</v>
      </c>
      <c r="AL71" s="17"/>
      <c r="AM71" s="7" t="s">
        <v>15</v>
      </c>
      <c r="AN71" s="7"/>
      <c r="AO71" s="7"/>
      <c r="AP71" s="7"/>
    </row>
    <row r="72" spans="1:78" ht="18.75" x14ac:dyDescent="0.3">
      <c r="A72">
        <v>1966</v>
      </c>
      <c r="B72">
        <v>45.17</v>
      </c>
      <c r="C72">
        <v>1.49</v>
      </c>
      <c r="D72">
        <v>2.8</v>
      </c>
      <c r="E72">
        <v>7.00999999999999</v>
      </c>
      <c r="F72">
        <v>12.06</v>
      </c>
      <c r="G72">
        <v>4.5999999999999996</v>
      </c>
      <c r="H72">
        <v>0</v>
      </c>
      <c r="I72">
        <v>9.09</v>
      </c>
      <c r="J72">
        <v>0</v>
      </c>
      <c r="K72">
        <v>3.05</v>
      </c>
      <c r="L72">
        <v>4.87</v>
      </c>
      <c r="M72">
        <v>0</v>
      </c>
      <c r="N72">
        <v>0</v>
      </c>
      <c r="O72">
        <v>0</v>
      </c>
      <c r="P72">
        <f t="shared" si="47"/>
        <v>4.5999999999999996</v>
      </c>
      <c r="Q72">
        <f t="shared" si="48"/>
        <v>12.14</v>
      </c>
      <c r="R72">
        <f t="shared" si="49"/>
        <v>4.87</v>
      </c>
      <c r="S72">
        <f t="shared" si="50"/>
        <v>17.010000000000002</v>
      </c>
      <c r="U72" s="17">
        <f t="shared" si="34"/>
        <v>3.2986495461589549E-2</v>
      </c>
      <c r="V72" s="17">
        <f t="shared" si="35"/>
        <v>6.1988045162718615E-2</v>
      </c>
      <c r="W72" s="17">
        <f t="shared" si="36"/>
        <v>0.15519149878237745</v>
      </c>
      <c r="X72" s="17">
        <f t="shared" si="37"/>
        <v>0.26699136595085232</v>
      </c>
      <c r="Y72" s="17">
        <f t="shared" si="38"/>
        <v>0.10183750276732344</v>
      </c>
      <c r="Z72" s="17">
        <f t="shared" si="39"/>
        <v>0</v>
      </c>
      <c r="AA72" s="17">
        <f t="shared" si="40"/>
        <v>0.20123976090325435</v>
      </c>
      <c r="AB72" s="17">
        <f t="shared" si="41"/>
        <v>0</v>
      </c>
      <c r="AC72" s="17">
        <f t="shared" si="42"/>
        <v>6.7522692052247063E-2</v>
      </c>
      <c r="AD72" s="17">
        <f t="shared" si="43"/>
        <v>0.10781492140801417</v>
      </c>
      <c r="AE72" s="17">
        <f t="shared" si="44"/>
        <v>0</v>
      </c>
      <c r="AF72" s="17">
        <f t="shared" si="45"/>
        <v>0</v>
      </c>
      <c r="AG72" s="17">
        <f t="shared" si="46"/>
        <v>0</v>
      </c>
      <c r="AH72" s="17">
        <f t="shared" si="51"/>
        <v>0.10183750276732344</v>
      </c>
      <c r="AI72" s="17">
        <f t="shared" si="52"/>
        <v>0.26876245295550139</v>
      </c>
      <c r="AJ72" s="17">
        <f t="shared" si="53"/>
        <v>0.10781492140801417</v>
      </c>
      <c r="AK72" s="17">
        <f t="shared" si="54"/>
        <v>0.37657737436351557</v>
      </c>
      <c r="AL72" s="17"/>
      <c r="AM72" s="7" t="s">
        <v>16</v>
      </c>
      <c r="AN72" s="7" t="s">
        <v>17</v>
      </c>
      <c r="AO72" s="7"/>
      <c r="AP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</row>
    <row r="73" spans="1:78" ht="18.75" x14ac:dyDescent="0.3">
      <c r="A73">
        <v>1967</v>
      </c>
      <c r="B73">
        <v>49.06</v>
      </c>
      <c r="C73">
        <v>1.37</v>
      </c>
      <c r="D73">
        <v>4.3499999999999996</v>
      </c>
      <c r="E73">
        <v>10.979999999999899</v>
      </c>
      <c r="F73">
        <v>14.99</v>
      </c>
      <c r="G73">
        <v>9.01</v>
      </c>
      <c r="H73">
        <v>3.76</v>
      </c>
      <c r="I73">
        <v>4.53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f t="shared" si="47"/>
        <v>12.77</v>
      </c>
      <c r="Q73">
        <f t="shared" si="48"/>
        <v>4.53</v>
      </c>
      <c r="R73">
        <f t="shared" si="49"/>
        <v>0</v>
      </c>
      <c r="S73">
        <f t="shared" si="50"/>
        <v>4.53</v>
      </c>
      <c r="U73" s="17">
        <f t="shared" si="34"/>
        <v>2.7924989808397881E-2</v>
      </c>
      <c r="V73" s="17">
        <f t="shared" si="35"/>
        <v>8.8666938442723178E-2</v>
      </c>
      <c r="W73" s="17">
        <f t="shared" si="36"/>
        <v>0.22380758255197511</v>
      </c>
      <c r="X73" s="17">
        <f t="shared" si="37"/>
        <v>0.30554423155320015</v>
      </c>
      <c r="Y73" s="17">
        <f t="shared" si="38"/>
        <v>0.1836526701997554</v>
      </c>
      <c r="Z73" s="17">
        <f t="shared" si="39"/>
        <v>7.6640847941296358E-2</v>
      </c>
      <c r="AA73" s="17">
        <f t="shared" si="40"/>
        <v>9.2335915205870367E-2</v>
      </c>
      <c r="AB73" s="17">
        <f t="shared" si="41"/>
        <v>0</v>
      </c>
      <c r="AC73" s="17">
        <f t="shared" si="42"/>
        <v>0</v>
      </c>
      <c r="AD73" s="17">
        <f t="shared" si="43"/>
        <v>0</v>
      </c>
      <c r="AE73" s="17">
        <f t="shared" si="44"/>
        <v>0</v>
      </c>
      <c r="AF73" s="17">
        <f t="shared" si="45"/>
        <v>0</v>
      </c>
      <c r="AG73" s="17">
        <f t="shared" si="46"/>
        <v>0</v>
      </c>
      <c r="AH73" s="17">
        <f t="shared" si="51"/>
        <v>0.26029351814105173</v>
      </c>
      <c r="AI73" s="17">
        <f t="shared" si="52"/>
        <v>9.2335915205870367E-2</v>
      </c>
      <c r="AJ73" s="17">
        <f t="shared" si="53"/>
        <v>0</v>
      </c>
      <c r="AK73" s="17">
        <f t="shared" si="54"/>
        <v>9.2335915205870367E-2</v>
      </c>
      <c r="AL73" s="17"/>
      <c r="AM73" s="7" t="s">
        <v>0</v>
      </c>
      <c r="AN73" s="7" t="s">
        <v>18</v>
      </c>
      <c r="AO73" s="7"/>
      <c r="AP73" s="7"/>
      <c r="AR73" s="8"/>
      <c r="BN73" s="17">
        <f t="shared" ref="BN73:BZ73" si="55">AVERAGE(U1:U123)</f>
        <v>3.9031270230575496E-2</v>
      </c>
      <c r="BO73" s="17">
        <f t="shared" si="55"/>
        <v>8.9917637574646672E-2</v>
      </c>
      <c r="BP73" s="17">
        <f t="shared" si="55"/>
        <v>0.16733052656287664</v>
      </c>
      <c r="BQ73" s="17">
        <f t="shared" si="55"/>
        <v>0.29578983647552715</v>
      </c>
      <c r="BR73" s="17">
        <f t="shared" si="55"/>
        <v>0.18196120967476864</v>
      </c>
      <c r="BS73" s="17">
        <f t="shared" si="55"/>
        <v>0.10432697380705458</v>
      </c>
      <c r="BT73" s="17">
        <f t="shared" si="55"/>
        <v>5.1820086119097601E-2</v>
      </c>
      <c r="BU73" s="17">
        <f t="shared" si="55"/>
        <v>1.8966188407056331E-2</v>
      </c>
      <c r="BV73" s="17">
        <f t="shared" si="55"/>
        <v>2.2911677026791512E-2</v>
      </c>
      <c r="BW73" s="17">
        <f t="shared" si="55"/>
        <v>1.1787944742181826E-2</v>
      </c>
      <c r="BX73" s="17">
        <f t="shared" si="55"/>
        <v>5.2768442386488552E-3</v>
      </c>
      <c r="BY73" s="17">
        <f t="shared" si="55"/>
        <v>3.9855199738651169E-3</v>
      </c>
      <c r="BZ73" s="17">
        <f t="shared" si="55"/>
        <v>2.1952990009264672E-3</v>
      </c>
    </row>
    <row r="74" spans="1:78" ht="18.75" x14ac:dyDescent="0.3">
      <c r="A74">
        <v>1968</v>
      </c>
      <c r="B74">
        <v>46.15</v>
      </c>
      <c r="C74">
        <v>1.7</v>
      </c>
      <c r="D74">
        <v>2.5499999999999998</v>
      </c>
      <c r="E74">
        <v>5.0999999999999996</v>
      </c>
      <c r="F74">
        <v>17.71</v>
      </c>
      <c r="G74">
        <v>3.13</v>
      </c>
      <c r="H74">
        <v>5.58</v>
      </c>
      <c r="I74">
        <v>2.04</v>
      </c>
      <c r="J74">
        <v>2.91</v>
      </c>
      <c r="K74">
        <v>0</v>
      </c>
      <c r="L74">
        <v>0</v>
      </c>
      <c r="M74">
        <v>5.21</v>
      </c>
      <c r="N74">
        <v>0</v>
      </c>
      <c r="O74">
        <v>0</v>
      </c>
      <c r="P74">
        <f t="shared" si="47"/>
        <v>8.7100000000000009</v>
      </c>
      <c r="Q74">
        <f t="shared" si="48"/>
        <v>4.95</v>
      </c>
      <c r="R74">
        <f t="shared" si="49"/>
        <v>5.21</v>
      </c>
      <c r="S74">
        <f t="shared" si="50"/>
        <v>10.16</v>
      </c>
      <c r="U74" s="17">
        <f t="shared" si="34"/>
        <v>3.6836403033586131E-2</v>
      </c>
      <c r="V74" s="17">
        <f t="shared" si="35"/>
        <v>5.5254604550379199E-2</v>
      </c>
      <c r="W74" s="17">
        <f t="shared" si="36"/>
        <v>0.1105092091007584</v>
      </c>
      <c r="X74" s="17">
        <f t="shared" si="37"/>
        <v>0.38374864572047673</v>
      </c>
      <c r="Y74" s="17">
        <f t="shared" si="38"/>
        <v>6.7822318526543884E-2</v>
      </c>
      <c r="Z74" s="17">
        <f t="shared" si="39"/>
        <v>0.12091007583965331</v>
      </c>
      <c r="AA74" s="17">
        <f t="shared" si="40"/>
        <v>4.420368364030336E-2</v>
      </c>
      <c r="AB74" s="17">
        <f t="shared" si="41"/>
        <v>6.3055254604550387E-2</v>
      </c>
      <c r="AC74" s="17">
        <f t="shared" si="42"/>
        <v>0</v>
      </c>
      <c r="AD74" s="17">
        <f t="shared" si="43"/>
        <v>0</v>
      </c>
      <c r="AE74" s="17">
        <f t="shared" si="44"/>
        <v>0.11289274106175515</v>
      </c>
      <c r="AF74" s="17">
        <f t="shared" si="45"/>
        <v>0</v>
      </c>
      <c r="AG74" s="17">
        <f t="shared" si="46"/>
        <v>0</v>
      </c>
      <c r="AH74" s="17">
        <f t="shared" si="51"/>
        <v>0.18873239436619721</v>
      </c>
      <c r="AI74" s="17">
        <f t="shared" si="52"/>
        <v>0.10725893824485375</v>
      </c>
      <c r="AJ74" s="17">
        <f t="shared" si="53"/>
        <v>0.11289274106175515</v>
      </c>
      <c r="AK74" s="17">
        <f t="shared" si="54"/>
        <v>0.22015167930660889</v>
      </c>
      <c r="AL74" s="17"/>
      <c r="AM74" s="7" t="s">
        <v>1</v>
      </c>
      <c r="AN74" s="7" t="s">
        <v>19</v>
      </c>
      <c r="AO74" s="7"/>
      <c r="AP74" s="7"/>
      <c r="AR74" s="8"/>
      <c r="BN74" s="17">
        <f t="shared" ref="BN74:BZ74" si="56">_xlfn.STDEV.P(U1:U123)</f>
        <v>9.2376127130783681E-3</v>
      </c>
      <c r="BO74" s="17">
        <f t="shared" si="56"/>
        <v>2.3334675460495211E-2</v>
      </c>
      <c r="BP74" s="17">
        <f t="shared" si="56"/>
        <v>4.4300981333724149E-2</v>
      </c>
      <c r="BQ74" s="17">
        <f t="shared" si="56"/>
        <v>5.8855291171274769E-2</v>
      </c>
      <c r="BR74" s="17">
        <f t="shared" si="56"/>
        <v>5.9996903572987231E-2</v>
      </c>
      <c r="BS74" s="17">
        <f t="shared" si="56"/>
        <v>6.1835433644590911E-2</v>
      </c>
      <c r="BT74" s="17">
        <f t="shared" si="56"/>
        <v>4.9872965819809496E-2</v>
      </c>
      <c r="BU74" s="17">
        <f t="shared" si="56"/>
        <v>3.4927849387995528E-2</v>
      </c>
      <c r="BV74" s="17">
        <f t="shared" si="56"/>
        <v>4.0308587511609782E-2</v>
      </c>
      <c r="BW74" s="17">
        <f t="shared" si="56"/>
        <v>3.1934783017539034E-2</v>
      </c>
      <c r="BX74" s="17">
        <f t="shared" si="56"/>
        <v>2.3290922221457139E-2</v>
      </c>
      <c r="BY74" s="17">
        <f t="shared" si="56"/>
        <v>2.167303280748625E-2</v>
      </c>
      <c r="BZ74" s="17">
        <f t="shared" si="56"/>
        <v>1.7092438226854006E-2</v>
      </c>
    </row>
    <row r="75" spans="1:78" ht="18.75" x14ac:dyDescent="0.3">
      <c r="A75">
        <v>1969</v>
      </c>
      <c r="B75">
        <v>45.18</v>
      </c>
      <c r="C75">
        <v>1.78</v>
      </c>
      <c r="D75">
        <v>3.64</v>
      </c>
      <c r="E75">
        <v>9.1499999999999897</v>
      </c>
      <c r="F75">
        <v>13.68</v>
      </c>
      <c r="G75">
        <v>8.76</v>
      </c>
      <c r="H75">
        <v>3.53</v>
      </c>
      <c r="I75">
        <v>0</v>
      </c>
      <c r="J75">
        <v>0</v>
      </c>
      <c r="K75">
        <v>0</v>
      </c>
      <c r="L75">
        <v>4.45</v>
      </c>
      <c r="M75">
        <v>0</v>
      </c>
      <c r="N75">
        <v>0</v>
      </c>
      <c r="O75">
        <v>0</v>
      </c>
      <c r="P75">
        <f t="shared" si="47"/>
        <v>12.29</v>
      </c>
      <c r="Q75">
        <f t="shared" si="48"/>
        <v>0</v>
      </c>
      <c r="R75">
        <f t="shared" si="49"/>
        <v>4.45</v>
      </c>
      <c r="S75">
        <f t="shared" si="50"/>
        <v>4.45</v>
      </c>
      <c r="U75" s="17">
        <f t="shared" si="34"/>
        <v>3.9397963700752547E-2</v>
      </c>
      <c r="V75" s="17">
        <f t="shared" si="35"/>
        <v>8.0566622399291729E-2</v>
      </c>
      <c r="W75" s="17">
        <f t="shared" si="36"/>
        <v>0.20252324037184571</v>
      </c>
      <c r="X75" s="17">
        <f t="shared" si="37"/>
        <v>0.30278884462151395</v>
      </c>
      <c r="Y75" s="17">
        <f t="shared" si="38"/>
        <v>0.19389110225763612</v>
      </c>
      <c r="Z75" s="17">
        <f t="shared" si="39"/>
        <v>7.8131916777335095E-2</v>
      </c>
      <c r="AA75" s="17">
        <f t="shared" si="40"/>
        <v>0</v>
      </c>
      <c r="AB75" s="17">
        <f t="shared" si="41"/>
        <v>0</v>
      </c>
      <c r="AC75" s="17">
        <f t="shared" si="42"/>
        <v>0</v>
      </c>
      <c r="AD75" s="17">
        <f t="shared" si="43"/>
        <v>9.8494909251881368E-2</v>
      </c>
      <c r="AE75" s="17">
        <f t="shared" si="44"/>
        <v>0</v>
      </c>
      <c r="AF75" s="17">
        <f t="shared" si="45"/>
        <v>0</v>
      </c>
      <c r="AG75" s="17">
        <f t="shared" si="46"/>
        <v>0</v>
      </c>
      <c r="AH75" s="17">
        <f t="shared" si="51"/>
        <v>0.27202301903497123</v>
      </c>
      <c r="AI75" s="17">
        <f t="shared" si="52"/>
        <v>0</v>
      </c>
      <c r="AJ75" s="17">
        <f t="shared" si="53"/>
        <v>9.8494909251881368E-2</v>
      </c>
      <c r="AK75" s="17">
        <f t="shared" si="54"/>
        <v>9.8494909251881368E-2</v>
      </c>
      <c r="AL75" s="17"/>
      <c r="AM75" s="7" t="s">
        <v>2</v>
      </c>
      <c r="AN75" s="7" t="s">
        <v>20</v>
      </c>
      <c r="AO75" s="7"/>
      <c r="AP75" s="7"/>
    </row>
    <row r="76" spans="1:78" ht="18.75" x14ac:dyDescent="0.3">
      <c r="A76">
        <v>1970</v>
      </c>
      <c r="B76">
        <v>40.92</v>
      </c>
      <c r="C76">
        <v>1.46</v>
      </c>
      <c r="D76">
        <v>3.43</v>
      </c>
      <c r="E76">
        <v>7.59</v>
      </c>
      <c r="F76">
        <v>17.36</v>
      </c>
      <c r="G76">
        <v>5.89</v>
      </c>
      <c r="H76">
        <v>4.91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f t="shared" si="47"/>
        <v>10.8</v>
      </c>
      <c r="Q76">
        <f t="shared" si="48"/>
        <v>0</v>
      </c>
      <c r="R76">
        <f t="shared" si="49"/>
        <v>0</v>
      </c>
      <c r="S76">
        <f t="shared" si="50"/>
        <v>0</v>
      </c>
      <c r="U76" s="17">
        <f t="shared" si="34"/>
        <v>3.5679374389051804E-2</v>
      </c>
      <c r="V76" s="17">
        <f t="shared" si="35"/>
        <v>8.3822091886608011E-2</v>
      </c>
      <c r="W76" s="17">
        <f t="shared" si="36"/>
        <v>0.18548387096774194</v>
      </c>
      <c r="X76" s="17">
        <f t="shared" si="37"/>
        <v>0.4242424242424242</v>
      </c>
      <c r="Y76" s="17">
        <f t="shared" si="38"/>
        <v>0.14393939393939392</v>
      </c>
      <c r="Z76" s="17">
        <f t="shared" si="39"/>
        <v>0.11999022482893451</v>
      </c>
      <c r="AA76" s="17">
        <f t="shared" si="40"/>
        <v>0</v>
      </c>
      <c r="AB76" s="17">
        <f t="shared" si="41"/>
        <v>0</v>
      </c>
      <c r="AC76" s="17">
        <f t="shared" si="42"/>
        <v>0</v>
      </c>
      <c r="AD76" s="17">
        <f t="shared" si="43"/>
        <v>0</v>
      </c>
      <c r="AE76" s="17">
        <f t="shared" si="44"/>
        <v>0</v>
      </c>
      <c r="AF76" s="17">
        <f t="shared" si="45"/>
        <v>0</v>
      </c>
      <c r="AG76" s="17">
        <f t="shared" si="46"/>
        <v>0</v>
      </c>
      <c r="AH76" s="17">
        <f t="shared" si="51"/>
        <v>0.26392961876832843</v>
      </c>
      <c r="AI76" s="17">
        <f t="shared" si="52"/>
        <v>0</v>
      </c>
      <c r="AJ76" s="17">
        <f t="shared" si="53"/>
        <v>0</v>
      </c>
      <c r="AK76" s="17">
        <f t="shared" si="54"/>
        <v>0</v>
      </c>
      <c r="AL76" s="17"/>
      <c r="AM76" s="7" t="s">
        <v>3</v>
      </c>
      <c r="AN76" s="7" t="s">
        <v>21</v>
      </c>
      <c r="AO76" s="7"/>
      <c r="AP76" s="7"/>
    </row>
    <row r="77" spans="1:78" ht="18.75" x14ac:dyDescent="0.3">
      <c r="A77">
        <v>1971</v>
      </c>
      <c r="B77">
        <v>51.96</v>
      </c>
      <c r="C77">
        <v>1.74</v>
      </c>
      <c r="D77">
        <v>3.97</v>
      </c>
      <c r="E77">
        <v>7.49</v>
      </c>
      <c r="F77">
        <v>11.55</v>
      </c>
      <c r="G77">
        <v>10.75</v>
      </c>
      <c r="H77">
        <v>3.5</v>
      </c>
      <c r="I77">
        <v>2.0499999999999998</v>
      </c>
      <c r="J77">
        <v>2.96</v>
      </c>
      <c r="K77">
        <v>0</v>
      </c>
      <c r="L77">
        <v>0</v>
      </c>
      <c r="M77">
        <v>0</v>
      </c>
      <c r="N77">
        <v>0</v>
      </c>
      <c r="O77">
        <v>7.66</v>
      </c>
      <c r="P77">
        <f t="shared" si="47"/>
        <v>14.25</v>
      </c>
      <c r="Q77">
        <f t="shared" si="48"/>
        <v>5.01</v>
      </c>
      <c r="R77">
        <f t="shared" si="49"/>
        <v>7.66</v>
      </c>
      <c r="S77">
        <f t="shared" si="50"/>
        <v>12.67</v>
      </c>
      <c r="U77" s="17">
        <f t="shared" si="34"/>
        <v>3.348729792147806E-2</v>
      </c>
      <c r="V77" s="17">
        <f t="shared" si="35"/>
        <v>7.6404926866820627E-2</v>
      </c>
      <c r="W77" s="17">
        <f t="shared" si="36"/>
        <v>0.14414934565050039</v>
      </c>
      <c r="X77" s="17">
        <f t="shared" si="37"/>
        <v>0.22228637413394919</v>
      </c>
      <c r="Y77" s="17">
        <f t="shared" si="38"/>
        <v>0.20688991531947651</v>
      </c>
      <c r="Z77" s="17">
        <f t="shared" si="39"/>
        <v>6.735950731331794E-2</v>
      </c>
      <c r="AA77" s="17">
        <f t="shared" si="40"/>
        <v>3.9453425712086217E-2</v>
      </c>
      <c r="AB77" s="17">
        <f t="shared" si="41"/>
        <v>5.6966897613548881E-2</v>
      </c>
      <c r="AC77" s="17">
        <f t="shared" si="42"/>
        <v>0</v>
      </c>
      <c r="AD77" s="17">
        <f t="shared" si="43"/>
        <v>0</v>
      </c>
      <c r="AE77" s="17">
        <f t="shared" si="44"/>
        <v>0</v>
      </c>
      <c r="AF77" s="17">
        <f t="shared" si="45"/>
        <v>0</v>
      </c>
      <c r="AG77" s="17">
        <f t="shared" si="46"/>
        <v>0.14742109314857582</v>
      </c>
      <c r="AH77" s="17">
        <f t="shared" si="51"/>
        <v>0.27424942263279445</v>
      </c>
      <c r="AI77" s="17">
        <f t="shared" si="52"/>
        <v>9.6420323325635104E-2</v>
      </c>
      <c r="AJ77" s="17">
        <f t="shared" si="53"/>
        <v>0.14742109314857582</v>
      </c>
      <c r="AK77" s="17">
        <f t="shared" si="54"/>
        <v>0.24384141647421093</v>
      </c>
      <c r="AL77" s="17"/>
      <c r="AM77" s="7" t="s">
        <v>4</v>
      </c>
      <c r="AN77" s="7" t="s">
        <v>22</v>
      </c>
      <c r="AO77" s="7"/>
      <c r="AP77" s="7"/>
    </row>
    <row r="78" spans="1:78" ht="18.75" x14ac:dyDescent="0.3">
      <c r="A78">
        <v>1972</v>
      </c>
      <c r="B78">
        <v>57.25</v>
      </c>
      <c r="C78">
        <v>2.2200000000000002</v>
      </c>
      <c r="D78">
        <v>4.0199999999999996</v>
      </c>
      <c r="E78">
        <v>8.0299999999999994</v>
      </c>
      <c r="F78">
        <v>18.579999999999998</v>
      </c>
      <c r="G78">
        <v>13.5299999999999</v>
      </c>
      <c r="H78">
        <v>1.9</v>
      </c>
      <c r="I78">
        <v>2.1</v>
      </c>
      <c r="J78">
        <v>0</v>
      </c>
      <c r="K78">
        <v>6.6</v>
      </c>
      <c r="L78">
        <v>0</v>
      </c>
      <c r="M78">
        <v>0</v>
      </c>
      <c r="N78">
        <v>0</v>
      </c>
      <c r="O78">
        <v>0</v>
      </c>
      <c r="P78">
        <f t="shared" si="47"/>
        <v>15.4299999999999</v>
      </c>
      <c r="Q78">
        <f t="shared" si="48"/>
        <v>8.6999999999999993</v>
      </c>
      <c r="R78">
        <f t="shared" si="49"/>
        <v>0</v>
      </c>
      <c r="S78">
        <f t="shared" si="50"/>
        <v>8.6999999999999993</v>
      </c>
      <c r="U78" s="17">
        <f t="shared" si="34"/>
        <v>3.8777292576419216E-2</v>
      </c>
      <c r="V78" s="17">
        <f t="shared" si="35"/>
        <v>7.0218340611353708E-2</v>
      </c>
      <c r="W78" s="17">
        <f t="shared" si="36"/>
        <v>0.14026200873362443</v>
      </c>
      <c r="X78" s="17">
        <f t="shared" si="37"/>
        <v>0.32454148471615718</v>
      </c>
      <c r="Y78" s="17">
        <f t="shared" si="38"/>
        <v>0.2363318777292559</v>
      </c>
      <c r="Z78" s="17">
        <f t="shared" si="39"/>
        <v>3.3187772925764192E-2</v>
      </c>
      <c r="AA78" s="17">
        <f t="shared" si="40"/>
        <v>3.6681222707423584E-2</v>
      </c>
      <c r="AB78" s="17">
        <f t="shared" si="41"/>
        <v>0</v>
      </c>
      <c r="AC78" s="17">
        <f t="shared" si="42"/>
        <v>0.11528384279475982</v>
      </c>
      <c r="AD78" s="17">
        <f t="shared" si="43"/>
        <v>0</v>
      </c>
      <c r="AE78" s="17">
        <f t="shared" si="44"/>
        <v>0</v>
      </c>
      <c r="AF78" s="17">
        <f t="shared" si="45"/>
        <v>0</v>
      </c>
      <c r="AG78" s="17">
        <f t="shared" si="46"/>
        <v>0</v>
      </c>
      <c r="AH78" s="17">
        <f t="shared" si="51"/>
        <v>0.26951965065502009</v>
      </c>
      <c r="AI78" s="17">
        <f t="shared" si="52"/>
        <v>0.15196506550218342</v>
      </c>
      <c r="AJ78" s="17">
        <f t="shared" si="53"/>
        <v>0</v>
      </c>
      <c r="AK78" s="17">
        <f t="shared" si="54"/>
        <v>0.15196506550218342</v>
      </c>
      <c r="AL78" s="17"/>
      <c r="AM78" s="7" t="s">
        <v>23</v>
      </c>
      <c r="AN78" s="7" t="s">
        <v>37</v>
      </c>
      <c r="AO78" s="7"/>
      <c r="AP78" s="7"/>
    </row>
    <row r="79" spans="1:78" ht="18.75" x14ac:dyDescent="0.3">
      <c r="A79">
        <v>1973</v>
      </c>
      <c r="B79">
        <v>56.53</v>
      </c>
      <c r="C79">
        <v>1.58</v>
      </c>
      <c r="D79">
        <v>4.51</v>
      </c>
      <c r="E79">
        <v>5.8599999999999897</v>
      </c>
      <c r="F79">
        <v>14.87</v>
      </c>
      <c r="G79">
        <v>13.3</v>
      </c>
      <c r="H79">
        <v>5.51</v>
      </c>
      <c r="I79">
        <v>4.4800000000000004</v>
      </c>
      <c r="J79">
        <v>2.63</v>
      </c>
      <c r="K79">
        <v>3.63</v>
      </c>
      <c r="L79">
        <v>0</v>
      </c>
      <c r="M79">
        <v>0</v>
      </c>
      <c r="N79">
        <v>0</v>
      </c>
      <c r="O79">
        <v>0</v>
      </c>
      <c r="P79">
        <f t="shared" si="47"/>
        <v>18.810000000000002</v>
      </c>
      <c r="Q79">
        <f t="shared" si="48"/>
        <v>10.74</v>
      </c>
      <c r="R79">
        <f t="shared" si="49"/>
        <v>0</v>
      </c>
      <c r="S79">
        <f t="shared" si="50"/>
        <v>10.74</v>
      </c>
      <c r="U79" s="17">
        <f t="shared" si="34"/>
        <v>2.7949761188749336E-2</v>
      </c>
      <c r="V79" s="17">
        <f t="shared" si="35"/>
        <v>7.9780647443835132E-2</v>
      </c>
      <c r="W79" s="17">
        <f t="shared" si="36"/>
        <v>0.1036617725101714</v>
      </c>
      <c r="X79" s="17">
        <f t="shared" si="37"/>
        <v>0.26304617017512821</v>
      </c>
      <c r="Y79" s="17">
        <f t="shared" si="38"/>
        <v>0.23527330620909254</v>
      </c>
      <c r="Z79" s="17">
        <f t="shared" si="39"/>
        <v>9.747036971519546E-2</v>
      </c>
      <c r="AA79" s="17">
        <f t="shared" si="40"/>
        <v>7.9249955775694325E-2</v>
      </c>
      <c r="AB79" s="17">
        <f t="shared" si="41"/>
        <v>4.6523969573677687E-2</v>
      </c>
      <c r="AC79" s="17">
        <f t="shared" si="42"/>
        <v>6.4213691845038029E-2</v>
      </c>
      <c r="AD79" s="17">
        <f t="shared" si="43"/>
        <v>0</v>
      </c>
      <c r="AE79" s="17">
        <f t="shared" si="44"/>
        <v>0</v>
      </c>
      <c r="AF79" s="17">
        <f t="shared" si="45"/>
        <v>0</v>
      </c>
      <c r="AG79" s="17">
        <f t="shared" si="46"/>
        <v>0</v>
      </c>
      <c r="AH79" s="17">
        <f t="shared" si="51"/>
        <v>0.332743675924288</v>
      </c>
      <c r="AI79" s="17">
        <f t="shared" si="52"/>
        <v>0.18998761719441004</v>
      </c>
      <c r="AJ79" s="17">
        <f t="shared" si="53"/>
        <v>0</v>
      </c>
      <c r="AK79" s="17">
        <f t="shared" si="54"/>
        <v>0.18998761719441004</v>
      </c>
      <c r="AL79" s="17"/>
      <c r="AM79" s="7" t="s">
        <v>25</v>
      </c>
      <c r="AN79" s="7" t="s">
        <v>38</v>
      </c>
      <c r="AO79" s="7"/>
      <c r="AP79" s="7"/>
    </row>
    <row r="80" spans="1:78" x14ac:dyDescent="0.25">
      <c r="A80">
        <v>1974</v>
      </c>
      <c r="B80">
        <v>43.09</v>
      </c>
      <c r="C80">
        <v>1.39</v>
      </c>
      <c r="D80">
        <v>3.8799999999999901</v>
      </c>
      <c r="E80">
        <v>8.7499999999999893</v>
      </c>
      <c r="F80">
        <v>12.99</v>
      </c>
      <c r="G80">
        <v>8.0299999999999994</v>
      </c>
      <c r="H80">
        <v>3.38</v>
      </c>
      <c r="I80">
        <v>4.38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f t="shared" si="47"/>
        <v>11.41</v>
      </c>
      <c r="Q80">
        <f t="shared" si="48"/>
        <v>4.38</v>
      </c>
      <c r="R80">
        <f t="shared" si="49"/>
        <v>0</v>
      </c>
      <c r="S80">
        <f t="shared" si="50"/>
        <v>4.38</v>
      </c>
      <c r="U80" s="17">
        <f t="shared" si="34"/>
        <v>3.2258064516129024E-2</v>
      </c>
      <c r="V80" s="17">
        <f t="shared" si="35"/>
        <v>9.0044093757252031E-2</v>
      </c>
      <c r="W80" s="17">
        <f t="shared" si="36"/>
        <v>0.20306335576699905</v>
      </c>
      <c r="X80" s="17">
        <f t="shared" si="37"/>
        <v>0.30146205616152238</v>
      </c>
      <c r="Y80" s="17">
        <f t="shared" si="38"/>
        <v>0.18635414249245763</v>
      </c>
      <c r="Z80" s="17">
        <f t="shared" si="39"/>
        <v>7.8440473427709434E-2</v>
      </c>
      <c r="AA80" s="17">
        <f t="shared" si="40"/>
        <v>0.10164771408679507</v>
      </c>
      <c r="AB80" s="17">
        <f t="shared" si="41"/>
        <v>0</v>
      </c>
      <c r="AC80" s="17">
        <f t="shared" si="42"/>
        <v>0</v>
      </c>
      <c r="AD80" s="17">
        <f t="shared" si="43"/>
        <v>0</v>
      </c>
      <c r="AE80" s="17">
        <f t="shared" si="44"/>
        <v>0</v>
      </c>
      <c r="AF80" s="17">
        <f t="shared" si="45"/>
        <v>0</v>
      </c>
      <c r="AG80" s="17">
        <f t="shared" si="46"/>
        <v>0</v>
      </c>
      <c r="AH80" s="17">
        <f t="shared" si="51"/>
        <v>0.26479461592016706</v>
      </c>
      <c r="AI80" s="17">
        <f t="shared" si="52"/>
        <v>0.10164771408679507</v>
      </c>
      <c r="AJ80" s="17">
        <f t="shared" si="53"/>
        <v>0</v>
      </c>
      <c r="AK80" s="17">
        <f t="shared" si="54"/>
        <v>0.10164771408679507</v>
      </c>
      <c r="AL80" s="17"/>
    </row>
    <row r="81" spans="1:42" x14ac:dyDescent="0.25">
      <c r="A81">
        <v>1975</v>
      </c>
      <c r="B81">
        <v>65.849999999999994</v>
      </c>
      <c r="C81">
        <v>1.66</v>
      </c>
      <c r="D81">
        <v>5.24</v>
      </c>
      <c r="E81">
        <v>8.21999999999999</v>
      </c>
      <c r="F81">
        <v>16.84</v>
      </c>
      <c r="G81">
        <v>10.35</v>
      </c>
      <c r="H81">
        <v>14.26</v>
      </c>
      <c r="I81">
        <v>2.21</v>
      </c>
      <c r="J81">
        <v>0</v>
      </c>
      <c r="K81">
        <v>6.76</v>
      </c>
      <c r="L81">
        <v>0</v>
      </c>
      <c r="M81">
        <v>0</v>
      </c>
      <c r="N81">
        <v>0</v>
      </c>
      <c r="O81">
        <v>0</v>
      </c>
      <c r="P81">
        <f t="shared" si="47"/>
        <v>24.61</v>
      </c>
      <c r="Q81">
        <f t="shared" si="48"/>
        <v>8.9699999999999989</v>
      </c>
      <c r="R81">
        <f t="shared" si="49"/>
        <v>0</v>
      </c>
      <c r="S81">
        <f t="shared" si="50"/>
        <v>8.9699999999999989</v>
      </c>
      <c r="U81" s="17">
        <f t="shared" si="34"/>
        <v>2.5208807896735005E-2</v>
      </c>
      <c r="V81" s="17">
        <f t="shared" si="35"/>
        <v>7.957479119210327E-2</v>
      </c>
      <c r="W81" s="17">
        <f t="shared" si="36"/>
        <v>0.1248291571753985</v>
      </c>
      <c r="X81" s="17">
        <f t="shared" si="37"/>
        <v>0.25573272589217921</v>
      </c>
      <c r="Y81" s="17">
        <f t="shared" si="38"/>
        <v>0.15717539863325741</v>
      </c>
      <c r="Z81" s="17">
        <f t="shared" si="39"/>
        <v>0.21655277145026577</v>
      </c>
      <c r="AA81" s="17">
        <f t="shared" si="40"/>
        <v>3.3561123766135161E-2</v>
      </c>
      <c r="AB81" s="17">
        <f t="shared" si="41"/>
        <v>0</v>
      </c>
      <c r="AC81" s="17">
        <f t="shared" si="42"/>
        <v>0.1026575550493546</v>
      </c>
      <c r="AD81" s="17">
        <f t="shared" si="43"/>
        <v>0</v>
      </c>
      <c r="AE81" s="17">
        <f t="shared" si="44"/>
        <v>0</v>
      </c>
      <c r="AF81" s="17">
        <f t="shared" si="45"/>
        <v>0</v>
      </c>
      <c r="AG81" s="17">
        <f t="shared" si="46"/>
        <v>0</v>
      </c>
      <c r="AH81" s="17">
        <f t="shared" si="51"/>
        <v>0.37372817008352321</v>
      </c>
      <c r="AI81" s="17">
        <f t="shared" si="52"/>
        <v>0.13621867881548977</v>
      </c>
      <c r="AJ81" s="17">
        <f t="shared" si="53"/>
        <v>0</v>
      </c>
      <c r="AK81" s="17">
        <f t="shared" si="54"/>
        <v>0.13621867881548977</v>
      </c>
      <c r="AL81" s="17"/>
    </row>
    <row r="82" spans="1:42" x14ac:dyDescent="0.25">
      <c r="A82">
        <v>1976</v>
      </c>
      <c r="B82">
        <v>36.159999999999997</v>
      </c>
      <c r="C82">
        <v>1.78</v>
      </c>
      <c r="D82">
        <v>5.13</v>
      </c>
      <c r="E82">
        <v>6.74</v>
      </c>
      <c r="F82">
        <v>8.43</v>
      </c>
      <c r="G82">
        <v>5.68</v>
      </c>
      <c r="H82">
        <v>1.54</v>
      </c>
      <c r="I82">
        <v>6.65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f t="shared" si="47"/>
        <v>7.22</v>
      </c>
      <c r="Q82">
        <f t="shared" si="48"/>
        <v>6.65</v>
      </c>
      <c r="R82">
        <f t="shared" si="49"/>
        <v>0</v>
      </c>
      <c r="S82">
        <f t="shared" si="50"/>
        <v>6.65</v>
      </c>
      <c r="U82" s="17">
        <f t="shared" si="34"/>
        <v>4.9225663716814166E-2</v>
      </c>
      <c r="V82" s="17">
        <f t="shared" si="35"/>
        <v>0.14186946902654868</v>
      </c>
      <c r="W82" s="17">
        <f t="shared" si="36"/>
        <v>0.18639380530973454</v>
      </c>
      <c r="X82" s="17">
        <f t="shared" si="37"/>
        <v>0.23313053097345135</v>
      </c>
      <c r="Y82" s="17">
        <f t="shared" si="38"/>
        <v>0.15707964601769911</v>
      </c>
      <c r="Z82" s="17">
        <f t="shared" si="39"/>
        <v>4.2588495575221243E-2</v>
      </c>
      <c r="AA82" s="17">
        <f t="shared" si="40"/>
        <v>0.18390486725663718</v>
      </c>
      <c r="AB82" s="17">
        <f t="shared" si="41"/>
        <v>0</v>
      </c>
      <c r="AC82" s="17">
        <f t="shared" si="42"/>
        <v>0</v>
      </c>
      <c r="AD82" s="17">
        <f t="shared" si="43"/>
        <v>0</v>
      </c>
      <c r="AE82" s="17">
        <f t="shared" si="44"/>
        <v>0</v>
      </c>
      <c r="AF82" s="17">
        <f t="shared" si="45"/>
        <v>0</v>
      </c>
      <c r="AG82" s="17">
        <f t="shared" si="46"/>
        <v>0</v>
      </c>
      <c r="AH82" s="17">
        <f t="shared" si="51"/>
        <v>0.19966814159292035</v>
      </c>
      <c r="AI82" s="17">
        <f t="shared" si="52"/>
        <v>0.18390486725663718</v>
      </c>
      <c r="AJ82" s="17">
        <f t="shared" si="53"/>
        <v>0</v>
      </c>
      <c r="AK82" s="17">
        <f t="shared" si="54"/>
        <v>0.18390486725663718</v>
      </c>
      <c r="AL82" s="17"/>
    </row>
    <row r="83" spans="1:42" x14ac:dyDescent="0.25">
      <c r="A83">
        <v>1977</v>
      </c>
      <c r="B83">
        <v>51.38</v>
      </c>
      <c r="C83">
        <v>1.44</v>
      </c>
      <c r="D83">
        <v>4.4400000000000004</v>
      </c>
      <c r="E83">
        <v>7.5999999999999899</v>
      </c>
      <c r="F83">
        <v>16.87</v>
      </c>
      <c r="G83">
        <v>5.84</v>
      </c>
      <c r="H83">
        <v>6.63</v>
      </c>
      <c r="I83">
        <v>4.5599999999999996</v>
      </c>
      <c r="J83">
        <v>0</v>
      </c>
      <c r="K83">
        <v>3.7</v>
      </c>
      <c r="L83">
        <v>0</v>
      </c>
      <c r="M83">
        <v>0</v>
      </c>
      <c r="N83">
        <v>0</v>
      </c>
      <c r="O83">
        <v>0</v>
      </c>
      <c r="P83">
        <f t="shared" si="47"/>
        <v>12.469999999999999</v>
      </c>
      <c r="Q83">
        <f t="shared" si="48"/>
        <v>8.26</v>
      </c>
      <c r="R83">
        <f t="shared" si="49"/>
        <v>0</v>
      </c>
      <c r="S83">
        <f t="shared" si="50"/>
        <v>8.26</v>
      </c>
      <c r="U83" s="17">
        <f t="shared" si="34"/>
        <v>2.8026469443363174E-2</v>
      </c>
      <c r="V83" s="17">
        <f t="shared" si="35"/>
        <v>8.6414947450369803E-2</v>
      </c>
      <c r="W83" s="17">
        <f t="shared" si="36"/>
        <v>0.1479174776177499</v>
      </c>
      <c r="X83" s="17">
        <f t="shared" si="37"/>
        <v>0.32833787465940056</v>
      </c>
      <c r="Y83" s="17">
        <f t="shared" si="38"/>
        <v>0.11366290385363954</v>
      </c>
      <c r="Z83" s="17">
        <f t="shared" si="39"/>
        <v>0.12903853639548463</v>
      </c>
      <c r="AA83" s="17">
        <f t="shared" si="40"/>
        <v>8.8750486570650045E-2</v>
      </c>
      <c r="AB83" s="17">
        <f t="shared" si="41"/>
        <v>0</v>
      </c>
      <c r="AC83" s="17">
        <f t="shared" si="42"/>
        <v>7.2012456208641495E-2</v>
      </c>
      <c r="AD83" s="17">
        <f t="shared" si="43"/>
        <v>0</v>
      </c>
      <c r="AE83" s="17">
        <f t="shared" si="44"/>
        <v>0</v>
      </c>
      <c r="AF83" s="17">
        <f t="shared" si="45"/>
        <v>0</v>
      </c>
      <c r="AG83" s="17">
        <f t="shared" si="46"/>
        <v>0</v>
      </c>
      <c r="AH83" s="17">
        <f t="shared" si="51"/>
        <v>0.24270144024912416</v>
      </c>
      <c r="AI83" s="17">
        <f t="shared" si="52"/>
        <v>0.16076294277929154</v>
      </c>
      <c r="AJ83" s="17">
        <f t="shared" si="53"/>
        <v>0</v>
      </c>
      <c r="AK83" s="17">
        <f t="shared" si="54"/>
        <v>0.16076294277929154</v>
      </c>
      <c r="AL83" s="17"/>
    </row>
    <row r="84" spans="1:42" x14ac:dyDescent="0.25">
      <c r="A84">
        <v>1978</v>
      </c>
      <c r="B84">
        <v>46.12</v>
      </c>
      <c r="C84">
        <v>1.35</v>
      </c>
      <c r="D84">
        <v>3.44</v>
      </c>
      <c r="E84">
        <v>7.97</v>
      </c>
      <c r="F84">
        <v>12.7699999999999</v>
      </c>
      <c r="G84">
        <v>10.2799999999999</v>
      </c>
      <c r="H84">
        <v>7.85</v>
      </c>
      <c r="I84">
        <v>2.1800000000000002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f t="shared" si="47"/>
        <v>18.1299999999999</v>
      </c>
      <c r="Q84">
        <f t="shared" si="48"/>
        <v>2.1800000000000002</v>
      </c>
      <c r="R84">
        <f t="shared" si="49"/>
        <v>0</v>
      </c>
      <c r="S84">
        <f t="shared" si="50"/>
        <v>2.1800000000000002</v>
      </c>
      <c r="U84" s="17">
        <f t="shared" si="34"/>
        <v>2.9271465741543802E-2</v>
      </c>
      <c r="V84" s="17">
        <f t="shared" si="35"/>
        <v>7.4588031222896797E-2</v>
      </c>
      <c r="W84" s="17">
        <f t="shared" si="36"/>
        <v>0.17281006071118821</v>
      </c>
      <c r="X84" s="17">
        <f t="shared" si="37"/>
        <v>0.2768863833477862</v>
      </c>
      <c r="Y84" s="17">
        <f t="shared" si="38"/>
        <v>0.22289679098004989</v>
      </c>
      <c r="Z84" s="17">
        <f t="shared" si="39"/>
        <v>0.1702081526452732</v>
      </c>
      <c r="AA84" s="17">
        <f t="shared" si="40"/>
        <v>4.7267996530789252E-2</v>
      </c>
      <c r="AB84" s="17">
        <f t="shared" si="41"/>
        <v>0</v>
      </c>
      <c r="AC84" s="17">
        <f t="shared" si="42"/>
        <v>0</v>
      </c>
      <c r="AD84" s="17">
        <f t="shared" si="43"/>
        <v>0</v>
      </c>
      <c r="AE84" s="17">
        <f t="shared" si="44"/>
        <v>0</v>
      </c>
      <c r="AF84" s="17">
        <f t="shared" si="45"/>
        <v>0</v>
      </c>
      <c r="AG84" s="17">
        <f t="shared" si="46"/>
        <v>0</v>
      </c>
      <c r="AH84" s="17">
        <f t="shared" si="51"/>
        <v>0.39310494362532311</v>
      </c>
      <c r="AI84" s="17">
        <f t="shared" si="52"/>
        <v>4.7267996530789252E-2</v>
      </c>
      <c r="AJ84" s="17">
        <f t="shared" si="53"/>
        <v>0</v>
      </c>
      <c r="AK84" s="17">
        <f t="shared" si="54"/>
        <v>4.7267996530789252E-2</v>
      </c>
      <c r="AL84" s="17"/>
    </row>
    <row r="85" spans="1:42" x14ac:dyDescent="0.25">
      <c r="A85">
        <v>1979</v>
      </c>
      <c r="B85">
        <v>59.11</v>
      </c>
      <c r="C85">
        <v>1.62</v>
      </c>
      <c r="D85">
        <v>5.09</v>
      </c>
      <c r="E85">
        <v>9.0299999999999994</v>
      </c>
      <c r="F85">
        <v>12.76</v>
      </c>
      <c r="G85">
        <v>13.02</v>
      </c>
      <c r="H85">
        <v>3.35</v>
      </c>
      <c r="I85">
        <v>2.31</v>
      </c>
      <c r="J85">
        <v>5.3699999999999903</v>
      </c>
      <c r="K85">
        <v>6.33</v>
      </c>
      <c r="L85">
        <v>0</v>
      </c>
      <c r="M85">
        <v>0</v>
      </c>
      <c r="N85">
        <v>0</v>
      </c>
      <c r="O85">
        <v>0</v>
      </c>
      <c r="P85">
        <f t="shared" si="47"/>
        <v>16.37</v>
      </c>
      <c r="Q85">
        <f t="shared" si="48"/>
        <v>14.009999999999991</v>
      </c>
      <c r="R85">
        <f t="shared" si="49"/>
        <v>0</v>
      </c>
      <c r="S85">
        <f t="shared" si="50"/>
        <v>14.009999999999991</v>
      </c>
      <c r="U85" s="17">
        <f t="shared" si="34"/>
        <v>2.7406530197936055E-2</v>
      </c>
      <c r="V85" s="17">
        <f t="shared" si="35"/>
        <v>8.6110641177465738E-2</v>
      </c>
      <c r="W85" s="17">
        <f t="shared" si="36"/>
        <v>0.15276602943664352</v>
      </c>
      <c r="X85" s="17">
        <f t="shared" si="37"/>
        <v>0.21586871933682963</v>
      </c>
      <c r="Y85" s="17">
        <f t="shared" si="38"/>
        <v>0.22026729825748603</v>
      </c>
      <c r="Z85" s="17">
        <f t="shared" si="39"/>
        <v>5.6673997631534433E-2</v>
      </c>
      <c r="AA85" s="17">
        <f t="shared" si="40"/>
        <v>3.9079681948908818E-2</v>
      </c>
      <c r="AB85" s="17">
        <f t="shared" si="41"/>
        <v>9.0847572322787853E-2</v>
      </c>
      <c r="AC85" s="17">
        <f t="shared" si="42"/>
        <v>0.10708847910675012</v>
      </c>
      <c r="AD85" s="17">
        <f t="shared" si="43"/>
        <v>0</v>
      </c>
      <c r="AE85" s="17">
        <f t="shared" si="44"/>
        <v>0</v>
      </c>
      <c r="AF85" s="17">
        <f t="shared" si="45"/>
        <v>0</v>
      </c>
      <c r="AG85" s="17">
        <f t="shared" si="46"/>
        <v>0</v>
      </c>
      <c r="AH85" s="17">
        <f t="shared" si="51"/>
        <v>0.27694129588902044</v>
      </c>
      <c r="AI85" s="17">
        <f t="shared" si="52"/>
        <v>0.23701573337844678</v>
      </c>
      <c r="AJ85" s="17">
        <f t="shared" si="53"/>
        <v>0</v>
      </c>
      <c r="AK85" s="17">
        <f t="shared" si="54"/>
        <v>0.23701573337844678</v>
      </c>
      <c r="AL85" s="17"/>
    </row>
    <row r="86" spans="1:42" x14ac:dyDescent="0.25">
      <c r="A86">
        <v>1980</v>
      </c>
      <c r="B86">
        <v>38.97</v>
      </c>
      <c r="C86">
        <v>1.35</v>
      </c>
      <c r="D86">
        <v>4.17</v>
      </c>
      <c r="E86">
        <v>5.69</v>
      </c>
      <c r="F86">
        <v>11.72</v>
      </c>
      <c r="G86">
        <v>7.4399999999999897</v>
      </c>
      <c r="H86">
        <v>5.3199999999999896</v>
      </c>
      <c r="I86">
        <v>0</v>
      </c>
      <c r="J86">
        <v>0</v>
      </c>
      <c r="K86">
        <v>3.01</v>
      </c>
      <c r="L86">
        <v>0</v>
      </c>
      <c r="M86">
        <v>0</v>
      </c>
      <c r="N86">
        <v>0</v>
      </c>
      <c r="O86">
        <v>0</v>
      </c>
      <c r="P86">
        <f t="shared" si="47"/>
        <v>12.75999999999998</v>
      </c>
      <c r="Q86">
        <f t="shared" si="48"/>
        <v>3.01</v>
      </c>
      <c r="R86">
        <f t="shared" si="49"/>
        <v>0</v>
      </c>
      <c r="S86">
        <f t="shared" si="50"/>
        <v>3.01</v>
      </c>
      <c r="U86" s="17">
        <f t="shared" si="34"/>
        <v>3.4642032332563515E-2</v>
      </c>
      <c r="V86" s="17">
        <f t="shared" si="35"/>
        <v>0.10700538876058506</v>
      </c>
      <c r="W86" s="17">
        <f t="shared" si="36"/>
        <v>0.14600975109058251</v>
      </c>
      <c r="X86" s="17">
        <f t="shared" si="37"/>
        <v>0.30074416217603289</v>
      </c>
      <c r="Y86" s="17">
        <f t="shared" si="38"/>
        <v>0.19091608929946086</v>
      </c>
      <c r="Z86" s="17">
        <f t="shared" si="39"/>
        <v>0.13651526815499077</v>
      </c>
      <c r="AA86" s="17">
        <f t="shared" si="40"/>
        <v>0</v>
      </c>
      <c r="AB86" s="17">
        <f t="shared" si="41"/>
        <v>0</v>
      </c>
      <c r="AC86" s="17">
        <f t="shared" si="42"/>
        <v>7.7238901719271225E-2</v>
      </c>
      <c r="AD86" s="17">
        <f t="shared" si="43"/>
        <v>0</v>
      </c>
      <c r="AE86" s="17">
        <f t="shared" si="44"/>
        <v>0</v>
      </c>
      <c r="AF86" s="17">
        <f t="shared" si="45"/>
        <v>0</v>
      </c>
      <c r="AG86" s="17">
        <f t="shared" si="46"/>
        <v>0</v>
      </c>
      <c r="AH86" s="17">
        <f t="shared" si="51"/>
        <v>0.32743135745445162</v>
      </c>
      <c r="AI86" s="17">
        <f t="shared" si="52"/>
        <v>7.7238901719271225E-2</v>
      </c>
      <c r="AJ86" s="17">
        <f t="shared" si="53"/>
        <v>0</v>
      </c>
      <c r="AK86" s="17">
        <f t="shared" si="54"/>
        <v>7.7238901719271225E-2</v>
      </c>
      <c r="AL86" s="17"/>
    </row>
    <row r="87" spans="1:42" x14ac:dyDescent="0.25">
      <c r="A87">
        <v>1981</v>
      </c>
      <c r="B87">
        <v>40</v>
      </c>
      <c r="C87">
        <v>1.85</v>
      </c>
      <c r="D87">
        <v>2.82</v>
      </c>
      <c r="E87">
        <v>6.7099999999999902</v>
      </c>
      <c r="F87">
        <v>11.01</v>
      </c>
      <c r="G87">
        <v>9.0299999999999994</v>
      </c>
      <c r="H87">
        <v>3.76</v>
      </c>
      <c r="I87">
        <v>4.4800000000000004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f t="shared" si="47"/>
        <v>12.79</v>
      </c>
      <c r="Q87">
        <f t="shared" si="48"/>
        <v>4.4800000000000004</v>
      </c>
      <c r="R87">
        <f t="shared" si="49"/>
        <v>0</v>
      </c>
      <c r="S87">
        <f t="shared" si="50"/>
        <v>4.4800000000000004</v>
      </c>
      <c r="U87" s="17">
        <f t="shared" si="34"/>
        <v>4.6249999999999999E-2</v>
      </c>
      <c r="V87" s="17">
        <f t="shared" si="35"/>
        <v>7.0499999999999993E-2</v>
      </c>
      <c r="W87" s="17">
        <f t="shared" si="36"/>
        <v>0.16774999999999976</v>
      </c>
      <c r="X87" s="17">
        <f t="shared" si="37"/>
        <v>0.27524999999999999</v>
      </c>
      <c r="Y87" s="17">
        <f t="shared" si="38"/>
        <v>0.22574999999999998</v>
      </c>
      <c r="Z87" s="17">
        <f t="shared" si="39"/>
        <v>9.4E-2</v>
      </c>
      <c r="AA87" s="17">
        <f t="shared" si="40"/>
        <v>0.11200000000000002</v>
      </c>
      <c r="AB87" s="17">
        <f t="shared" si="41"/>
        <v>0</v>
      </c>
      <c r="AC87" s="17">
        <f t="shared" si="42"/>
        <v>0</v>
      </c>
      <c r="AD87" s="17">
        <f t="shared" si="43"/>
        <v>0</v>
      </c>
      <c r="AE87" s="17">
        <f t="shared" si="44"/>
        <v>0</v>
      </c>
      <c r="AF87" s="17">
        <f t="shared" si="45"/>
        <v>0</v>
      </c>
      <c r="AG87" s="17">
        <f t="shared" si="46"/>
        <v>0</v>
      </c>
      <c r="AH87" s="17">
        <f t="shared" si="51"/>
        <v>0.31974999999999998</v>
      </c>
      <c r="AI87" s="17">
        <f t="shared" si="52"/>
        <v>0.11200000000000002</v>
      </c>
      <c r="AJ87" s="17">
        <f t="shared" si="53"/>
        <v>0</v>
      </c>
      <c r="AK87" s="17">
        <f t="shared" si="54"/>
        <v>0.11200000000000002</v>
      </c>
      <c r="AL87" s="17"/>
    </row>
    <row r="88" spans="1:42" x14ac:dyDescent="0.25">
      <c r="A88">
        <v>1982</v>
      </c>
      <c r="B88">
        <v>40.98</v>
      </c>
      <c r="C88">
        <v>1.54</v>
      </c>
      <c r="D88">
        <v>3.5399999999999898</v>
      </c>
      <c r="E88">
        <v>6.1199999999999903</v>
      </c>
      <c r="F88">
        <v>10.48</v>
      </c>
      <c r="G88">
        <v>8.36</v>
      </c>
      <c r="H88">
        <v>8.33</v>
      </c>
      <c r="I88">
        <v>2.3199999999999998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f t="shared" si="47"/>
        <v>16.689999999999998</v>
      </c>
      <c r="Q88">
        <f t="shared" si="48"/>
        <v>2.3199999999999998</v>
      </c>
      <c r="R88">
        <f t="shared" si="49"/>
        <v>0</v>
      </c>
      <c r="S88">
        <f t="shared" si="50"/>
        <v>2.3199999999999998</v>
      </c>
      <c r="U88" s="17">
        <f t="shared" si="34"/>
        <v>3.7579306979014154E-2</v>
      </c>
      <c r="V88" s="17">
        <f t="shared" si="35"/>
        <v>8.6383601756954365E-2</v>
      </c>
      <c r="W88" s="17">
        <f t="shared" si="36"/>
        <v>0.14934114202049759</v>
      </c>
      <c r="X88" s="17">
        <f t="shared" si="37"/>
        <v>0.25573450463640801</v>
      </c>
      <c r="Y88" s="17">
        <f t="shared" si="38"/>
        <v>0.20400195217179112</v>
      </c>
      <c r="Z88" s="17">
        <f t="shared" si="39"/>
        <v>0.20326988775012203</v>
      </c>
      <c r="AA88" s="17">
        <f t="shared" si="40"/>
        <v>5.6612981942410934E-2</v>
      </c>
      <c r="AB88" s="17">
        <f t="shared" si="41"/>
        <v>0</v>
      </c>
      <c r="AC88" s="17">
        <f t="shared" si="42"/>
        <v>0</v>
      </c>
      <c r="AD88" s="17">
        <f t="shared" si="43"/>
        <v>0</v>
      </c>
      <c r="AE88" s="17">
        <f t="shared" si="44"/>
        <v>0</v>
      </c>
      <c r="AF88" s="17">
        <f t="shared" si="45"/>
        <v>0</v>
      </c>
      <c r="AG88" s="17">
        <f t="shared" si="46"/>
        <v>0</v>
      </c>
      <c r="AH88" s="17">
        <f t="shared" si="51"/>
        <v>0.40727183992191318</v>
      </c>
      <c r="AI88" s="17">
        <f t="shared" si="52"/>
        <v>5.6612981942410934E-2</v>
      </c>
      <c r="AJ88" s="17">
        <f t="shared" si="53"/>
        <v>0</v>
      </c>
      <c r="AK88" s="17">
        <f t="shared" si="54"/>
        <v>5.6612981942410934E-2</v>
      </c>
      <c r="AL88" s="17"/>
    </row>
    <row r="89" spans="1:42" x14ac:dyDescent="0.25">
      <c r="A89">
        <v>1983</v>
      </c>
      <c r="B89">
        <v>61.82</v>
      </c>
      <c r="C89">
        <v>1</v>
      </c>
      <c r="D89">
        <v>3.57</v>
      </c>
      <c r="E89">
        <v>5.92</v>
      </c>
      <c r="F89">
        <v>13.93</v>
      </c>
      <c r="G89">
        <v>18.739999999999899</v>
      </c>
      <c r="H89">
        <v>11.639999999999899</v>
      </c>
      <c r="I89">
        <v>6.86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f t="shared" si="47"/>
        <v>30.379999999999797</v>
      </c>
      <c r="Q89">
        <f t="shared" si="48"/>
        <v>6.86</v>
      </c>
      <c r="R89">
        <f t="shared" si="49"/>
        <v>0</v>
      </c>
      <c r="S89">
        <f t="shared" si="50"/>
        <v>6.86</v>
      </c>
      <c r="U89" s="17">
        <f t="shared" si="34"/>
        <v>1.6175994823681657E-2</v>
      </c>
      <c r="V89" s="17">
        <f t="shared" si="35"/>
        <v>5.7748301520543513E-2</v>
      </c>
      <c r="W89" s="17">
        <f t="shared" si="36"/>
        <v>9.5761889356195409E-2</v>
      </c>
      <c r="X89" s="17">
        <f t="shared" si="37"/>
        <v>0.22533160789388545</v>
      </c>
      <c r="Y89" s="17">
        <f t="shared" si="38"/>
        <v>0.30313814299579261</v>
      </c>
      <c r="Z89" s="17">
        <f t="shared" si="39"/>
        <v>0.18828857974765284</v>
      </c>
      <c r="AA89" s="17">
        <f t="shared" si="40"/>
        <v>0.11096732449045617</v>
      </c>
      <c r="AB89" s="17">
        <f t="shared" si="41"/>
        <v>0</v>
      </c>
      <c r="AC89" s="17">
        <f t="shared" si="42"/>
        <v>0</v>
      </c>
      <c r="AD89" s="17">
        <f t="shared" si="43"/>
        <v>0</v>
      </c>
      <c r="AE89" s="17">
        <f t="shared" si="44"/>
        <v>0</v>
      </c>
      <c r="AF89" s="17">
        <f t="shared" si="45"/>
        <v>0</v>
      </c>
      <c r="AG89" s="17">
        <f t="shared" si="46"/>
        <v>0</v>
      </c>
      <c r="AH89" s="17">
        <f t="shared" si="51"/>
        <v>0.49142672274344545</v>
      </c>
      <c r="AI89" s="17">
        <f t="shared" si="52"/>
        <v>0.11096732449045617</v>
      </c>
      <c r="AJ89" s="17">
        <f t="shared" si="53"/>
        <v>0</v>
      </c>
      <c r="AK89" s="17">
        <f t="shared" si="54"/>
        <v>0.11096732449045617</v>
      </c>
      <c r="AL89" s="17"/>
    </row>
    <row r="90" spans="1:42" x14ac:dyDescent="0.25">
      <c r="A90">
        <v>1984</v>
      </c>
      <c r="B90">
        <v>52.93</v>
      </c>
      <c r="C90">
        <v>1.43</v>
      </c>
      <c r="D90">
        <v>2.8699999999999899</v>
      </c>
      <c r="E90">
        <v>8.18</v>
      </c>
      <c r="F90">
        <v>19.170000000000002</v>
      </c>
      <c r="G90">
        <v>9.33</v>
      </c>
      <c r="H90">
        <v>8.8699999999999992</v>
      </c>
      <c r="I90">
        <v>0</v>
      </c>
      <c r="J90">
        <v>2.84</v>
      </c>
      <c r="K90">
        <v>0</v>
      </c>
      <c r="L90">
        <v>0</v>
      </c>
      <c r="M90">
        <v>0</v>
      </c>
      <c r="N90">
        <v>0</v>
      </c>
      <c r="O90">
        <v>0</v>
      </c>
      <c r="P90">
        <f t="shared" si="47"/>
        <v>18.2</v>
      </c>
      <c r="Q90">
        <f t="shared" si="48"/>
        <v>2.84</v>
      </c>
      <c r="R90">
        <f t="shared" si="49"/>
        <v>0</v>
      </c>
      <c r="S90">
        <f t="shared" si="50"/>
        <v>2.84</v>
      </c>
      <c r="U90" s="17">
        <f t="shared" si="34"/>
        <v>2.701681466087285E-2</v>
      </c>
      <c r="V90" s="17">
        <f t="shared" si="35"/>
        <v>5.422255809559777E-2</v>
      </c>
      <c r="W90" s="17">
        <f t="shared" si="36"/>
        <v>0.15454373701114679</v>
      </c>
      <c r="X90" s="17">
        <f t="shared" si="37"/>
        <v>0.36217645947477806</v>
      </c>
      <c r="Y90" s="17">
        <f t="shared" si="38"/>
        <v>0.17627054600415643</v>
      </c>
      <c r="Z90" s="17">
        <f t="shared" si="39"/>
        <v>0.16757982240695257</v>
      </c>
      <c r="AA90" s="17">
        <f t="shared" si="40"/>
        <v>0</v>
      </c>
      <c r="AB90" s="17">
        <f t="shared" si="41"/>
        <v>5.3655771774041183E-2</v>
      </c>
      <c r="AC90" s="17">
        <f t="shared" si="42"/>
        <v>0</v>
      </c>
      <c r="AD90" s="17">
        <f t="shared" si="43"/>
        <v>0</v>
      </c>
      <c r="AE90" s="17">
        <f t="shared" si="44"/>
        <v>0</v>
      </c>
      <c r="AF90" s="17">
        <f t="shared" si="45"/>
        <v>0</v>
      </c>
      <c r="AG90" s="17">
        <f t="shared" si="46"/>
        <v>0</v>
      </c>
      <c r="AH90" s="17">
        <f t="shared" si="51"/>
        <v>0.343850368411109</v>
      </c>
      <c r="AI90" s="17">
        <f t="shared" si="52"/>
        <v>5.3655771774041183E-2</v>
      </c>
      <c r="AJ90" s="17">
        <f t="shared" si="53"/>
        <v>0</v>
      </c>
      <c r="AK90" s="17">
        <f t="shared" si="54"/>
        <v>5.3655771774041183E-2</v>
      </c>
      <c r="AL90" s="17"/>
    </row>
    <row r="91" spans="1:42" x14ac:dyDescent="0.25">
      <c r="A91">
        <v>1985</v>
      </c>
      <c r="B91">
        <v>43.42</v>
      </c>
      <c r="C91">
        <v>1.94</v>
      </c>
      <c r="D91">
        <v>2.95</v>
      </c>
      <c r="E91">
        <v>4.38</v>
      </c>
      <c r="F91">
        <v>13.14</v>
      </c>
      <c r="G91">
        <v>8.76</v>
      </c>
      <c r="H91">
        <v>7.01</v>
      </c>
      <c r="I91">
        <v>2.31</v>
      </c>
      <c r="J91">
        <v>2.54</v>
      </c>
      <c r="K91">
        <v>0</v>
      </c>
      <c r="L91">
        <v>0</v>
      </c>
      <c r="M91">
        <v>0</v>
      </c>
      <c r="N91">
        <v>0</v>
      </c>
      <c r="O91">
        <v>0</v>
      </c>
      <c r="P91">
        <f t="shared" si="47"/>
        <v>15.77</v>
      </c>
      <c r="Q91">
        <f t="shared" si="48"/>
        <v>4.8499999999999996</v>
      </c>
      <c r="R91">
        <f t="shared" si="49"/>
        <v>0</v>
      </c>
      <c r="S91">
        <f t="shared" si="50"/>
        <v>4.8499999999999996</v>
      </c>
      <c r="U91" s="17">
        <f t="shared" si="34"/>
        <v>4.4679871027176417E-2</v>
      </c>
      <c r="V91" s="17">
        <f t="shared" si="35"/>
        <v>6.7941040994933213E-2</v>
      </c>
      <c r="W91" s="17">
        <f t="shared" si="36"/>
        <v>0.10087517273146016</v>
      </c>
      <c r="X91" s="17">
        <f t="shared" si="37"/>
        <v>0.30262551819438049</v>
      </c>
      <c r="Y91" s="17">
        <f t="shared" si="38"/>
        <v>0.20175034546292031</v>
      </c>
      <c r="Z91" s="17">
        <f t="shared" si="39"/>
        <v>0.16144633809304468</v>
      </c>
      <c r="AA91" s="17">
        <f t="shared" si="40"/>
        <v>5.3201289728235839E-2</v>
      </c>
      <c r="AB91" s="17">
        <f t="shared" si="41"/>
        <v>5.84983878397052E-2</v>
      </c>
      <c r="AC91" s="17">
        <f t="shared" si="42"/>
        <v>0</v>
      </c>
      <c r="AD91" s="17">
        <f t="shared" si="43"/>
        <v>0</v>
      </c>
      <c r="AE91" s="17">
        <f t="shared" si="44"/>
        <v>0</v>
      </c>
      <c r="AF91" s="17">
        <f t="shared" si="45"/>
        <v>0</v>
      </c>
      <c r="AG91" s="17">
        <f t="shared" si="46"/>
        <v>0</v>
      </c>
      <c r="AH91" s="17">
        <f t="shared" si="51"/>
        <v>0.36319668355596502</v>
      </c>
      <c r="AI91" s="17">
        <f t="shared" si="52"/>
        <v>0.11169967756794104</v>
      </c>
      <c r="AJ91" s="17">
        <f t="shared" si="53"/>
        <v>0</v>
      </c>
      <c r="AK91" s="17">
        <f t="shared" si="54"/>
        <v>0.11169967756794104</v>
      </c>
      <c r="AL91" s="17"/>
    </row>
    <row r="92" spans="1:42" x14ac:dyDescent="0.25">
      <c r="A92">
        <v>1986</v>
      </c>
      <c r="B92">
        <v>41.51</v>
      </c>
      <c r="C92">
        <v>1.94</v>
      </c>
      <c r="D92">
        <v>4.04</v>
      </c>
      <c r="E92">
        <v>7.49</v>
      </c>
      <c r="F92">
        <v>11.969999999999899</v>
      </c>
      <c r="G92">
        <v>9.6300000000000008</v>
      </c>
      <c r="H92">
        <v>3.5599999999999898</v>
      </c>
      <c r="I92">
        <v>0</v>
      </c>
      <c r="J92">
        <v>2.59</v>
      </c>
      <c r="K92">
        <v>0</v>
      </c>
      <c r="L92">
        <v>0</v>
      </c>
      <c r="M92">
        <v>0</v>
      </c>
      <c r="N92">
        <v>0</v>
      </c>
      <c r="O92">
        <v>0</v>
      </c>
      <c r="P92">
        <f t="shared" si="47"/>
        <v>13.189999999999991</v>
      </c>
      <c r="Q92">
        <f t="shared" si="48"/>
        <v>2.59</v>
      </c>
      <c r="R92">
        <f t="shared" si="49"/>
        <v>0</v>
      </c>
      <c r="S92">
        <f t="shared" si="50"/>
        <v>2.59</v>
      </c>
      <c r="U92" s="17">
        <f t="shared" si="34"/>
        <v>4.6735726331004576E-2</v>
      </c>
      <c r="V92" s="17">
        <f t="shared" si="35"/>
        <v>9.7325945555287882E-2</v>
      </c>
      <c r="W92" s="17">
        <f t="shared" si="36"/>
        <v>0.18043844856661048</v>
      </c>
      <c r="X92" s="17">
        <f t="shared" si="37"/>
        <v>0.28836424957841245</v>
      </c>
      <c r="Y92" s="17">
        <f t="shared" si="38"/>
        <v>0.23199229101421348</v>
      </c>
      <c r="Z92" s="17">
        <f t="shared" si="39"/>
        <v>8.5762466875451457E-2</v>
      </c>
      <c r="AA92" s="17">
        <f t="shared" si="40"/>
        <v>0</v>
      </c>
      <c r="AB92" s="17">
        <f t="shared" si="41"/>
        <v>6.2394603709949412E-2</v>
      </c>
      <c r="AC92" s="17">
        <f t="shared" si="42"/>
        <v>0</v>
      </c>
      <c r="AD92" s="17">
        <f t="shared" si="43"/>
        <v>0</v>
      </c>
      <c r="AE92" s="17">
        <f t="shared" si="44"/>
        <v>0</v>
      </c>
      <c r="AF92" s="17">
        <f t="shared" si="45"/>
        <v>0</v>
      </c>
      <c r="AG92" s="17">
        <f t="shared" si="46"/>
        <v>0</v>
      </c>
      <c r="AH92" s="17">
        <f t="shared" si="51"/>
        <v>0.31775475788966495</v>
      </c>
      <c r="AI92" s="17">
        <f t="shared" si="52"/>
        <v>6.2394603709949412E-2</v>
      </c>
      <c r="AJ92" s="17">
        <f t="shared" si="53"/>
        <v>0</v>
      </c>
      <c r="AK92" s="17">
        <f t="shared" si="54"/>
        <v>6.2394603709949412E-2</v>
      </c>
      <c r="AL92" s="17"/>
    </row>
    <row r="93" spans="1:42" x14ac:dyDescent="0.25">
      <c r="A93">
        <v>1987</v>
      </c>
      <c r="B93">
        <v>49.53</v>
      </c>
      <c r="C93">
        <v>1.79</v>
      </c>
      <c r="D93">
        <v>3.95</v>
      </c>
      <c r="E93">
        <v>6.82</v>
      </c>
      <c r="F93">
        <v>15.79</v>
      </c>
      <c r="G93">
        <v>9.8399999999999892</v>
      </c>
      <c r="H93">
        <v>8.9499999999999993</v>
      </c>
      <c r="I93">
        <v>2.09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f t="shared" si="47"/>
        <v>18.789999999999988</v>
      </c>
      <c r="Q93">
        <f t="shared" si="48"/>
        <v>2.09</v>
      </c>
      <c r="R93">
        <f t="shared" si="49"/>
        <v>0</v>
      </c>
      <c r="S93">
        <f t="shared" si="50"/>
        <v>2.09</v>
      </c>
      <c r="U93" s="17">
        <f t="shared" si="34"/>
        <v>3.6139713305067635E-2</v>
      </c>
      <c r="V93" s="17">
        <f t="shared" si="35"/>
        <v>7.9749646678780539E-2</v>
      </c>
      <c r="W93" s="17">
        <f t="shared" si="36"/>
        <v>0.13769432667070464</v>
      </c>
      <c r="X93" s="17">
        <f t="shared" si="37"/>
        <v>0.318796688875429</v>
      </c>
      <c r="Y93" s="17">
        <f t="shared" si="38"/>
        <v>0.19866747425802522</v>
      </c>
      <c r="Z93" s="17">
        <f t="shared" si="39"/>
        <v>0.18069856652533817</v>
      </c>
      <c r="AA93" s="17">
        <f t="shared" si="40"/>
        <v>4.2196648495861092E-2</v>
      </c>
      <c r="AB93" s="17">
        <f t="shared" si="41"/>
        <v>0</v>
      </c>
      <c r="AC93" s="17">
        <f t="shared" si="42"/>
        <v>0</v>
      </c>
      <c r="AD93" s="17">
        <f t="shared" si="43"/>
        <v>0</v>
      </c>
      <c r="AE93" s="17">
        <f t="shared" si="44"/>
        <v>0</v>
      </c>
      <c r="AF93" s="17">
        <f t="shared" si="45"/>
        <v>0</v>
      </c>
      <c r="AG93" s="17">
        <f t="shared" si="46"/>
        <v>0</v>
      </c>
      <c r="AH93" s="17">
        <f t="shared" si="51"/>
        <v>0.37936604078336339</v>
      </c>
      <c r="AI93" s="17">
        <f t="shared" si="52"/>
        <v>4.2196648495861092E-2</v>
      </c>
      <c r="AJ93" s="17">
        <f t="shared" si="53"/>
        <v>0</v>
      </c>
      <c r="AK93" s="17">
        <f t="shared" si="54"/>
        <v>4.2196648495861092E-2</v>
      </c>
      <c r="AL93" s="17"/>
    </row>
    <row r="94" spans="1:42" x14ac:dyDescent="0.25">
      <c r="A94">
        <v>1988</v>
      </c>
      <c r="B94">
        <v>48.66</v>
      </c>
      <c r="C94">
        <v>0.99</v>
      </c>
      <c r="D94">
        <v>3.43</v>
      </c>
      <c r="E94">
        <v>8.2999999999999901</v>
      </c>
      <c r="F94">
        <v>11.37</v>
      </c>
      <c r="G94">
        <v>8.65</v>
      </c>
      <c r="H94">
        <v>8.6199999999999992</v>
      </c>
      <c r="I94">
        <v>4.47</v>
      </c>
      <c r="J94">
        <v>2.6</v>
      </c>
      <c r="K94">
        <v>0</v>
      </c>
      <c r="L94">
        <v>0</v>
      </c>
      <c r="M94">
        <v>0</v>
      </c>
      <c r="N94">
        <v>0</v>
      </c>
      <c r="O94">
        <v>0</v>
      </c>
      <c r="P94">
        <f t="shared" si="47"/>
        <v>17.27</v>
      </c>
      <c r="Q94">
        <f t="shared" si="48"/>
        <v>7.07</v>
      </c>
      <c r="R94">
        <f t="shared" si="49"/>
        <v>0</v>
      </c>
      <c r="S94">
        <f t="shared" si="50"/>
        <v>7.07</v>
      </c>
      <c r="U94" s="17">
        <f t="shared" si="34"/>
        <v>2.0345252774352653E-2</v>
      </c>
      <c r="V94" s="17">
        <f t="shared" si="35"/>
        <v>7.0489108096999598E-2</v>
      </c>
      <c r="W94" s="17">
        <f t="shared" si="36"/>
        <v>0.17057131113851193</v>
      </c>
      <c r="X94" s="17">
        <f t="shared" si="37"/>
        <v>0.23366214549938347</v>
      </c>
      <c r="Y94" s="17">
        <f t="shared" si="38"/>
        <v>0.17776407727085905</v>
      </c>
      <c r="Z94" s="17">
        <f t="shared" si="39"/>
        <v>0.17714755445951499</v>
      </c>
      <c r="AA94" s="17">
        <f t="shared" si="40"/>
        <v>9.1861898890258947E-2</v>
      </c>
      <c r="AB94" s="17">
        <f t="shared" si="41"/>
        <v>5.3431976983148381E-2</v>
      </c>
      <c r="AC94" s="17">
        <f t="shared" si="42"/>
        <v>0</v>
      </c>
      <c r="AD94" s="17">
        <f t="shared" si="43"/>
        <v>0</v>
      </c>
      <c r="AE94" s="17">
        <f t="shared" si="44"/>
        <v>0</v>
      </c>
      <c r="AF94" s="17">
        <f t="shared" si="45"/>
        <v>0</v>
      </c>
      <c r="AG94" s="17">
        <f t="shared" si="46"/>
        <v>0</v>
      </c>
      <c r="AH94" s="17">
        <f t="shared" si="51"/>
        <v>0.35491163173037404</v>
      </c>
      <c r="AI94" s="17">
        <f t="shared" si="52"/>
        <v>0.14529387587340734</v>
      </c>
      <c r="AJ94" s="17">
        <f t="shared" si="53"/>
        <v>0</v>
      </c>
      <c r="AK94" s="17">
        <f t="shared" si="54"/>
        <v>0.14529387587340734</v>
      </c>
      <c r="AL94" s="17"/>
    </row>
    <row r="95" spans="1:42" ht="18.75" x14ac:dyDescent="0.3">
      <c r="A95">
        <v>1989</v>
      </c>
      <c r="B95">
        <v>60.47</v>
      </c>
      <c r="C95">
        <v>2.14</v>
      </c>
      <c r="D95">
        <v>4.0599999999999996</v>
      </c>
      <c r="E95">
        <v>8.5299999999999994</v>
      </c>
      <c r="F95">
        <v>15.74</v>
      </c>
      <c r="G95">
        <v>6</v>
      </c>
      <c r="H95">
        <v>7.95</v>
      </c>
      <c r="I95">
        <v>2.0499999999999998</v>
      </c>
      <c r="J95">
        <v>0</v>
      </c>
      <c r="K95">
        <v>3.64</v>
      </c>
      <c r="L95">
        <v>4.38</v>
      </c>
      <c r="M95">
        <v>5.66</v>
      </c>
      <c r="N95">
        <v>0</v>
      </c>
      <c r="O95">
        <v>0</v>
      </c>
      <c r="P95">
        <f t="shared" si="47"/>
        <v>13.95</v>
      </c>
      <c r="Q95">
        <f t="shared" si="48"/>
        <v>5.6899999999999995</v>
      </c>
      <c r="R95">
        <f t="shared" si="49"/>
        <v>10.039999999999999</v>
      </c>
      <c r="S95">
        <f t="shared" si="50"/>
        <v>15.729999999999999</v>
      </c>
      <c r="U95" s="17">
        <f t="shared" si="34"/>
        <v>3.5389449313709277E-2</v>
      </c>
      <c r="V95" s="17">
        <f t="shared" si="35"/>
        <v>6.7140730940962456E-2</v>
      </c>
      <c r="W95" s="17">
        <f t="shared" si="36"/>
        <v>0.14106168347941128</v>
      </c>
      <c r="X95" s="17">
        <f t="shared" si="37"/>
        <v>0.260294360840086</v>
      </c>
      <c r="Y95" s="17">
        <f t="shared" si="38"/>
        <v>9.9222755085166203E-2</v>
      </c>
      <c r="Z95" s="17">
        <f t="shared" si="39"/>
        <v>0.13147015048784522</v>
      </c>
      <c r="AA95" s="17">
        <f t="shared" si="40"/>
        <v>3.3901107987431782E-2</v>
      </c>
      <c r="AB95" s="17">
        <f t="shared" si="41"/>
        <v>0</v>
      </c>
      <c r="AC95" s="17">
        <f t="shared" si="42"/>
        <v>6.0195138085000828E-2</v>
      </c>
      <c r="AD95" s="17">
        <f t="shared" si="43"/>
        <v>7.243261121217133E-2</v>
      </c>
      <c r="AE95" s="17">
        <f t="shared" si="44"/>
        <v>9.3600132297006783E-2</v>
      </c>
      <c r="AF95" s="17">
        <f t="shared" si="45"/>
        <v>0</v>
      </c>
      <c r="AG95" s="17">
        <f t="shared" si="46"/>
        <v>0</v>
      </c>
      <c r="AH95" s="17">
        <f t="shared" si="51"/>
        <v>0.23069290557301142</v>
      </c>
      <c r="AI95" s="17">
        <f t="shared" si="52"/>
        <v>9.409624607243261E-2</v>
      </c>
      <c r="AJ95" s="17">
        <f t="shared" si="53"/>
        <v>0.16603274350917813</v>
      </c>
      <c r="AK95" s="17">
        <f t="shared" si="54"/>
        <v>0.26012898958161074</v>
      </c>
      <c r="AL95" s="17"/>
      <c r="AM95" s="7" t="s">
        <v>15</v>
      </c>
      <c r="AN95" s="7"/>
      <c r="AO95" s="7"/>
      <c r="AP95" s="7"/>
    </row>
    <row r="96" spans="1:42" ht="18.75" x14ac:dyDescent="0.3">
      <c r="A96">
        <v>1990</v>
      </c>
      <c r="B96">
        <v>52.32</v>
      </c>
      <c r="C96">
        <v>2.04</v>
      </c>
      <c r="D96">
        <v>4.13</v>
      </c>
      <c r="E96">
        <v>8.1</v>
      </c>
      <c r="F96">
        <v>14.84</v>
      </c>
      <c r="G96">
        <v>10.73</v>
      </c>
      <c r="H96">
        <v>7.08</v>
      </c>
      <c r="I96">
        <v>2.35</v>
      </c>
      <c r="J96">
        <v>2.72</v>
      </c>
      <c r="K96">
        <v>0</v>
      </c>
      <c r="L96">
        <v>0</v>
      </c>
      <c r="M96">
        <v>0</v>
      </c>
      <c r="N96">
        <v>0</v>
      </c>
      <c r="O96">
        <v>0</v>
      </c>
      <c r="P96">
        <f t="shared" si="47"/>
        <v>17.810000000000002</v>
      </c>
      <c r="Q96">
        <f t="shared" si="48"/>
        <v>5.07</v>
      </c>
      <c r="R96">
        <f t="shared" si="49"/>
        <v>0</v>
      </c>
      <c r="S96">
        <f t="shared" si="50"/>
        <v>5.07</v>
      </c>
      <c r="U96" s="17">
        <f t="shared" si="34"/>
        <v>3.8990825688073397E-2</v>
      </c>
      <c r="V96" s="17">
        <f t="shared" si="35"/>
        <v>7.8937308868501532E-2</v>
      </c>
      <c r="W96" s="17">
        <f t="shared" si="36"/>
        <v>0.15481651376146788</v>
      </c>
      <c r="X96" s="17">
        <f t="shared" si="37"/>
        <v>0.28363914373088683</v>
      </c>
      <c r="Y96" s="17">
        <f t="shared" si="38"/>
        <v>0.20508409785932721</v>
      </c>
      <c r="Z96" s="17">
        <f t="shared" si="39"/>
        <v>0.13532110091743119</v>
      </c>
      <c r="AA96" s="17">
        <f t="shared" si="40"/>
        <v>4.4915902140672787E-2</v>
      </c>
      <c r="AB96" s="17">
        <f t="shared" si="41"/>
        <v>5.1987767584097865E-2</v>
      </c>
      <c r="AC96" s="17">
        <f t="shared" si="42"/>
        <v>0</v>
      </c>
      <c r="AD96" s="17">
        <f t="shared" si="43"/>
        <v>0</v>
      </c>
      <c r="AE96" s="17">
        <f t="shared" si="44"/>
        <v>0</v>
      </c>
      <c r="AF96" s="17">
        <f t="shared" si="45"/>
        <v>0</v>
      </c>
      <c r="AG96" s="17">
        <f t="shared" si="46"/>
        <v>0</v>
      </c>
      <c r="AH96" s="17">
        <f t="shared" si="51"/>
        <v>0.3404051987767584</v>
      </c>
      <c r="AI96" s="17">
        <f t="shared" si="52"/>
        <v>9.6903669724770658E-2</v>
      </c>
      <c r="AJ96" s="17">
        <f t="shared" si="53"/>
        <v>0</v>
      </c>
      <c r="AK96" s="17">
        <f t="shared" si="54"/>
        <v>9.6903669724770658E-2</v>
      </c>
      <c r="AL96" s="17"/>
      <c r="AM96" s="7" t="s">
        <v>16</v>
      </c>
      <c r="AN96" s="7" t="s">
        <v>17</v>
      </c>
      <c r="AO96" s="7"/>
      <c r="AP96" s="7"/>
    </row>
    <row r="97" spans="1:42" ht="18.75" x14ac:dyDescent="0.3">
      <c r="A97">
        <v>1991</v>
      </c>
      <c r="B97">
        <v>44.72</v>
      </c>
      <c r="C97">
        <v>1.38</v>
      </c>
      <c r="D97">
        <v>3.31</v>
      </c>
      <c r="E97">
        <v>8.11</v>
      </c>
      <c r="F97">
        <v>15.12</v>
      </c>
      <c r="G97">
        <v>7.04</v>
      </c>
      <c r="H97">
        <v>5.1999999999999904</v>
      </c>
      <c r="I97">
        <v>0</v>
      </c>
      <c r="J97">
        <v>0</v>
      </c>
      <c r="K97">
        <v>0</v>
      </c>
      <c r="L97">
        <v>4.32</v>
      </c>
      <c r="M97">
        <v>0</v>
      </c>
      <c r="N97">
        <v>0</v>
      </c>
      <c r="O97">
        <v>0</v>
      </c>
      <c r="P97">
        <f t="shared" si="47"/>
        <v>12.239999999999991</v>
      </c>
      <c r="Q97">
        <f t="shared" si="48"/>
        <v>0</v>
      </c>
      <c r="R97">
        <f t="shared" si="49"/>
        <v>4.32</v>
      </c>
      <c r="S97">
        <f t="shared" si="50"/>
        <v>4.32</v>
      </c>
      <c r="U97" s="17">
        <f t="shared" si="34"/>
        <v>3.0858676207513414E-2</v>
      </c>
      <c r="V97" s="17">
        <f t="shared" si="35"/>
        <v>7.4016100178890876E-2</v>
      </c>
      <c r="W97" s="17">
        <f t="shared" si="36"/>
        <v>0.18135062611806796</v>
      </c>
      <c r="X97" s="17">
        <f t="shared" si="37"/>
        <v>0.33810375670840787</v>
      </c>
      <c r="Y97" s="17">
        <f t="shared" si="38"/>
        <v>0.15742397137745975</v>
      </c>
      <c r="Z97" s="17">
        <f t="shared" si="39"/>
        <v>0.11627906976744165</v>
      </c>
      <c r="AA97" s="17">
        <f t="shared" si="40"/>
        <v>0</v>
      </c>
      <c r="AB97" s="17">
        <f t="shared" si="41"/>
        <v>0</v>
      </c>
      <c r="AC97" s="17">
        <f t="shared" si="42"/>
        <v>0</v>
      </c>
      <c r="AD97" s="17">
        <f t="shared" si="43"/>
        <v>9.66010733452594E-2</v>
      </c>
      <c r="AE97" s="17">
        <f t="shared" si="44"/>
        <v>0</v>
      </c>
      <c r="AF97" s="17">
        <f t="shared" si="45"/>
        <v>0</v>
      </c>
      <c r="AG97" s="17">
        <f t="shared" si="46"/>
        <v>0</v>
      </c>
      <c r="AH97" s="17">
        <f t="shared" si="51"/>
        <v>0.2737030411449014</v>
      </c>
      <c r="AI97" s="17">
        <f t="shared" si="52"/>
        <v>0</v>
      </c>
      <c r="AJ97" s="17">
        <f t="shared" si="53"/>
        <v>9.66010733452594E-2</v>
      </c>
      <c r="AK97" s="17">
        <f t="shared" si="54"/>
        <v>9.66010733452594E-2</v>
      </c>
      <c r="AL97" s="17"/>
      <c r="AM97" s="7" t="s">
        <v>0</v>
      </c>
      <c r="AN97" s="7" t="s">
        <v>18</v>
      </c>
      <c r="AO97" s="7"/>
      <c r="AP97" s="7"/>
    </row>
    <row r="98" spans="1:42" ht="18.75" x14ac:dyDescent="0.3">
      <c r="A98">
        <v>1992</v>
      </c>
      <c r="B98">
        <v>42.04</v>
      </c>
      <c r="C98">
        <v>1.83</v>
      </c>
      <c r="D98">
        <v>4.6100000000000003</v>
      </c>
      <c r="E98">
        <v>6.9</v>
      </c>
      <c r="F98">
        <v>10.69</v>
      </c>
      <c r="G98">
        <v>4.91</v>
      </c>
      <c r="H98">
        <v>3.77</v>
      </c>
      <c r="I98">
        <v>6.4599999999999902</v>
      </c>
      <c r="J98">
        <v>2.63</v>
      </c>
      <c r="K98">
        <v>0</v>
      </c>
      <c r="L98">
        <v>0</v>
      </c>
      <c r="M98">
        <v>0</v>
      </c>
      <c r="N98">
        <v>0</v>
      </c>
      <c r="O98">
        <v>0</v>
      </c>
      <c r="P98">
        <f t="shared" si="47"/>
        <v>8.68</v>
      </c>
      <c r="Q98">
        <f t="shared" si="48"/>
        <v>9.0899999999999892</v>
      </c>
      <c r="R98">
        <f t="shared" si="49"/>
        <v>0</v>
      </c>
      <c r="S98">
        <f t="shared" si="50"/>
        <v>9.0899999999999892</v>
      </c>
      <c r="U98" s="17">
        <f t="shared" ref="U98:U123" si="57">C98/$B98</f>
        <v>4.3529971455756426E-2</v>
      </c>
      <c r="V98" s="17">
        <f t="shared" ref="V98:V123" si="58">D98/$B98</f>
        <v>0.10965746907706947</v>
      </c>
      <c r="W98" s="17">
        <f t="shared" ref="W98:W123" si="59">E98/$B98</f>
        <v>0.16412940057088488</v>
      </c>
      <c r="X98" s="17">
        <f t="shared" ref="X98:X123" si="60">F98/$B98</f>
        <v>0.25428163653663177</v>
      </c>
      <c r="Y98" s="17">
        <f t="shared" ref="Y98:Y123" si="61">G98/$B98</f>
        <v>0.11679352997145576</v>
      </c>
      <c r="Z98" s="17">
        <f t="shared" ref="Z98:Z123" si="62">H98/$B98</f>
        <v>8.9676498572787824E-2</v>
      </c>
      <c r="AA98" s="17">
        <f t="shared" ref="AA98:AA123" si="63">I98/$B98</f>
        <v>0.15366317792578474</v>
      </c>
      <c r="AB98" s="17">
        <f t="shared" ref="AB98:AB123" si="64">J98/$B98</f>
        <v>6.2559467174119879E-2</v>
      </c>
      <c r="AC98" s="17">
        <f t="shared" ref="AC98:AC123" si="65">K98/$B98</f>
        <v>0</v>
      </c>
      <c r="AD98" s="17">
        <f t="shared" ref="AD98:AD123" si="66">L98/$B98</f>
        <v>0</v>
      </c>
      <c r="AE98" s="17">
        <f t="shared" ref="AE98:AE123" si="67">M98/$B98</f>
        <v>0</v>
      </c>
      <c r="AF98" s="17">
        <f t="shared" ref="AF98:AF123" si="68">N98/$B98</f>
        <v>0</v>
      </c>
      <c r="AG98" s="17">
        <f t="shared" ref="AG98:AG123" si="69">O98/$B98</f>
        <v>0</v>
      </c>
      <c r="AH98" s="17">
        <f t="shared" si="51"/>
        <v>0.20647002854424357</v>
      </c>
      <c r="AI98" s="17">
        <f t="shared" si="52"/>
        <v>0.21622264509990463</v>
      </c>
      <c r="AJ98" s="17">
        <f t="shared" si="53"/>
        <v>0</v>
      </c>
      <c r="AK98" s="17">
        <f t="shared" si="54"/>
        <v>0.21622264509990463</v>
      </c>
      <c r="AL98" s="17"/>
      <c r="AM98" s="7" t="s">
        <v>1</v>
      </c>
      <c r="AN98" s="7" t="s">
        <v>19</v>
      </c>
      <c r="AO98" s="7"/>
      <c r="AP98" s="7"/>
    </row>
    <row r="99" spans="1:42" ht="18.75" x14ac:dyDescent="0.3">
      <c r="A99">
        <v>1993</v>
      </c>
      <c r="B99">
        <v>48.02</v>
      </c>
      <c r="C99">
        <v>1.59</v>
      </c>
      <c r="D99">
        <v>4.2399999999999904</v>
      </c>
      <c r="E99">
        <v>6.97</v>
      </c>
      <c r="F99">
        <v>11.66</v>
      </c>
      <c r="G99">
        <v>15.42</v>
      </c>
      <c r="H99">
        <v>3.38</v>
      </c>
      <c r="I99">
        <v>4.49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f t="shared" si="47"/>
        <v>18.8</v>
      </c>
      <c r="Q99">
        <f t="shared" si="48"/>
        <v>4.49</v>
      </c>
      <c r="R99">
        <f t="shared" si="49"/>
        <v>0</v>
      </c>
      <c r="S99">
        <f t="shared" si="50"/>
        <v>4.49</v>
      </c>
      <c r="U99" s="17">
        <f t="shared" si="57"/>
        <v>3.3111203665139526E-2</v>
      </c>
      <c r="V99" s="17">
        <f t="shared" si="58"/>
        <v>8.8296543107038536E-2</v>
      </c>
      <c r="W99" s="17">
        <f t="shared" si="59"/>
        <v>0.14514785506039149</v>
      </c>
      <c r="X99" s="17">
        <f t="shared" si="60"/>
        <v>0.2428154935443565</v>
      </c>
      <c r="Y99" s="17">
        <f t="shared" si="61"/>
        <v>0.32111620158267384</v>
      </c>
      <c r="Z99" s="17">
        <f t="shared" si="62"/>
        <v>7.0387338608912942E-2</v>
      </c>
      <c r="AA99" s="17">
        <f t="shared" si="63"/>
        <v>9.3502707205331104E-2</v>
      </c>
      <c r="AB99" s="17">
        <f t="shared" si="64"/>
        <v>0</v>
      </c>
      <c r="AC99" s="17">
        <f t="shared" si="65"/>
        <v>0</v>
      </c>
      <c r="AD99" s="17">
        <f t="shared" si="66"/>
        <v>0</v>
      </c>
      <c r="AE99" s="17">
        <f t="shared" si="67"/>
        <v>0</v>
      </c>
      <c r="AF99" s="17">
        <f t="shared" si="68"/>
        <v>0</v>
      </c>
      <c r="AG99" s="17">
        <f t="shared" si="69"/>
        <v>0</v>
      </c>
      <c r="AH99" s="17">
        <f t="shared" si="51"/>
        <v>0.39150354019158679</v>
      </c>
      <c r="AI99" s="17">
        <f t="shared" si="52"/>
        <v>9.3502707205331104E-2</v>
      </c>
      <c r="AJ99" s="17">
        <f t="shared" si="53"/>
        <v>0</v>
      </c>
      <c r="AK99" s="17">
        <f t="shared" si="54"/>
        <v>9.3502707205331104E-2</v>
      </c>
      <c r="AL99" s="17"/>
      <c r="AM99" s="7" t="s">
        <v>2</v>
      </c>
      <c r="AN99" s="7" t="s">
        <v>20</v>
      </c>
      <c r="AO99" s="7"/>
      <c r="AP99" s="7"/>
    </row>
    <row r="100" spans="1:42" ht="18.75" x14ac:dyDescent="0.3">
      <c r="A100">
        <v>1994</v>
      </c>
      <c r="B100">
        <v>46.54</v>
      </c>
      <c r="C100">
        <v>1.64</v>
      </c>
      <c r="D100">
        <v>3.37</v>
      </c>
      <c r="E100">
        <v>5.9299999999999899</v>
      </c>
      <c r="F100">
        <v>17.999999999999901</v>
      </c>
      <c r="G100">
        <v>6.09</v>
      </c>
      <c r="H100">
        <v>6.79</v>
      </c>
      <c r="I100">
        <v>4.46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f t="shared" si="47"/>
        <v>12.879999999999999</v>
      </c>
      <c r="Q100">
        <f t="shared" si="48"/>
        <v>4.46</v>
      </c>
      <c r="R100">
        <f t="shared" si="49"/>
        <v>0</v>
      </c>
      <c r="S100">
        <f t="shared" si="50"/>
        <v>4.46</v>
      </c>
      <c r="U100" s="17">
        <f t="shared" si="57"/>
        <v>3.5238504512247526E-2</v>
      </c>
      <c r="V100" s="17">
        <f t="shared" si="58"/>
        <v>7.241082939406962E-2</v>
      </c>
      <c r="W100" s="17">
        <f t="shared" si="59"/>
        <v>0.12741727546196799</v>
      </c>
      <c r="X100" s="17">
        <f t="shared" si="60"/>
        <v>0.3867640739149098</v>
      </c>
      <c r="Y100" s="17">
        <f t="shared" si="61"/>
        <v>0.13085517834121185</v>
      </c>
      <c r="Z100" s="17">
        <f t="shared" si="62"/>
        <v>0.14589600343790288</v>
      </c>
      <c r="AA100" s="17">
        <f t="shared" si="63"/>
        <v>9.583154275891706E-2</v>
      </c>
      <c r="AB100" s="17">
        <f t="shared" si="64"/>
        <v>0</v>
      </c>
      <c r="AC100" s="17">
        <f t="shared" si="65"/>
        <v>0</v>
      </c>
      <c r="AD100" s="17">
        <f t="shared" si="66"/>
        <v>0</v>
      </c>
      <c r="AE100" s="17">
        <f t="shared" si="67"/>
        <v>0</v>
      </c>
      <c r="AF100" s="17">
        <f t="shared" si="68"/>
        <v>0</v>
      </c>
      <c r="AG100" s="17">
        <f t="shared" si="69"/>
        <v>0</v>
      </c>
      <c r="AH100" s="17">
        <f t="shared" si="51"/>
        <v>0.27675118177911473</v>
      </c>
      <c r="AI100" s="17">
        <f t="shared" si="52"/>
        <v>9.583154275891706E-2</v>
      </c>
      <c r="AJ100" s="17">
        <f t="shared" si="53"/>
        <v>0</v>
      </c>
      <c r="AK100" s="17">
        <f t="shared" si="54"/>
        <v>9.583154275891706E-2</v>
      </c>
      <c r="AL100" s="17"/>
      <c r="AM100" s="7" t="s">
        <v>3</v>
      </c>
      <c r="AN100" s="7" t="s">
        <v>21</v>
      </c>
      <c r="AO100" s="7"/>
      <c r="AP100" s="7"/>
    </row>
    <row r="101" spans="1:42" ht="18.75" x14ac:dyDescent="0.3">
      <c r="A101">
        <v>1995</v>
      </c>
      <c r="B101">
        <v>38.119999999999997</v>
      </c>
      <c r="C101">
        <v>1.28</v>
      </c>
      <c r="D101">
        <v>4.4400000000000004</v>
      </c>
      <c r="E101">
        <v>6.74</v>
      </c>
      <c r="F101">
        <v>11.2799999999999</v>
      </c>
      <c r="G101">
        <v>7.3</v>
      </c>
      <c r="H101">
        <v>6.56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f t="shared" si="47"/>
        <v>13.86</v>
      </c>
      <c r="Q101">
        <f t="shared" si="48"/>
        <v>0</v>
      </c>
      <c r="R101">
        <f t="shared" si="49"/>
        <v>0</v>
      </c>
      <c r="S101">
        <f t="shared" si="50"/>
        <v>0</v>
      </c>
      <c r="U101" s="17">
        <f t="shared" si="57"/>
        <v>3.3578174186778595E-2</v>
      </c>
      <c r="V101" s="17">
        <f t="shared" si="58"/>
        <v>0.11647429171038827</v>
      </c>
      <c r="W101" s="17">
        <f t="shared" si="59"/>
        <v>0.17681007345225605</v>
      </c>
      <c r="X101" s="17">
        <f t="shared" si="60"/>
        <v>0.29590766002098373</v>
      </c>
      <c r="Y101" s="17">
        <f t="shared" si="61"/>
        <v>0.19150052465897169</v>
      </c>
      <c r="Z101" s="17">
        <f t="shared" si="62"/>
        <v>0.17208814270724029</v>
      </c>
      <c r="AA101" s="17">
        <f t="shared" si="63"/>
        <v>0</v>
      </c>
      <c r="AB101" s="17">
        <f t="shared" si="64"/>
        <v>0</v>
      </c>
      <c r="AC101" s="17">
        <f t="shared" si="65"/>
        <v>0</v>
      </c>
      <c r="AD101" s="17">
        <f t="shared" si="66"/>
        <v>0</v>
      </c>
      <c r="AE101" s="17">
        <f t="shared" si="67"/>
        <v>0</v>
      </c>
      <c r="AF101" s="17">
        <f t="shared" si="68"/>
        <v>0</v>
      </c>
      <c r="AG101" s="17">
        <f t="shared" si="69"/>
        <v>0</v>
      </c>
      <c r="AH101" s="17">
        <f t="shared" si="51"/>
        <v>0.36358866736621198</v>
      </c>
      <c r="AI101" s="17">
        <f t="shared" si="52"/>
        <v>0</v>
      </c>
      <c r="AJ101" s="17">
        <f t="shared" si="53"/>
        <v>0</v>
      </c>
      <c r="AK101" s="17">
        <f t="shared" si="54"/>
        <v>0</v>
      </c>
      <c r="AL101" s="17"/>
      <c r="AM101" s="7" t="s">
        <v>4</v>
      </c>
      <c r="AN101" s="7" t="s">
        <v>22</v>
      </c>
      <c r="AO101" s="7"/>
      <c r="AP101" s="7"/>
    </row>
    <row r="102" spans="1:42" ht="18.75" x14ac:dyDescent="0.3">
      <c r="A102">
        <v>1996</v>
      </c>
      <c r="B102">
        <v>61.45</v>
      </c>
      <c r="C102">
        <v>2.37</v>
      </c>
      <c r="D102">
        <v>4.1100000000000003</v>
      </c>
      <c r="E102">
        <v>8.32</v>
      </c>
      <c r="F102">
        <v>12.5299999999999</v>
      </c>
      <c r="G102">
        <v>17.73</v>
      </c>
      <c r="H102">
        <v>5.4399999999999897</v>
      </c>
      <c r="I102">
        <v>2.0699999999999998</v>
      </c>
      <c r="J102">
        <v>0</v>
      </c>
      <c r="K102">
        <v>3.99</v>
      </c>
      <c r="L102">
        <v>4.5199999999999996</v>
      </c>
      <c r="M102">
        <v>0</v>
      </c>
      <c r="N102">
        <v>0</v>
      </c>
      <c r="O102">
        <v>0</v>
      </c>
      <c r="P102">
        <f t="shared" si="47"/>
        <v>23.169999999999991</v>
      </c>
      <c r="Q102">
        <f t="shared" si="48"/>
        <v>6.0600000000000005</v>
      </c>
      <c r="R102">
        <f t="shared" si="49"/>
        <v>4.5199999999999996</v>
      </c>
      <c r="S102">
        <f t="shared" si="50"/>
        <v>10.58</v>
      </c>
      <c r="U102" s="17">
        <f t="shared" si="57"/>
        <v>3.8567941415785192E-2</v>
      </c>
      <c r="V102" s="17">
        <f t="shared" si="58"/>
        <v>6.6883645240032555E-2</v>
      </c>
      <c r="W102" s="17">
        <f t="shared" si="59"/>
        <v>0.13539462978030919</v>
      </c>
      <c r="X102" s="17">
        <f t="shared" si="60"/>
        <v>0.20390561432058421</v>
      </c>
      <c r="Y102" s="17">
        <f t="shared" si="61"/>
        <v>0.2885272579332791</v>
      </c>
      <c r="Z102" s="17">
        <f t="shared" si="62"/>
        <v>8.8527257933278911E-2</v>
      </c>
      <c r="AA102" s="17">
        <f t="shared" si="63"/>
        <v>3.3685923515052882E-2</v>
      </c>
      <c r="AB102" s="17">
        <f t="shared" si="64"/>
        <v>0</v>
      </c>
      <c r="AC102" s="17">
        <f t="shared" si="65"/>
        <v>6.4930838079739622E-2</v>
      </c>
      <c r="AD102" s="17">
        <f t="shared" si="66"/>
        <v>7.3555736371033353E-2</v>
      </c>
      <c r="AE102" s="17">
        <f t="shared" si="67"/>
        <v>0</v>
      </c>
      <c r="AF102" s="17">
        <f t="shared" si="68"/>
        <v>0</v>
      </c>
      <c r="AG102" s="17">
        <f t="shared" si="69"/>
        <v>0</v>
      </c>
      <c r="AH102" s="17">
        <f t="shared" si="51"/>
        <v>0.37705451586655803</v>
      </c>
      <c r="AI102" s="17">
        <f t="shared" si="52"/>
        <v>9.8616761594792504E-2</v>
      </c>
      <c r="AJ102" s="17">
        <f t="shared" si="53"/>
        <v>7.3555736371033353E-2</v>
      </c>
      <c r="AK102" s="17">
        <f t="shared" si="54"/>
        <v>0.17217249796582584</v>
      </c>
      <c r="AL102" s="17"/>
      <c r="AM102" s="7" t="s">
        <v>23</v>
      </c>
      <c r="AN102" s="7" t="s">
        <v>37</v>
      </c>
      <c r="AO102" s="7"/>
      <c r="AP102" s="7"/>
    </row>
    <row r="103" spans="1:42" ht="18.75" x14ac:dyDescent="0.3">
      <c r="A103">
        <v>1997</v>
      </c>
      <c r="B103">
        <v>48.62</v>
      </c>
      <c r="C103">
        <v>2.35</v>
      </c>
      <c r="D103">
        <v>3.58</v>
      </c>
      <c r="E103">
        <v>8.1199999999999992</v>
      </c>
      <c r="F103">
        <v>15.37</v>
      </c>
      <c r="G103">
        <v>7.23</v>
      </c>
      <c r="H103">
        <v>5.48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6.24</v>
      </c>
      <c r="O103">
        <v>0</v>
      </c>
      <c r="P103">
        <f t="shared" si="47"/>
        <v>12.71</v>
      </c>
      <c r="Q103">
        <f t="shared" si="48"/>
        <v>0</v>
      </c>
      <c r="R103">
        <f t="shared" si="49"/>
        <v>6.24</v>
      </c>
      <c r="S103">
        <f t="shared" si="50"/>
        <v>6.24</v>
      </c>
      <c r="U103" s="17">
        <f t="shared" si="57"/>
        <v>4.8334018922254224E-2</v>
      </c>
      <c r="V103" s="17">
        <f t="shared" si="58"/>
        <v>7.3632250102838345E-2</v>
      </c>
      <c r="W103" s="17">
        <f t="shared" si="59"/>
        <v>0.16700946112710818</v>
      </c>
      <c r="X103" s="17">
        <f t="shared" si="60"/>
        <v>0.31612505141916908</v>
      </c>
      <c r="Y103" s="17">
        <f t="shared" si="61"/>
        <v>0.14870423693953108</v>
      </c>
      <c r="Z103" s="17">
        <f t="shared" si="62"/>
        <v>0.11271081859317154</v>
      </c>
      <c r="AA103" s="17">
        <f t="shared" si="63"/>
        <v>0</v>
      </c>
      <c r="AB103" s="17">
        <f t="shared" si="64"/>
        <v>0</v>
      </c>
      <c r="AC103" s="17">
        <f t="shared" si="65"/>
        <v>0</v>
      </c>
      <c r="AD103" s="17">
        <f t="shared" si="66"/>
        <v>0</v>
      </c>
      <c r="AE103" s="17">
        <f t="shared" si="67"/>
        <v>0</v>
      </c>
      <c r="AF103" s="17">
        <f t="shared" si="68"/>
        <v>0.12834224598930483</v>
      </c>
      <c r="AG103" s="17">
        <f t="shared" si="69"/>
        <v>0</v>
      </c>
      <c r="AH103" s="17">
        <f t="shared" si="51"/>
        <v>0.26141505553270261</v>
      </c>
      <c r="AI103" s="17">
        <f t="shared" si="52"/>
        <v>0</v>
      </c>
      <c r="AJ103" s="17">
        <f t="shared" si="53"/>
        <v>0.12834224598930483</v>
      </c>
      <c r="AK103" s="17">
        <f t="shared" si="54"/>
        <v>0.12834224598930483</v>
      </c>
      <c r="AL103" s="17"/>
      <c r="AM103" s="7" t="s">
        <v>25</v>
      </c>
      <c r="AN103" s="7" t="s">
        <v>38</v>
      </c>
      <c r="AO103" s="7"/>
      <c r="AP103" s="7"/>
    </row>
    <row r="104" spans="1:42" x14ac:dyDescent="0.25">
      <c r="A104">
        <v>1998</v>
      </c>
      <c r="B104">
        <v>44.11</v>
      </c>
      <c r="C104">
        <v>2.17</v>
      </c>
      <c r="D104">
        <v>2.96</v>
      </c>
      <c r="E104">
        <v>5.66</v>
      </c>
      <c r="F104">
        <v>14.16</v>
      </c>
      <c r="G104">
        <v>9.2200000000000006</v>
      </c>
      <c r="H104">
        <v>3.19</v>
      </c>
      <c r="I104">
        <v>6.47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f t="shared" si="47"/>
        <v>12.41</v>
      </c>
      <c r="Q104">
        <f t="shared" si="48"/>
        <v>6.47</v>
      </c>
      <c r="R104">
        <f t="shared" si="49"/>
        <v>0</v>
      </c>
      <c r="S104">
        <f t="shared" si="50"/>
        <v>6.47</v>
      </c>
      <c r="U104" s="17">
        <f t="shared" si="57"/>
        <v>4.9195193833597821E-2</v>
      </c>
      <c r="V104" s="17">
        <f t="shared" si="58"/>
        <v>6.7104964860575836E-2</v>
      </c>
      <c r="W104" s="17">
        <f t="shared" si="59"/>
        <v>0.1283155746996146</v>
      </c>
      <c r="X104" s="17">
        <f t="shared" si="60"/>
        <v>0.32101564271140332</v>
      </c>
      <c r="Y104" s="17">
        <f t="shared" si="61"/>
        <v>0.20902289730219906</v>
      </c>
      <c r="Z104" s="17">
        <f t="shared" si="62"/>
        <v>7.2319201995012475E-2</v>
      </c>
      <c r="AA104" s="17">
        <f t="shared" si="63"/>
        <v>0.14667875765132624</v>
      </c>
      <c r="AB104" s="17">
        <f t="shared" si="64"/>
        <v>0</v>
      </c>
      <c r="AC104" s="17">
        <f t="shared" si="65"/>
        <v>0</v>
      </c>
      <c r="AD104" s="17">
        <f t="shared" si="66"/>
        <v>0</v>
      </c>
      <c r="AE104" s="17">
        <f t="shared" si="67"/>
        <v>0</v>
      </c>
      <c r="AF104" s="17">
        <f t="shared" si="68"/>
        <v>0</v>
      </c>
      <c r="AG104" s="17">
        <f t="shared" si="69"/>
        <v>0</v>
      </c>
      <c r="AH104" s="17">
        <f t="shared" si="51"/>
        <v>0.28134209929721155</v>
      </c>
      <c r="AI104" s="17">
        <f t="shared" si="52"/>
        <v>0.14667875765132624</v>
      </c>
      <c r="AJ104" s="17">
        <f t="shared" si="53"/>
        <v>0</v>
      </c>
      <c r="AK104" s="17">
        <f t="shared" si="54"/>
        <v>0.14667875765132624</v>
      </c>
      <c r="AL104" s="17"/>
    </row>
    <row r="105" spans="1:42" x14ac:dyDescent="0.25">
      <c r="A105">
        <v>1999</v>
      </c>
      <c r="B105">
        <v>47.14</v>
      </c>
      <c r="C105">
        <v>1.58</v>
      </c>
      <c r="D105">
        <v>4.05</v>
      </c>
      <c r="E105">
        <v>7.4999999999999902</v>
      </c>
      <c r="F105">
        <v>14.71</v>
      </c>
      <c r="G105">
        <v>3.87</v>
      </c>
      <c r="H105">
        <v>7.15</v>
      </c>
      <c r="I105">
        <v>2.39</v>
      </c>
      <c r="J105">
        <v>0</v>
      </c>
      <c r="K105">
        <v>0</v>
      </c>
      <c r="L105">
        <v>0</v>
      </c>
      <c r="M105">
        <v>5.78</v>
      </c>
      <c r="N105">
        <v>0</v>
      </c>
      <c r="O105">
        <v>0</v>
      </c>
      <c r="P105">
        <f t="shared" si="47"/>
        <v>11.02</v>
      </c>
      <c r="Q105">
        <f t="shared" si="48"/>
        <v>2.39</v>
      </c>
      <c r="R105">
        <f t="shared" si="49"/>
        <v>5.78</v>
      </c>
      <c r="S105">
        <f t="shared" si="50"/>
        <v>8.17</v>
      </c>
      <c r="U105" s="17">
        <f t="shared" si="57"/>
        <v>3.351718285956725E-2</v>
      </c>
      <c r="V105" s="17">
        <f t="shared" si="58"/>
        <v>8.59142978362325E-2</v>
      </c>
      <c r="W105" s="17">
        <f t="shared" si="59"/>
        <v>0.15910055154857849</v>
      </c>
      <c r="X105" s="17">
        <f t="shared" si="60"/>
        <v>0.31204921510394573</v>
      </c>
      <c r="Y105" s="17">
        <f t="shared" si="61"/>
        <v>8.209588459906661E-2</v>
      </c>
      <c r="Z105" s="17">
        <f t="shared" si="62"/>
        <v>0.15167585914297838</v>
      </c>
      <c r="AA105" s="17">
        <f t="shared" si="63"/>
        <v>5.0700042426813752E-2</v>
      </c>
      <c r="AB105" s="17">
        <f t="shared" si="64"/>
        <v>0</v>
      </c>
      <c r="AC105" s="17">
        <f t="shared" si="65"/>
        <v>0</v>
      </c>
      <c r="AD105" s="17">
        <f t="shared" si="66"/>
        <v>0</v>
      </c>
      <c r="AE105" s="17">
        <f t="shared" si="67"/>
        <v>0.12261349172677133</v>
      </c>
      <c r="AF105" s="17">
        <f t="shared" si="68"/>
        <v>0</v>
      </c>
      <c r="AG105" s="17">
        <f t="shared" si="69"/>
        <v>0</v>
      </c>
      <c r="AH105" s="17">
        <f t="shared" si="51"/>
        <v>0.23377174374204499</v>
      </c>
      <c r="AI105" s="17">
        <f t="shared" si="52"/>
        <v>5.0700042426813752E-2</v>
      </c>
      <c r="AJ105" s="17">
        <f t="shared" si="53"/>
        <v>0.12261349172677133</v>
      </c>
      <c r="AK105" s="17">
        <f t="shared" si="54"/>
        <v>0.17331353415358508</v>
      </c>
      <c r="AL105" s="17"/>
    </row>
    <row r="106" spans="1:42" x14ac:dyDescent="0.25">
      <c r="A106">
        <v>2000</v>
      </c>
      <c r="B106">
        <v>43.12</v>
      </c>
      <c r="C106">
        <v>2.0099999999999998</v>
      </c>
      <c r="D106">
        <v>3.92</v>
      </c>
      <c r="E106">
        <v>6.08</v>
      </c>
      <c r="F106">
        <v>15.11</v>
      </c>
      <c r="G106">
        <v>10.5</v>
      </c>
      <c r="H106">
        <v>0</v>
      </c>
      <c r="I106">
        <v>2.02</v>
      </c>
      <c r="J106">
        <v>0</v>
      </c>
      <c r="K106">
        <v>3.22</v>
      </c>
      <c r="L106">
        <v>0</v>
      </c>
      <c r="M106">
        <v>0</v>
      </c>
      <c r="N106">
        <v>0</v>
      </c>
      <c r="O106">
        <v>0</v>
      </c>
      <c r="P106">
        <f t="shared" si="47"/>
        <v>10.5</v>
      </c>
      <c r="Q106">
        <f t="shared" si="48"/>
        <v>5.24</v>
      </c>
      <c r="R106">
        <f t="shared" si="49"/>
        <v>0</v>
      </c>
      <c r="S106">
        <f t="shared" si="50"/>
        <v>5.24</v>
      </c>
      <c r="U106" s="17">
        <f t="shared" si="57"/>
        <v>4.6614100185528758E-2</v>
      </c>
      <c r="V106" s="17">
        <f t="shared" si="58"/>
        <v>9.0909090909090912E-2</v>
      </c>
      <c r="W106" s="17">
        <f t="shared" si="59"/>
        <v>0.14100185528756959</v>
      </c>
      <c r="X106" s="17">
        <f t="shared" si="60"/>
        <v>0.35041743970315398</v>
      </c>
      <c r="Y106" s="17">
        <f t="shared" si="61"/>
        <v>0.24350649350649353</v>
      </c>
      <c r="Z106" s="17">
        <f t="shared" si="62"/>
        <v>0</v>
      </c>
      <c r="AA106" s="17">
        <f t="shared" si="63"/>
        <v>4.6846011131725422E-2</v>
      </c>
      <c r="AB106" s="17">
        <f t="shared" si="64"/>
        <v>0</v>
      </c>
      <c r="AC106" s="17">
        <f t="shared" si="65"/>
        <v>7.4675324675324686E-2</v>
      </c>
      <c r="AD106" s="17">
        <f t="shared" si="66"/>
        <v>0</v>
      </c>
      <c r="AE106" s="17">
        <f t="shared" si="67"/>
        <v>0</v>
      </c>
      <c r="AF106" s="17">
        <f t="shared" si="68"/>
        <v>0</v>
      </c>
      <c r="AG106" s="17">
        <f t="shared" si="69"/>
        <v>0</v>
      </c>
      <c r="AH106" s="17">
        <f t="shared" si="51"/>
        <v>0.24350649350649353</v>
      </c>
      <c r="AI106" s="17">
        <f t="shared" si="52"/>
        <v>0.1215213358070501</v>
      </c>
      <c r="AJ106" s="17">
        <f t="shared" si="53"/>
        <v>0</v>
      </c>
      <c r="AK106" s="17">
        <f t="shared" si="54"/>
        <v>0.1215213358070501</v>
      </c>
      <c r="AL106" s="17"/>
    </row>
    <row r="107" spans="1:42" x14ac:dyDescent="0.25">
      <c r="A107">
        <v>2001</v>
      </c>
      <c r="B107">
        <v>39.53</v>
      </c>
      <c r="C107">
        <v>1.85</v>
      </c>
      <c r="D107">
        <v>2.64</v>
      </c>
      <c r="E107">
        <v>6.1999999999999904</v>
      </c>
      <c r="F107">
        <v>11.0199999999999</v>
      </c>
      <c r="G107">
        <v>8.7099999999999902</v>
      </c>
      <c r="H107">
        <v>6.59</v>
      </c>
      <c r="I107">
        <v>2.3199999999999998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f t="shared" si="47"/>
        <v>15.29999999999999</v>
      </c>
      <c r="Q107">
        <f t="shared" si="48"/>
        <v>2.3199999999999998</v>
      </c>
      <c r="R107">
        <f t="shared" si="49"/>
        <v>0</v>
      </c>
      <c r="S107">
        <f t="shared" si="50"/>
        <v>2.3199999999999998</v>
      </c>
      <c r="U107" s="17">
        <f t="shared" si="57"/>
        <v>4.6799898811029597E-2</v>
      </c>
      <c r="V107" s="17">
        <f t="shared" si="58"/>
        <v>6.6784720465469266E-2</v>
      </c>
      <c r="W107" s="17">
        <f t="shared" si="59"/>
        <v>0.15684290412345028</v>
      </c>
      <c r="X107" s="17">
        <f t="shared" si="60"/>
        <v>0.27877561345813051</v>
      </c>
      <c r="Y107" s="17">
        <f t="shared" si="61"/>
        <v>0.2203389830508472</v>
      </c>
      <c r="Z107" s="17">
        <f t="shared" si="62"/>
        <v>0.1667088287376676</v>
      </c>
      <c r="AA107" s="17">
        <f t="shared" si="63"/>
        <v>5.8689602833291166E-2</v>
      </c>
      <c r="AB107" s="17">
        <f t="shared" si="64"/>
        <v>0</v>
      </c>
      <c r="AC107" s="17">
        <f t="shared" si="65"/>
        <v>0</v>
      </c>
      <c r="AD107" s="17">
        <f t="shared" si="66"/>
        <v>0</v>
      </c>
      <c r="AE107" s="17">
        <f t="shared" si="67"/>
        <v>0</v>
      </c>
      <c r="AF107" s="17">
        <f t="shared" si="68"/>
        <v>0</v>
      </c>
      <c r="AG107" s="17">
        <f t="shared" si="69"/>
        <v>0</v>
      </c>
      <c r="AH107" s="17">
        <f t="shared" si="51"/>
        <v>0.38704781178851477</v>
      </c>
      <c r="AI107" s="17">
        <f t="shared" si="52"/>
        <v>5.8689602833291166E-2</v>
      </c>
      <c r="AJ107" s="17">
        <f t="shared" si="53"/>
        <v>0</v>
      </c>
      <c r="AK107" s="17">
        <f t="shared" si="54"/>
        <v>5.8689602833291166E-2</v>
      </c>
      <c r="AL107" s="17"/>
    </row>
    <row r="108" spans="1:42" x14ac:dyDescent="0.25">
      <c r="A108">
        <v>2002</v>
      </c>
      <c r="B108">
        <v>48.82</v>
      </c>
      <c r="C108">
        <v>1.43</v>
      </c>
      <c r="D108">
        <v>2.92</v>
      </c>
      <c r="E108">
        <v>5.81</v>
      </c>
      <c r="F108">
        <v>18.079999999999998</v>
      </c>
      <c r="G108">
        <v>8.86</v>
      </c>
      <c r="H108">
        <v>8.9</v>
      </c>
      <c r="I108">
        <v>0</v>
      </c>
      <c r="J108">
        <v>2.65</v>
      </c>
      <c r="K108">
        <v>0</v>
      </c>
      <c r="L108">
        <v>0</v>
      </c>
      <c r="M108">
        <v>0</v>
      </c>
      <c r="N108">
        <v>0</v>
      </c>
      <c r="O108">
        <v>0</v>
      </c>
      <c r="P108">
        <f t="shared" si="47"/>
        <v>17.759999999999998</v>
      </c>
      <c r="Q108">
        <f t="shared" si="48"/>
        <v>2.65</v>
      </c>
      <c r="R108">
        <f t="shared" si="49"/>
        <v>0</v>
      </c>
      <c r="S108">
        <f t="shared" si="50"/>
        <v>2.65</v>
      </c>
      <c r="U108" s="17">
        <f t="shared" si="57"/>
        <v>2.9291274068004913E-2</v>
      </c>
      <c r="V108" s="17">
        <f t="shared" si="58"/>
        <v>5.981155264235969E-2</v>
      </c>
      <c r="W108" s="17">
        <f t="shared" si="59"/>
        <v>0.11900860303154444</v>
      </c>
      <c r="X108" s="17">
        <f t="shared" si="60"/>
        <v>0.37034002458009008</v>
      </c>
      <c r="Y108" s="17">
        <f t="shared" si="61"/>
        <v>0.18148299877099547</v>
      </c>
      <c r="Z108" s="17">
        <f t="shared" si="62"/>
        <v>0.18230233510856206</v>
      </c>
      <c r="AA108" s="17">
        <f t="shared" si="63"/>
        <v>0</v>
      </c>
      <c r="AB108" s="17">
        <f t="shared" si="64"/>
        <v>5.4281032363785335E-2</v>
      </c>
      <c r="AC108" s="17">
        <f t="shared" si="65"/>
        <v>0</v>
      </c>
      <c r="AD108" s="17">
        <f t="shared" si="66"/>
        <v>0</v>
      </c>
      <c r="AE108" s="17">
        <f t="shared" si="67"/>
        <v>0</v>
      </c>
      <c r="AF108" s="17">
        <f t="shared" si="68"/>
        <v>0</v>
      </c>
      <c r="AG108" s="17">
        <f t="shared" si="69"/>
        <v>0</v>
      </c>
      <c r="AH108" s="17">
        <f t="shared" si="51"/>
        <v>0.36378533387955753</v>
      </c>
      <c r="AI108" s="17">
        <f t="shared" si="52"/>
        <v>5.4281032363785335E-2</v>
      </c>
      <c r="AJ108" s="17">
        <f t="shared" si="53"/>
        <v>0</v>
      </c>
      <c r="AK108" s="17">
        <f t="shared" si="54"/>
        <v>5.4281032363785335E-2</v>
      </c>
      <c r="AL108" s="17"/>
    </row>
    <row r="109" spans="1:42" x14ac:dyDescent="0.25">
      <c r="A109">
        <v>2003</v>
      </c>
      <c r="B109">
        <v>60.85</v>
      </c>
      <c r="C109">
        <v>1.84</v>
      </c>
      <c r="D109">
        <v>5.67</v>
      </c>
      <c r="E109">
        <v>7.14</v>
      </c>
      <c r="F109">
        <v>20.71</v>
      </c>
      <c r="G109">
        <v>9.48</v>
      </c>
      <c r="H109">
        <v>11.18</v>
      </c>
      <c r="I109">
        <v>2.06</v>
      </c>
      <c r="J109">
        <v>2.5099999999999998</v>
      </c>
      <c r="K109">
        <v>0</v>
      </c>
      <c r="L109">
        <v>0</v>
      </c>
      <c r="M109">
        <v>0</v>
      </c>
      <c r="N109">
        <v>0</v>
      </c>
      <c r="O109">
        <v>0</v>
      </c>
      <c r="P109">
        <f t="shared" si="47"/>
        <v>20.66</v>
      </c>
      <c r="Q109">
        <f t="shared" si="48"/>
        <v>4.57</v>
      </c>
      <c r="R109">
        <f t="shared" si="49"/>
        <v>0</v>
      </c>
      <c r="S109">
        <f t="shared" si="50"/>
        <v>4.57</v>
      </c>
      <c r="U109" s="17">
        <f t="shared" si="57"/>
        <v>3.0238290879211177E-2</v>
      </c>
      <c r="V109" s="17">
        <f t="shared" si="58"/>
        <v>9.3179950698438777E-2</v>
      </c>
      <c r="W109" s="17">
        <f t="shared" si="59"/>
        <v>0.11733771569433031</v>
      </c>
      <c r="X109" s="17">
        <f t="shared" si="60"/>
        <v>0.34034511092851272</v>
      </c>
      <c r="Y109" s="17">
        <f t="shared" si="61"/>
        <v>0.15579293344289236</v>
      </c>
      <c r="Z109" s="17">
        <f t="shared" si="62"/>
        <v>0.18373048479868528</v>
      </c>
      <c r="AA109" s="17">
        <f t="shared" si="63"/>
        <v>3.3853738701725554E-2</v>
      </c>
      <c r="AB109" s="17">
        <f t="shared" si="64"/>
        <v>4.1248972884141324E-2</v>
      </c>
      <c r="AC109" s="17">
        <f t="shared" si="65"/>
        <v>0</v>
      </c>
      <c r="AD109" s="17">
        <f t="shared" si="66"/>
        <v>0</v>
      </c>
      <c r="AE109" s="17">
        <f t="shared" si="67"/>
        <v>0</v>
      </c>
      <c r="AF109" s="17">
        <f t="shared" si="68"/>
        <v>0</v>
      </c>
      <c r="AG109" s="17">
        <f t="shared" si="69"/>
        <v>0</v>
      </c>
      <c r="AH109" s="17">
        <f t="shared" si="51"/>
        <v>0.33952341824157761</v>
      </c>
      <c r="AI109" s="17">
        <f t="shared" si="52"/>
        <v>7.5102711585866871E-2</v>
      </c>
      <c r="AJ109" s="17">
        <f t="shared" si="53"/>
        <v>0</v>
      </c>
      <c r="AK109" s="17">
        <f t="shared" si="54"/>
        <v>7.5102711585866871E-2</v>
      </c>
      <c r="AL109" s="17"/>
    </row>
    <row r="110" spans="1:42" x14ac:dyDescent="0.25">
      <c r="A110">
        <v>2004</v>
      </c>
      <c r="B110">
        <v>49.2</v>
      </c>
      <c r="C110">
        <v>1.65</v>
      </c>
      <c r="D110">
        <v>4.04</v>
      </c>
      <c r="E110">
        <v>10.66</v>
      </c>
      <c r="F110">
        <v>12.33</v>
      </c>
      <c r="G110">
        <v>8.77</v>
      </c>
      <c r="H110">
        <v>3.25</v>
      </c>
      <c r="I110">
        <v>0</v>
      </c>
      <c r="J110">
        <v>2.83</v>
      </c>
      <c r="K110">
        <v>0</v>
      </c>
      <c r="L110">
        <v>0</v>
      </c>
      <c r="M110">
        <v>5.38</v>
      </c>
      <c r="N110">
        <v>0</v>
      </c>
      <c r="O110">
        <v>0</v>
      </c>
      <c r="P110">
        <f t="shared" si="47"/>
        <v>12.02</v>
      </c>
      <c r="Q110">
        <f t="shared" si="48"/>
        <v>2.83</v>
      </c>
      <c r="R110">
        <f t="shared" si="49"/>
        <v>5.38</v>
      </c>
      <c r="S110">
        <f t="shared" si="50"/>
        <v>8.2100000000000009</v>
      </c>
      <c r="U110" s="17">
        <f t="shared" si="57"/>
        <v>3.3536585365853654E-2</v>
      </c>
      <c r="V110" s="17">
        <f t="shared" si="58"/>
        <v>8.2113821138211376E-2</v>
      </c>
      <c r="W110" s="17">
        <f t="shared" si="59"/>
        <v>0.21666666666666665</v>
      </c>
      <c r="X110" s="17">
        <f t="shared" si="60"/>
        <v>0.25060975609756098</v>
      </c>
      <c r="Y110" s="17">
        <f t="shared" si="61"/>
        <v>0.17825203252032518</v>
      </c>
      <c r="Z110" s="17">
        <f t="shared" si="62"/>
        <v>6.605691056910569E-2</v>
      </c>
      <c r="AA110" s="17">
        <f t="shared" si="63"/>
        <v>0</v>
      </c>
      <c r="AB110" s="17">
        <f t="shared" si="64"/>
        <v>5.752032520325203E-2</v>
      </c>
      <c r="AC110" s="17">
        <f t="shared" si="65"/>
        <v>0</v>
      </c>
      <c r="AD110" s="17">
        <f t="shared" si="66"/>
        <v>0</v>
      </c>
      <c r="AE110" s="17">
        <f t="shared" si="67"/>
        <v>0.10934959349593495</v>
      </c>
      <c r="AF110" s="17">
        <f t="shared" si="68"/>
        <v>0</v>
      </c>
      <c r="AG110" s="17">
        <f t="shared" si="69"/>
        <v>0</v>
      </c>
      <c r="AH110" s="17">
        <f t="shared" si="51"/>
        <v>0.24430894308943085</v>
      </c>
      <c r="AI110" s="17">
        <f t="shared" si="52"/>
        <v>5.752032520325203E-2</v>
      </c>
      <c r="AJ110" s="17">
        <f t="shared" si="53"/>
        <v>0.10934959349593495</v>
      </c>
      <c r="AK110" s="17">
        <f t="shared" si="54"/>
        <v>0.16686991869918699</v>
      </c>
      <c r="AL110" s="17"/>
    </row>
    <row r="111" spans="1:42" x14ac:dyDescent="0.25">
      <c r="A111">
        <v>2005</v>
      </c>
      <c r="B111">
        <v>52.47</v>
      </c>
      <c r="C111">
        <v>1.89</v>
      </c>
      <c r="D111">
        <v>3.69</v>
      </c>
      <c r="E111">
        <v>7.3</v>
      </c>
      <c r="F111">
        <v>14.83</v>
      </c>
      <c r="G111">
        <v>10.68</v>
      </c>
      <c r="H111">
        <v>5.17</v>
      </c>
      <c r="I111">
        <v>8.71999999999999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f t="shared" si="47"/>
        <v>15.85</v>
      </c>
      <c r="Q111">
        <f t="shared" si="48"/>
        <v>8.71999999999999</v>
      </c>
      <c r="R111">
        <f t="shared" si="49"/>
        <v>0</v>
      </c>
      <c r="S111">
        <f t="shared" si="50"/>
        <v>8.71999999999999</v>
      </c>
      <c r="U111" s="17">
        <f t="shared" si="57"/>
        <v>3.6020583190394508E-2</v>
      </c>
      <c r="V111" s="17">
        <f t="shared" si="58"/>
        <v>7.0325900514579764E-2</v>
      </c>
      <c r="W111" s="17">
        <f t="shared" si="59"/>
        <v>0.13912712025919574</v>
      </c>
      <c r="X111" s="17">
        <f t="shared" si="60"/>
        <v>0.28263769773203734</v>
      </c>
      <c r="Y111" s="17">
        <f t="shared" si="61"/>
        <v>0.2035448827901658</v>
      </c>
      <c r="Z111" s="17">
        <f t="shared" si="62"/>
        <v>9.853249475890985E-2</v>
      </c>
      <c r="AA111" s="17">
        <f t="shared" si="63"/>
        <v>0.1661902039260528</v>
      </c>
      <c r="AB111" s="17">
        <f t="shared" si="64"/>
        <v>0</v>
      </c>
      <c r="AC111" s="17">
        <f t="shared" si="65"/>
        <v>0</v>
      </c>
      <c r="AD111" s="17">
        <f t="shared" si="66"/>
        <v>0</v>
      </c>
      <c r="AE111" s="17">
        <f t="shared" si="67"/>
        <v>0</v>
      </c>
      <c r="AF111" s="17">
        <f t="shared" si="68"/>
        <v>0</v>
      </c>
      <c r="AG111" s="17">
        <f t="shared" si="69"/>
        <v>0</v>
      </c>
      <c r="AH111" s="17">
        <f t="shared" si="51"/>
        <v>0.30207737754907565</v>
      </c>
      <c r="AI111" s="17">
        <f t="shared" si="52"/>
        <v>0.1661902039260528</v>
      </c>
      <c r="AJ111" s="17">
        <f t="shared" si="53"/>
        <v>0</v>
      </c>
      <c r="AK111" s="17">
        <f t="shared" si="54"/>
        <v>0.1661902039260528</v>
      </c>
      <c r="AL111" s="17"/>
    </row>
    <row r="112" spans="1:42" x14ac:dyDescent="0.25">
      <c r="A112">
        <v>2006</v>
      </c>
      <c r="B112">
        <v>51.77</v>
      </c>
      <c r="C112">
        <v>1.1499999999999999</v>
      </c>
      <c r="D112">
        <v>4.55</v>
      </c>
      <c r="E112">
        <v>9.5</v>
      </c>
      <c r="F112">
        <v>13.28</v>
      </c>
      <c r="G112">
        <v>12.659999999999901</v>
      </c>
      <c r="H112">
        <v>3.44</v>
      </c>
      <c r="I112">
        <v>4.58</v>
      </c>
      <c r="J112">
        <v>2.5299999999999998</v>
      </c>
      <c r="K112">
        <v>0</v>
      </c>
      <c r="L112">
        <v>0</v>
      </c>
      <c r="M112">
        <v>0</v>
      </c>
      <c r="N112">
        <v>0</v>
      </c>
      <c r="O112">
        <v>0</v>
      </c>
      <c r="P112">
        <f t="shared" si="47"/>
        <v>16.099999999999902</v>
      </c>
      <c r="Q112">
        <f t="shared" si="48"/>
        <v>7.1099999999999994</v>
      </c>
      <c r="R112">
        <f t="shared" si="49"/>
        <v>0</v>
      </c>
      <c r="S112">
        <f t="shared" si="50"/>
        <v>7.1099999999999994</v>
      </c>
      <c r="U112" s="17">
        <f t="shared" si="57"/>
        <v>2.2213637241645736E-2</v>
      </c>
      <c r="V112" s="17">
        <f t="shared" si="58"/>
        <v>8.788873865172879E-2</v>
      </c>
      <c r="W112" s="17">
        <f t="shared" si="59"/>
        <v>0.1835039598222909</v>
      </c>
      <c r="X112" s="17">
        <f t="shared" si="60"/>
        <v>0.25651921962526558</v>
      </c>
      <c r="Y112" s="17">
        <f t="shared" si="61"/>
        <v>0.24454317172107204</v>
      </c>
      <c r="Z112" s="17">
        <f t="shared" si="62"/>
        <v>6.6447749661966385E-2</v>
      </c>
      <c r="AA112" s="17">
        <f t="shared" si="63"/>
        <v>8.8468224840641291E-2</v>
      </c>
      <c r="AB112" s="17">
        <f t="shared" si="64"/>
        <v>4.8870001931620624E-2</v>
      </c>
      <c r="AC112" s="17">
        <f t="shared" si="65"/>
        <v>0</v>
      </c>
      <c r="AD112" s="17">
        <f t="shared" si="66"/>
        <v>0</v>
      </c>
      <c r="AE112" s="17">
        <f t="shared" si="67"/>
        <v>0</v>
      </c>
      <c r="AF112" s="17">
        <f t="shared" si="68"/>
        <v>0</v>
      </c>
      <c r="AG112" s="17">
        <f t="shared" si="69"/>
        <v>0</v>
      </c>
      <c r="AH112" s="17">
        <f t="shared" si="51"/>
        <v>0.31099092138303841</v>
      </c>
      <c r="AI112" s="17">
        <f t="shared" si="52"/>
        <v>0.13733822677226193</v>
      </c>
      <c r="AJ112" s="17">
        <f t="shared" si="53"/>
        <v>0</v>
      </c>
      <c r="AK112" s="17">
        <f t="shared" si="54"/>
        <v>0.13733822677226193</v>
      </c>
      <c r="AL112" s="17"/>
    </row>
    <row r="113" spans="1:42" x14ac:dyDescent="0.25">
      <c r="A113">
        <v>2007</v>
      </c>
      <c r="B113">
        <v>55.27</v>
      </c>
      <c r="C113">
        <v>1.6</v>
      </c>
      <c r="D113">
        <v>4.07</v>
      </c>
      <c r="E113">
        <v>9.1399999999999899</v>
      </c>
      <c r="F113">
        <v>13.08</v>
      </c>
      <c r="G113">
        <v>8.09</v>
      </c>
      <c r="H113">
        <v>9.94</v>
      </c>
      <c r="I113">
        <v>0</v>
      </c>
      <c r="J113">
        <v>2.73</v>
      </c>
      <c r="K113">
        <v>0</v>
      </c>
      <c r="L113">
        <v>0</v>
      </c>
      <c r="M113">
        <v>0</v>
      </c>
      <c r="N113">
        <v>6.43</v>
      </c>
      <c r="O113">
        <v>0</v>
      </c>
      <c r="P113">
        <f t="shared" si="47"/>
        <v>18.03</v>
      </c>
      <c r="Q113">
        <f t="shared" si="48"/>
        <v>2.73</v>
      </c>
      <c r="R113">
        <f t="shared" si="49"/>
        <v>6.43</v>
      </c>
      <c r="S113">
        <f t="shared" si="50"/>
        <v>9.16</v>
      </c>
      <c r="U113" s="17">
        <f t="shared" si="57"/>
        <v>2.8948796815632349E-2</v>
      </c>
      <c r="V113" s="17">
        <f t="shared" si="58"/>
        <v>7.3638501899764786E-2</v>
      </c>
      <c r="W113" s="17">
        <f t="shared" si="59"/>
        <v>0.16537000180929962</v>
      </c>
      <c r="X113" s="17">
        <f t="shared" si="60"/>
        <v>0.23665641396779444</v>
      </c>
      <c r="Y113" s="17">
        <f t="shared" si="61"/>
        <v>0.14637235389904105</v>
      </c>
      <c r="Z113" s="17">
        <f t="shared" si="62"/>
        <v>0.17984440021711595</v>
      </c>
      <c r="AA113" s="17">
        <f t="shared" si="63"/>
        <v>0</v>
      </c>
      <c r="AB113" s="17">
        <f t="shared" si="64"/>
        <v>4.9393884566672694E-2</v>
      </c>
      <c r="AC113" s="17">
        <f t="shared" si="65"/>
        <v>0</v>
      </c>
      <c r="AD113" s="17">
        <f t="shared" si="66"/>
        <v>0</v>
      </c>
      <c r="AE113" s="17">
        <f t="shared" si="67"/>
        <v>0</v>
      </c>
      <c r="AF113" s="17">
        <f t="shared" si="68"/>
        <v>0.11633797720282249</v>
      </c>
      <c r="AG113" s="17">
        <f t="shared" si="69"/>
        <v>0</v>
      </c>
      <c r="AH113" s="17">
        <f t="shared" si="51"/>
        <v>0.32621675411615703</v>
      </c>
      <c r="AI113" s="17">
        <f t="shared" si="52"/>
        <v>4.9393884566672694E-2</v>
      </c>
      <c r="AJ113" s="17">
        <f t="shared" si="53"/>
        <v>0.11633797720282249</v>
      </c>
      <c r="AK113" s="17">
        <f t="shared" si="54"/>
        <v>0.16573186176949517</v>
      </c>
      <c r="AL113" s="17"/>
    </row>
    <row r="114" spans="1:42" x14ac:dyDescent="0.25">
      <c r="A114">
        <v>2008</v>
      </c>
      <c r="B114">
        <v>54.45</v>
      </c>
      <c r="C114">
        <v>2.11</v>
      </c>
      <c r="D114">
        <v>3.76</v>
      </c>
      <c r="E114">
        <v>7.19</v>
      </c>
      <c r="F114">
        <v>18.25</v>
      </c>
      <c r="G114">
        <v>7.69</v>
      </c>
      <c r="H114">
        <v>5.14</v>
      </c>
      <c r="I114">
        <v>0</v>
      </c>
      <c r="J114">
        <v>2.91</v>
      </c>
      <c r="K114">
        <v>7.18</v>
      </c>
      <c r="L114">
        <v>0</v>
      </c>
      <c r="M114">
        <v>0</v>
      </c>
      <c r="N114">
        <v>0</v>
      </c>
      <c r="O114">
        <v>0</v>
      </c>
      <c r="P114">
        <f t="shared" si="47"/>
        <v>12.83</v>
      </c>
      <c r="Q114">
        <f t="shared" si="48"/>
        <v>10.09</v>
      </c>
      <c r="R114">
        <f t="shared" si="49"/>
        <v>0</v>
      </c>
      <c r="S114">
        <f t="shared" si="50"/>
        <v>10.09</v>
      </c>
      <c r="U114" s="17">
        <f t="shared" si="57"/>
        <v>3.8751147842056931E-2</v>
      </c>
      <c r="V114" s="17">
        <f t="shared" si="58"/>
        <v>6.9054178145087228E-2</v>
      </c>
      <c r="W114" s="17">
        <f t="shared" si="59"/>
        <v>0.13204775022956841</v>
      </c>
      <c r="X114" s="17">
        <f t="shared" si="60"/>
        <v>0.33516988062442604</v>
      </c>
      <c r="Y114" s="17">
        <f t="shared" si="61"/>
        <v>0.14123048668503213</v>
      </c>
      <c r="Z114" s="17">
        <f t="shared" si="62"/>
        <v>9.4398530762167115E-2</v>
      </c>
      <c r="AA114" s="17">
        <f t="shared" si="63"/>
        <v>0</v>
      </c>
      <c r="AB114" s="17">
        <f t="shared" si="64"/>
        <v>5.3443526170798901E-2</v>
      </c>
      <c r="AC114" s="17">
        <f t="shared" si="65"/>
        <v>0.13186409550045913</v>
      </c>
      <c r="AD114" s="17">
        <f t="shared" si="66"/>
        <v>0</v>
      </c>
      <c r="AE114" s="17">
        <f t="shared" si="67"/>
        <v>0</v>
      </c>
      <c r="AF114" s="17">
        <f t="shared" si="68"/>
        <v>0</v>
      </c>
      <c r="AG114" s="17">
        <f t="shared" si="69"/>
        <v>0</v>
      </c>
      <c r="AH114" s="17">
        <f t="shared" si="51"/>
        <v>0.23562901744719925</v>
      </c>
      <c r="AI114" s="17">
        <f t="shared" si="52"/>
        <v>0.18530762167125803</v>
      </c>
      <c r="AJ114" s="17">
        <f t="shared" si="53"/>
        <v>0</v>
      </c>
      <c r="AK114" s="17">
        <f t="shared" si="54"/>
        <v>0.18530762167125803</v>
      </c>
      <c r="AL114" s="17"/>
    </row>
    <row r="115" spans="1:42" x14ac:dyDescent="0.25">
      <c r="A115">
        <v>2009</v>
      </c>
      <c r="B115">
        <v>51.89</v>
      </c>
      <c r="C115">
        <v>2.17</v>
      </c>
      <c r="D115">
        <v>2.97</v>
      </c>
      <c r="E115">
        <v>9.98</v>
      </c>
      <c r="F115">
        <v>21.12</v>
      </c>
      <c r="G115">
        <v>13.299999999999899</v>
      </c>
      <c r="H115">
        <v>1.94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f t="shared" si="47"/>
        <v>15.239999999999899</v>
      </c>
      <c r="Q115">
        <f t="shared" si="48"/>
        <v>0</v>
      </c>
      <c r="R115">
        <f t="shared" si="49"/>
        <v>0</v>
      </c>
      <c r="S115">
        <f t="shared" si="50"/>
        <v>0</v>
      </c>
      <c r="U115" s="17">
        <f t="shared" si="57"/>
        <v>4.1819232992869527E-2</v>
      </c>
      <c r="V115" s="17">
        <f t="shared" si="58"/>
        <v>5.7236461746001159E-2</v>
      </c>
      <c r="W115" s="17">
        <f t="shared" si="59"/>
        <v>0.19232992869531701</v>
      </c>
      <c r="X115" s="17">
        <f t="shared" si="60"/>
        <v>0.40701483908267488</v>
      </c>
      <c r="Y115" s="17">
        <f t="shared" si="61"/>
        <v>0.2563114280208113</v>
      </c>
      <c r="Z115" s="17">
        <f t="shared" si="62"/>
        <v>3.7386779726344188E-2</v>
      </c>
      <c r="AA115" s="17">
        <f t="shared" si="63"/>
        <v>0</v>
      </c>
      <c r="AB115" s="17">
        <f t="shared" si="64"/>
        <v>0</v>
      </c>
      <c r="AC115" s="17">
        <f t="shared" si="65"/>
        <v>0</v>
      </c>
      <c r="AD115" s="17">
        <f t="shared" si="66"/>
        <v>0</v>
      </c>
      <c r="AE115" s="17">
        <f t="shared" si="67"/>
        <v>0</v>
      </c>
      <c r="AF115" s="17">
        <f t="shared" si="68"/>
        <v>0</v>
      </c>
      <c r="AG115" s="17">
        <f t="shared" si="69"/>
        <v>0</v>
      </c>
      <c r="AH115" s="17">
        <f t="shared" si="51"/>
        <v>0.29369820774715549</v>
      </c>
      <c r="AI115" s="17">
        <f t="shared" si="52"/>
        <v>0</v>
      </c>
      <c r="AJ115" s="17">
        <f t="shared" si="53"/>
        <v>0</v>
      </c>
      <c r="AK115" s="17">
        <f t="shared" si="54"/>
        <v>0</v>
      </c>
      <c r="AL115" s="17"/>
    </row>
    <row r="116" spans="1:42" x14ac:dyDescent="0.25">
      <c r="A116">
        <v>2010</v>
      </c>
      <c r="B116">
        <v>46.04</v>
      </c>
      <c r="C116">
        <v>1.63</v>
      </c>
      <c r="D116">
        <v>2.8</v>
      </c>
      <c r="E116">
        <v>6.5</v>
      </c>
      <c r="F116">
        <v>13.28</v>
      </c>
      <c r="G116">
        <v>8.76</v>
      </c>
      <c r="H116">
        <v>9.16</v>
      </c>
      <c r="I116">
        <v>0</v>
      </c>
      <c r="J116">
        <v>0</v>
      </c>
      <c r="K116">
        <v>3.71</v>
      </c>
      <c r="L116">
        <v>0</v>
      </c>
      <c r="M116">
        <v>0</v>
      </c>
      <c r="N116">
        <v>0</v>
      </c>
      <c r="O116">
        <v>0</v>
      </c>
      <c r="P116">
        <f t="shared" si="47"/>
        <v>17.920000000000002</v>
      </c>
      <c r="Q116">
        <f t="shared" si="48"/>
        <v>3.71</v>
      </c>
      <c r="R116">
        <f t="shared" si="49"/>
        <v>0</v>
      </c>
      <c r="S116">
        <f t="shared" si="50"/>
        <v>3.71</v>
      </c>
      <c r="U116" s="17">
        <f t="shared" si="57"/>
        <v>3.5403996524761075E-2</v>
      </c>
      <c r="V116" s="17">
        <f t="shared" si="58"/>
        <v>6.0816681146828845E-2</v>
      </c>
      <c r="W116" s="17">
        <f t="shared" si="59"/>
        <v>0.14118158123370983</v>
      </c>
      <c r="X116" s="17">
        <f t="shared" si="60"/>
        <v>0.28844483058210252</v>
      </c>
      <c r="Y116" s="17">
        <f t="shared" si="61"/>
        <v>0.19026933101650739</v>
      </c>
      <c r="Z116" s="17">
        <f t="shared" si="62"/>
        <v>0.19895742832319724</v>
      </c>
      <c r="AA116" s="17">
        <f t="shared" si="63"/>
        <v>0</v>
      </c>
      <c r="AB116" s="17">
        <f t="shared" si="64"/>
        <v>0</v>
      </c>
      <c r="AC116" s="17">
        <f t="shared" si="65"/>
        <v>8.0582102519548227E-2</v>
      </c>
      <c r="AD116" s="17">
        <f t="shared" si="66"/>
        <v>0</v>
      </c>
      <c r="AE116" s="17">
        <f t="shared" si="67"/>
        <v>0</v>
      </c>
      <c r="AF116" s="17">
        <f t="shared" si="68"/>
        <v>0</v>
      </c>
      <c r="AG116" s="17">
        <f t="shared" si="69"/>
        <v>0</v>
      </c>
      <c r="AH116" s="17">
        <f t="shared" si="51"/>
        <v>0.38922675933970463</v>
      </c>
      <c r="AI116" s="17">
        <f t="shared" si="52"/>
        <v>8.0582102519548227E-2</v>
      </c>
      <c r="AJ116" s="17">
        <f t="shared" si="53"/>
        <v>0</v>
      </c>
      <c r="AK116" s="17">
        <f t="shared" si="54"/>
        <v>8.0582102519548227E-2</v>
      </c>
      <c r="AL116" s="17"/>
    </row>
    <row r="117" spans="1:42" x14ac:dyDescent="0.25">
      <c r="A117">
        <v>2011</v>
      </c>
      <c r="B117">
        <v>66.11</v>
      </c>
      <c r="C117">
        <v>1.52</v>
      </c>
      <c r="D117">
        <v>3.67</v>
      </c>
      <c r="E117">
        <v>9.35</v>
      </c>
      <c r="F117">
        <v>13.11</v>
      </c>
      <c r="G117">
        <v>8.01</v>
      </c>
      <c r="H117">
        <v>3.44</v>
      </c>
      <c r="I117">
        <v>8.4600000000000009</v>
      </c>
      <c r="J117">
        <v>10.36</v>
      </c>
      <c r="K117">
        <v>0</v>
      </c>
      <c r="L117">
        <v>0</v>
      </c>
      <c r="M117">
        <v>0</v>
      </c>
      <c r="N117">
        <v>0</v>
      </c>
      <c r="O117">
        <v>7.96</v>
      </c>
      <c r="P117">
        <f t="shared" si="47"/>
        <v>11.45</v>
      </c>
      <c r="Q117">
        <f t="shared" si="48"/>
        <v>18.82</v>
      </c>
      <c r="R117">
        <f t="shared" si="49"/>
        <v>7.96</v>
      </c>
      <c r="S117">
        <f t="shared" si="50"/>
        <v>26.78</v>
      </c>
      <c r="U117" s="17">
        <f t="shared" si="57"/>
        <v>2.2991983058538799E-2</v>
      </c>
      <c r="V117" s="17">
        <f t="shared" si="58"/>
        <v>5.5513538042656178E-2</v>
      </c>
      <c r="W117" s="17">
        <f t="shared" si="59"/>
        <v>0.14143094841930115</v>
      </c>
      <c r="X117" s="17">
        <f t="shared" si="60"/>
        <v>0.19830585387989713</v>
      </c>
      <c r="Y117" s="17">
        <f t="shared" si="61"/>
        <v>0.12116170019664196</v>
      </c>
      <c r="Z117" s="17">
        <f t="shared" si="62"/>
        <v>5.2034487974587811E-2</v>
      </c>
      <c r="AA117" s="17">
        <f t="shared" si="63"/>
        <v>0.12796853728634097</v>
      </c>
      <c r="AB117" s="17">
        <f t="shared" si="64"/>
        <v>0.15670851610951445</v>
      </c>
      <c r="AC117" s="17">
        <f t="shared" si="65"/>
        <v>0</v>
      </c>
      <c r="AD117" s="17">
        <f t="shared" si="66"/>
        <v>0</v>
      </c>
      <c r="AE117" s="17">
        <f t="shared" si="67"/>
        <v>0</v>
      </c>
      <c r="AF117" s="17">
        <f t="shared" si="68"/>
        <v>0</v>
      </c>
      <c r="AG117" s="17">
        <f t="shared" si="69"/>
        <v>0.12040538496445319</v>
      </c>
      <c r="AH117" s="17">
        <f t="shared" si="51"/>
        <v>0.17319618817122978</v>
      </c>
      <c r="AI117" s="17">
        <f t="shared" si="52"/>
        <v>0.28467705339585542</v>
      </c>
      <c r="AJ117" s="17">
        <f t="shared" si="53"/>
        <v>0.12040538496445319</v>
      </c>
      <c r="AK117" s="17">
        <f t="shared" si="54"/>
        <v>0.40508243836030861</v>
      </c>
      <c r="AL117" s="17"/>
    </row>
    <row r="118" spans="1:42" x14ac:dyDescent="0.25">
      <c r="A118">
        <v>2012</v>
      </c>
      <c r="B118">
        <v>40.67</v>
      </c>
      <c r="C118">
        <v>1.64</v>
      </c>
      <c r="D118">
        <v>4.78</v>
      </c>
      <c r="E118">
        <v>7.96</v>
      </c>
      <c r="F118">
        <v>15.0099999999999</v>
      </c>
      <c r="G118">
        <v>3.68</v>
      </c>
      <c r="H118">
        <v>4.93</v>
      </c>
      <c r="I118">
        <v>2.36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f t="shared" si="47"/>
        <v>8.61</v>
      </c>
      <c r="Q118">
        <f t="shared" si="48"/>
        <v>2.36</v>
      </c>
      <c r="R118">
        <f t="shared" si="49"/>
        <v>0</v>
      </c>
      <c r="S118">
        <f t="shared" si="50"/>
        <v>2.36</v>
      </c>
      <c r="U118" s="17">
        <f t="shared" si="57"/>
        <v>4.0324563560363902E-2</v>
      </c>
      <c r="V118" s="17">
        <f t="shared" si="58"/>
        <v>0.11753134988935333</v>
      </c>
      <c r="W118" s="17">
        <f t="shared" si="59"/>
        <v>0.19572166215883943</v>
      </c>
      <c r="X118" s="17">
        <f t="shared" si="60"/>
        <v>0.36906810917137695</v>
      </c>
      <c r="Y118" s="17">
        <f t="shared" si="61"/>
        <v>9.0484386525694613E-2</v>
      </c>
      <c r="Z118" s="17">
        <f t="shared" si="62"/>
        <v>0.12121957216621587</v>
      </c>
      <c r="AA118" s="17">
        <f t="shared" si="63"/>
        <v>5.8028030489304147E-2</v>
      </c>
      <c r="AB118" s="17">
        <f t="shared" si="64"/>
        <v>0</v>
      </c>
      <c r="AC118" s="17">
        <f t="shared" si="65"/>
        <v>0</v>
      </c>
      <c r="AD118" s="17">
        <f t="shared" si="66"/>
        <v>0</v>
      </c>
      <c r="AE118" s="17">
        <f t="shared" si="67"/>
        <v>0</v>
      </c>
      <c r="AF118" s="17">
        <f t="shared" si="68"/>
        <v>0</v>
      </c>
      <c r="AG118" s="17">
        <f t="shared" si="69"/>
        <v>0</v>
      </c>
      <c r="AH118" s="17">
        <f t="shared" si="51"/>
        <v>0.2117039586919105</v>
      </c>
      <c r="AI118" s="17">
        <f t="shared" si="52"/>
        <v>5.8028030489304147E-2</v>
      </c>
      <c r="AJ118" s="17">
        <f t="shared" si="53"/>
        <v>0</v>
      </c>
      <c r="AK118" s="17">
        <f t="shared" si="54"/>
        <v>5.8028030489304147E-2</v>
      </c>
      <c r="AL118" s="17"/>
    </row>
    <row r="119" spans="1:42" ht="18.75" x14ac:dyDescent="0.3">
      <c r="A119">
        <v>2013</v>
      </c>
      <c r="B119">
        <v>45.48</v>
      </c>
      <c r="C119">
        <v>1.68</v>
      </c>
      <c r="D119">
        <v>4.78</v>
      </c>
      <c r="E119">
        <v>6.92</v>
      </c>
      <c r="F119">
        <v>14.3</v>
      </c>
      <c r="G119">
        <v>8.77</v>
      </c>
      <c r="H119">
        <v>3.4</v>
      </c>
      <c r="I119">
        <v>2.2000000000000002</v>
      </c>
      <c r="J119">
        <v>0</v>
      </c>
      <c r="K119">
        <v>3.17</v>
      </c>
      <c r="L119">
        <v>0</v>
      </c>
      <c r="M119">
        <v>0</v>
      </c>
      <c r="N119">
        <v>0</v>
      </c>
      <c r="O119">
        <v>0</v>
      </c>
      <c r="P119">
        <f t="shared" si="47"/>
        <v>12.17</v>
      </c>
      <c r="Q119">
        <f t="shared" si="48"/>
        <v>5.37</v>
      </c>
      <c r="R119">
        <f t="shared" si="49"/>
        <v>0</v>
      </c>
      <c r="S119">
        <f t="shared" si="50"/>
        <v>5.37</v>
      </c>
      <c r="U119" s="17">
        <f t="shared" si="57"/>
        <v>3.6939313984168866E-2</v>
      </c>
      <c r="V119" s="17">
        <f t="shared" si="58"/>
        <v>0.10510114335971857</v>
      </c>
      <c r="W119" s="17">
        <f t="shared" si="59"/>
        <v>0.15215479331574319</v>
      </c>
      <c r="X119" s="17">
        <f t="shared" si="60"/>
        <v>0.31442392260334218</v>
      </c>
      <c r="Y119" s="17">
        <f t="shared" si="61"/>
        <v>0.19283201407211961</v>
      </c>
      <c r="Z119" s="17">
        <f t="shared" si="62"/>
        <v>7.4758135444151275E-2</v>
      </c>
      <c r="AA119" s="17">
        <f t="shared" si="63"/>
        <v>4.8372911169744952E-2</v>
      </c>
      <c r="AB119" s="17">
        <f t="shared" si="64"/>
        <v>0</v>
      </c>
      <c r="AC119" s="17">
        <f t="shared" si="65"/>
        <v>6.9700967458223392E-2</v>
      </c>
      <c r="AD119" s="17">
        <f t="shared" si="66"/>
        <v>0</v>
      </c>
      <c r="AE119" s="17">
        <f t="shared" si="67"/>
        <v>0</v>
      </c>
      <c r="AF119" s="17">
        <f t="shared" si="68"/>
        <v>0</v>
      </c>
      <c r="AG119" s="17">
        <f t="shared" si="69"/>
        <v>0</v>
      </c>
      <c r="AH119" s="17">
        <f t="shared" si="51"/>
        <v>0.26759014951627091</v>
      </c>
      <c r="AI119" s="17">
        <f t="shared" si="52"/>
        <v>0.11807387862796834</v>
      </c>
      <c r="AJ119" s="17">
        <f t="shared" si="53"/>
        <v>0</v>
      </c>
      <c r="AK119" s="17">
        <f t="shared" si="54"/>
        <v>0.11807387862796834</v>
      </c>
      <c r="AL119" s="17"/>
      <c r="AM119" s="7" t="s">
        <v>15</v>
      </c>
      <c r="AN119" s="7"/>
      <c r="AO119" s="7"/>
      <c r="AP119" s="7"/>
    </row>
    <row r="120" spans="1:42" ht="18.75" x14ac:dyDescent="0.3">
      <c r="A120">
        <v>2014</v>
      </c>
      <c r="B120">
        <v>50.9</v>
      </c>
      <c r="C120">
        <v>1.24</v>
      </c>
      <c r="D120">
        <v>4.46</v>
      </c>
      <c r="E120">
        <v>11.61</v>
      </c>
      <c r="F120">
        <v>11.59</v>
      </c>
      <c r="G120">
        <v>8.02</v>
      </c>
      <c r="H120">
        <v>1.81</v>
      </c>
      <c r="I120">
        <v>2.13</v>
      </c>
      <c r="J120">
        <v>5.23</v>
      </c>
      <c r="K120">
        <v>0</v>
      </c>
      <c r="L120">
        <v>4.5</v>
      </c>
      <c r="M120">
        <v>0</v>
      </c>
      <c r="N120">
        <v>0</v>
      </c>
      <c r="O120">
        <v>0</v>
      </c>
      <c r="P120">
        <f t="shared" si="47"/>
        <v>9.83</v>
      </c>
      <c r="Q120">
        <f t="shared" si="48"/>
        <v>7.36</v>
      </c>
      <c r="R120">
        <f t="shared" si="49"/>
        <v>4.5</v>
      </c>
      <c r="S120">
        <f t="shared" si="50"/>
        <v>11.86</v>
      </c>
      <c r="U120" s="17">
        <f t="shared" si="57"/>
        <v>2.4361493123772102E-2</v>
      </c>
      <c r="V120" s="17">
        <f t="shared" si="58"/>
        <v>8.7622789783889987E-2</v>
      </c>
      <c r="W120" s="17">
        <f t="shared" si="59"/>
        <v>0.22809430255402749</v>
      </c>
      <c r="X120" s="17">
        <f t="shared" si="60"/>
        <v>0.22770137524557957</v>
      </c>
      <c r="Y120" s="17">
        <f t="shared" si="61"/>
        <v>0.1575638506876228</v>
      </c>
      <c r="Z120" s="17">
        <f t="shared" si="62"/>
        <v>3.5559921414538315E-2</v>
      </c>
      <c r="AA120" s="17">
        <f t="shared" si="63"/>
        <v>4.1846758349705304E-2</v>
      </c>
      <c r="AB120" s="17">
        <f t="shared" si="64"/>
        <v>0.10275049115913557</v>
      </c>
      <c r="AC120" s="17">
        <f t="shared" si="65"/>
        <v>0</v>
      </c>
      <c r="AD120" s="17">
        <f t="shared" si="66"/>
        <v>8.8408644400785857E-2</v>
      </c>
      <c r="AE120" s="17">
        <f t="shared" si="67"/>
        <v>0</v>
      </c>
      <c r="AF120" s="17">
        <f t="shared" si="68"/>
        <v>0</v>
      </c>
      <c r="AG120" s="17">
        <f t="shared" si="69"/>
        <v>0</v>
      </c>
      <c r="AH120" s="17">
        <f t="shared" si="51"/>
        <v>0.19312377210216111</v>
      </c>
      <c r="AI120" s="17">
        <f t="shared" si="52"/>
        <v>0.14459724950884087</v>
      </c>
      <c r="AJ120" s="17">
        <f t="shared" si="53"/>
        <v>8.8408644400785857E-2</v>
      </c>
      <c r="AK120" s="17">
        <f t="shared" si="54"/>
        <v>0.23300589390962673</v>
      </c>
      <c r="AL120" s="17"/>
      <c r="AM120" s="7" t="s">
        <v>16</v>
      </c>
      <c r="AN120" s="7" t="s">
        <v>17</v>
      </c>
      <c r="AO120" s="7"/>
      <c r="AP120" s="7"/>
    </row>
    <row r="121" spans="1:42" ht="18.75" x14ac:dyDescent="0.3">
      <c r="A121">
        <v>2015</v>
      </c>
      <c r="B121">
        <v>39.51</v>
      </c>
      <c r="C121">
        <v>1.76</v>
      </c>
      <c r="D121">
        <v>3.3799999999999901</v>
      </c>
      <c r="E121">
        <v>6.9599999999999902</v>
      </c>
      <c r="F121">
        <v>12.81</v>
      </c>
      <c r="G121">
        <v>7.36</v>
      </c>
      <c r="H121">
        <v>6.97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f t="shared" si="47"/>
        <v>14.33</v>
      </c>
      <c r="Q121">
        <f t="shared" si="48"/>
        <v>0</v>
      </c>
      <c r="R121">
        <f t="shared" si="49"/>
        <v>0</v>
      </c>
      <c r="S121">
        <f t="shared" si="50"/>
        <v>0</v>
      </c>
      <c r="U121" s="17">
        <f t="shared" si="57"/>
        <v>4.4545684636800816E-2</v>
      </c>
      <c r="V121" s="17">
        <f t="shared" si="58"/>
        <v>8.5547962541128578E-2</v>
      </c>
      <c r="W121" s="17">
        <f t="shared" si="59"/>
        <v>0.17615793470007568</v>
      </c>
      <c r="X121" s="17">
        <f t="shared" si="60"/>
        <v>0.32422171602126049</v>
      </c>
      <c r="Y121" s="17">
        <f t="shared" si="61"/>
        <v>0.18628195393571251</v>
      </c>
      <c r="Z121" s="17">
        <f t="shared" si="62"/>
        <v>0.17641103518096685</v>
      </c>
      <c r="AA121" s="17">
        <f t="shared" si="63"/>
        <v>0</v>
      </c>
      <c r="AB121" s="17">
        <f t="shared" si="64"/>
        <v>0</v>
      </c>
      <c r="AC121" s="17">
        <f t="shared" si="65"/>
        <v>0</v>
      </c>
      <c r="AD121" s="17">
        <f t="shared" si="66"/>
        <v>0</v>
      </c>
      <c r="AE121" s="17">
        <f t="shared" si="67"/>
        <v>0</v>
      </c>
      <c r="AF121" s="17">
        <f t="shared" si="68"/>
        <v>0</v>
      </c>
      <c r="AG121" s="17">
        <f t="shared" si="69"/>
        <v>0</v>
      </c>
      <c r="AH121" s="17">
        <f t="shared" si="51"/>
        <v>0.36269298911667935</v>
      </c>
      <c r="AI121" s="17">
        <f t="shared" si="52"/>
        <v>0</v>
      </c>
      <c r="AJ121" s="17">
        <f t="shared" si="53"/>
        <v>0</v>
      </c>
      <c r="AK121" s="17">
        <f t="shared" si="54"/>
        <v>0</v>
      </c>
      <c r="AL121" s="17"/>
      <c r="AM121" s="7" t="s">
        <v>0</v>
      </c>
      <c r="AN121" s="7" t="s">
        <v>18</v>
      </c>
      <c r="AO121" s="7"/>
      <c r="AP121" s="7"/>
    </row>
    <row r="122" spans="1:42" ht="18.75" x14ac:dyDescent="0.3">
      <c r="A122">
        <v>2016</v>
      </c>
      <c r="B122">
        <v>38.770000000000003</v>
      </c>
      <c r="C122">
        <v>1.65</v>
      </c>
      <c r="D122">
        <v>4.0999999999999996</v>
      </c>
      <c r="E122">
        <v>9.6999999999999993</v>
      </c>
      <c r="F122">
        <v>10.719999999999899</v>
      </c>
      <c r="G122">
        <v>3.76</v>
      </c>
      <c r="H122">
        <v>5.13</v>
      </c>
      <c r="I122">
        <v>0</v>
      </c>
      <c r="J122">
        <v>0</v>
      </c>
      <c r="K122">
        <v>3.51</v>
      </c>
      <c r="L122">
        <v>0</v>
      </c>
      <c r="M122">
        <v>0</v>
      </c>
      <c r="N122">
        <v>0</v>
      </c>
      <c r="O122">
        <v>0</v>
      </c>
      <c r="P122">
        <f t="shared" si="47"/>
        <v>8.89</v>
      </c>
      <c r="Q122">
        <f t="shared" si="48"/>
        <v>3.51</v>
      </c>
      <c r="R122">
        <f t="shared" si="49"/>
        <v>0</v>
      </c>
      <c r="S122">
        <f t="shared" si="50"/>
        <v>3.51</v>
      </c>
      <c r="U122" s="17">
        <f t="shared" si="57"/>
        <v>4.2558679391281912E-2</v>
      </c>
      <c r="V122" s="17">
        <f t="shared" si="58"/>
        <v>0.1057518700025793</v>
      </c>
      <c r="W122" s="17">
        <f t="shared" si="59"/>
        <v>0.2501934485426876</v>
      </c>
      <c r="X122" s="17">
        <f t="shared" si="60"/>
        <v>0.27650245034820475</v>
      </c>
      <c r="Y122" s="17">
        <f t="shared" si="61"/>
        <v>9.6982202734072723E-2</v>
      </c>
      <c r="Z122" s="17">
        <f t="shared" si="62"/>
        <v>0.13231880319834924</v>
      </c>
      <c r="AA122" s="17">
        <f t="shared" si="63"/>
        <v>0</v>
      </c>
      <c r="AB122" s="17">
        <f t="shared" si="64"/>
        <v>0</v>
      </c>
      <c r="AC122" s="17">
        <f t="shared" si="65"/>
        <v>9.0533917977817888E-2</v>
      </c>
      <c r="AD122" s="17">
        <f t="shared" si="66"/>
        <v>0</v>
      </c>
      <c r="AE122" s="17">
        <f t="shared" si="67"/>
        <v>0</v>
      </c>
      <c r="AF122" s="17">
        <f t="shared" si="68"/>
        <v>0</v>
      </c>
      <c r="AG122" s="17">
        <f t="shared" si="69"/>
        <v>0</v>
      </c>
      <c r="AH122" s="17">
        <f t="shared" si="51"/>
        <v>0.22930100593242198</v>
      </c>
      <c r="AI122" s="17">
        <f t="shared" si="52"/>
        <v>9.0533917977817888E-2</v>
      </c>
      <c r="AJ122" s="17">
        <f t="shared" si="53"/>
        <v>0</v>
      </c>
      <c r="AK122" s="17">
        <f t="shared" si="54"/>
        <v>9.0533917977817888E-2</v>
      </c>
      <c r="AL122" s="17"/>
      <c r="AM122" s="7" t="s">
        <v>1</v>
      </c>
      <c r="AN122" s="7" t="s">
        <v>19</v>
      </c>
      <c r="AO122" s="7"/>
      <c r="AP122" s="7"/>
    </row>
    <row r="123" spans="1:42" ht="18.75" x14ac:dyDescent="0.3">
      <c r="A123">
        <v>2017</v>
      </c>
      <c r="B123">
        <v>51.34</v>
      </c>
      <c r="C123">
        <v>2.27</v>
      </c>
      <c r="D123">
        <v>3.48</v>
      </c>
      <c r="E123">
        <v>9.5399999999999991</v>
      </c>
      <c r="F123">
        <v>13.29</v>
      </c>
      <c r="G123">
        <v>6.04</v>
      </c>
      <c r="H123">
        <v>10.559999999999899</v>
      </c>
      <c r="I123">
        <v>2.21</v>
      </c>
      <c r="J123">
        <v>0</v>
      </c>
      <c r="K123">
        <v>3.63</v>
      </c>
      <c r="L123">
        <v>0</v>
      </c>
      <c r="M123">
        <v>0</v>
      </c>
      <c r="N123">
        <v>0</v>
      </c>
      <c r="O123">
        <v>0</v>
      </c>
      <c r="P123">
        <f t="shared" si="47"/>
        <v>16.599999999999898</v>
      </c>
      <c r="Q123">
        <f t="shared" si="48"/>
        <v>5.84</v>
      </c>
      <c r="R123">
        <f t="shared" si="49"/>
        <v>0</v>
      </c>
      <c r="S123">
        <f t="shared" si="50"/>
        <v>5.84</v>
      </c>
      <c r="U123" s="17">
        <f t="shared" si="57"/>
        <v>4.4215037008180753E-2</v>
      </c>
      <c r="V123" s="17">
        <f t="shared" si="58"/>
        <v>6.778340475262952E-2</v>
      </c>
      <c r="W123" s="17">
        <f t="shared" si="59"/>
        <v>0.18582002337358783</v>
      </c>
      <c r="X123" s="17">
        <f t="shared" si="60"/>
        <v>0.25886248539150758</v>
      </c>
      <c r="Y123" s="17">
        <f t="shared" si="61"/>
        <v>0.11764705882352941</v>
      </c>
      <c r="Z123" s="17">
        <f t="shared" si="62"/>
        <v>0.20568757304246005</v>
      </c>
      <c r="AA123" s="17">
        <f t="shared" si="63"/>
        <v>4.3046357615894038E-2</v>
      </c>
      <c r="AB123" s="17">
        <f t="shared" si="64"/>
        <v>0</v>
      </c>
      <c r="AC123" s="17">
        <f t="shared" si="65"/>
        <v>7.0705103233346306E-2</v>
      </c>
      <c r="AD123" s="17">
        <f t="shared" si="66"/>
        <v>0</v>
      </c>
      <c r="AE123" s="17">
        <f t="shared" si="67"/>
        <v>0</v>
      </c>
      <c r="AF123" s="17">
        <f t="shared" si="68"/>
        <v>0</v>
      </c>
      <c r="AG123" s="17">
        <f t="shared" si="69"/>
        <v>0</v>
      </c>
      <c r="AH123" s="17">
        <f t="shared" si="51"/>
        <v>0.32333463186598943</v>
      </c>
      <c r="AI123" s="17">
        <f t="shared" si="52"/>
        <v>0.11375146084924034</v>
      </c>
      <c r="AJ123" s="17">
        <f t="shared" si="53"/>
        <v>0</v>
      </c>
      <c r="AK123" s="17">
        <f t="shared" si="54"/>
        <v>0.11375146084924034</v>
      </c>
      <c r="AL123" s="17"/>
      <c r="AM123" s="7" t="s">
        <v>2</v>
      </c>
      <c r="AN123" s="7" t="s">
        <v>20</v>
      </c>
      <c r="AO123" s="7"/>
      <c r="AP123" s="7"/>
    </row>
    <row r="124" spans="1:42" ht="18.75" x14ac:dyDescent="0.3"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7" t="s">
        <v>3</v>
      </c>
      <c r="AN124" s="7" t="s">
        <v>21</v>
      </c>
      <c r="AO124" s="7"/>
      <c r="AP124" s="7"/>
    </row>
    <row r="125" spans="1:42" ht="18.75" x14ac:dyDescent="0.3">
      <c r="A125" s="28" t="s">
        <v>58</v>
      </c>
      <c r="B125" s="21">
        <f>AVERAGE(B94:B123)</f>
        <v>48.946666666666673</v>
      </c>
      <c r="C125" s="21">
        <f t="shared" ref="C125:AK125" si="70">AVERAGE(C94:C123)</f>
        <v>1.7483333333333335</v>
      </c>
      <c r="D125" s="21">
        <f t="shared" si="70"/>
        <v>3.8656666666666664</v>
      </c>
      <c r="E125" s="21">
        <f t="shared" si="70"/>
        <v>7.8906666666666627</v>
      </c>
      <c r="F125" s="21">
        <f t="shared" si="70"/>
        <v>14.246333333333313</v>
      </c>
      <c r="G125" s="21">
        <f t="shared" si="70"/>
        <v>8.5776666666666603</v>
      </c>
      <c r="H125" s="21">
        <f t="shared" si="70"/>
        <v>5.718666666666663</v>
      </c>
      <c r="I125" s="21">
        <f t="shared" si="70"/>
        <v>2.4089999999999994</v>
      </c>
      <c r="J125" s="21">
        <f t="shared" si="70"/>
        <v>1.3233333333333335</v>
      </c>
      <c r="K125" s="21">
        <f t="shared" si="70"/>
        <v>1.0683333333333336</v>
      </c>
      <c r="L125" s="21">
        <f t="shared" si="70"/>
        <v>0.59066666666666667</v>
      </c>
      <c r="M125" s="21">
        <f t="shared" si="70"/>
        <v>0.56066666666666665</v>
      </c>
      <c r="N125" s="21">
        <f t="shared" si="70"/>
        <v>0.42233333333333334</v>
      </c>
      <c r="O125" s="21">
        <f t="shared" si="70"/>
        <v>0.26533333333333331</v>
      </c>
      <c r="P125" s="21">
        <f t="shared" si="70"/>
        <v>14.296333333333321</v>
      </c>
      <c r="Q125" s="21">
        <f t="shared" si="70"/>
        <v>4.8006666666666664</v>
      </c>
      <c r="R125" s="21">
        <f t="shared" si="70"/>
        <v>1.839</v>
      </c>
      <c r="S125" s="21">
        <f t="shared" si="70"/>
        <v>6.6396666666666659</v>
      </c>
      <c r="T125" s="21"/>
      <c r="U125" s="31">
        <f t="shared" si="70"/>
        <v>3.6207689783829024E-2</v>
      </c>
      <c r="V125" s="31">
        <f t="shared" si="70"/>
        <v>8.0252306524770514E-2</v>
      </c>
      <c r="W125" s="31">
        <f t="shared" si="70"/>
        <v>0.16283720520385919</v>
      </c>
      <c r="X125" s="31">
        <f t="shared" si="70"/>
        <v>0.29381935111312224</v>
      </c>
      <c r="Y125" s="31">
        <f t="shared" si="70"/>
        <v>0.17509029584402599</v>
      </c>
      <c r="Z125" s="31">
        <f t="shared" si="70"/>
        <v>0.11786181559028362</v>
      </c>
      <c r="AA125" s="31">
        <f t="shared" si="70"/>
        <v>4.8601714561533824E-2</v>
      </c>
      <c r="AB125" s="31">
        <f t="shared" si="70"/>
        <v>2.4406532071009568E-2</v>
      </c>
      <c r="AC125" s="31">
        <f t="shared" si="70"/>
        <v>2.1439582917648671E-2</v>
      </c>
      <c r="AD125" s="31">
        <f t="shared" si="70"/>
        <v>1.103326884430833E-2</v>
      </c>
      <c r="AE125" s="31">
        <f t="shared" si="70"/>
        <v>1.0852107250657102E-2</v>
      </c>
      <c r="AF125" s="31">
        <f t="shared" si="70"/>
        <v>8.1560074397375778E-3</v>
      </c>
      <c r="AG125" s="31">
        <f t="shared" si="70"/>
        <v>4.0135128321484399E-3</v>
      </c>
      <c r="AH125" s="31">
        <f t="shared" si="70"/>
        <v>0.29295211143430955</v>
      </c>
      <c r="AI125" s="31">
        <f t="shared" si="70"/>
        <v>9.4447829550192056E-2</v>
      </c>
      <c r="AJ125" s="31">
        <f t="shared" si="70"/>
        <v>3.4054896366851453E-2</v>
      </c>
      <c r="AK125" s="31">
        <f t="shared" si="70"/>
        <v>0.12850272591704354</v>
      </c>
      <c r="AL125" s="17"/>
      <c r="AM125" s="7" t="s">
        <v>4</v>
      </c>
      <c r="AN125" s="7" t="s">
        <v>22</v>
      </c>
      <c r="AO125" s="7"/>
      <c r="AP125" s="7"/>
    </row>
    <row r="126" spans="1:42" ht="18.75" x14ac:dyDescent="0.3">
      <c r="A126" s="28" t="s">
        <v>59</v>
      </c>
      <c r="B126" s="21">
        <f>AVERAGE(B2:B93)</f>
        <v>44.898913043478281</v>
      </c>
      <c r="C126" s="21">
        <f t="shared" ref="C126:AK126" si="71">AVERAGE(C2:C93)</f>
        <v>1.751739130434782</v>
      </c>
      <c r="D126" s="21">
        <f t="shared" si="71"/>
        <v>4.0971739130434779</v>
      </c>
      <c r="E126" s="21">
        <f t="shared" si="71"/>
        <v>7.4497826086956476</v>
      </c>
      <c r="F126" s="21">
        <f t="shared" si="71"/>
        <v>13.246521739130413</v>
      </c>
      <c r="G126" s="21">
        <f t="shared" si="71"/>
        <v>8.278369565217373</v>
      </c>
      <c r="H126" s="21">
        <f t="shared" si="71"/>
        <v>4.5995652173913006</v>
      </c>
      <c r="I126" s="21">
        <f t="shared" si="71"/>
        <v>2.410326086956522</v>
      </c>
      <c r="J126" s="21">
        <f t="shared" si="71"/>
        <v>0.80586956521739128</v>
      </c>
      <c r="K126" s="21">
        <f t="shared" si="71"/>
        <v>1.1376086956521738</v>
      </c>
      <c r="L126" s="21">
        <f t="shared" si="71"/>
        <v>0.52739130434782611</v>
      </c>
      <c r="M126" s="21">
        <f t="shared" si="71"/>
        <v>0.17108695652173916</v>
      </c>
      <c r="N126" s="21">
        <f t="shared" si="71"/>
        <v>0.13967391304347829</v>
      </c>
      <c r="O126" s="21">
        <f t="shared" si="71"/>
        <v>8.3260869565217388E-2</v>
      </c>
      <c r="P126" s="21">
        <f t="shared" si="71"/>
        <v>12.87793478260868</v>
      </c>
      <c r="Q126" s="21">
        <f t="shared" si="71"/>
        <v>4.3538043478260846</v>
      </c>
      <c r="R126" s="21">
        <f t="shared" si="71"/>
        <v>0.92141304347826081</v>
      </c>
      <c r="S126" s="21">
        <f t="shared" si="71"/>
        <v>5.2752173913043467</v>
      </c>
      <c r="T126" s="21"/>
      <c r="U126" s="31">
        <f t="shared" si="71"/>
        <v>3.9952002984949352E-2</v>
      </c>
      <c r="V126" s="31">
        <f t="shared" si="71"/>
        <v>9.3069375960475834E-2</v>
      </c>
      <c r="W126" s="31">
        <f t="shared" si="71"/>
        <v>0.16879574004951287</v>
      </c>
      <c r="X126" s="31">
        <f t="shared" si="71"/>
        <v>0.29643238605022437</v>
      </c>
      <c r="Y126" s="31">
        <f t="shared" si="71"/>
        <v>0.18420172505435872</v>
      </c>
      <c r="Z126" s="31">
        <f t="shared" si="71"/>
        <v>9.991343844295815E-2</v>
      </c>
      <c r="AA126" s="31">
        <f t="shared" si="71"/>
        <v>5.2869555105259716E-2</v>
      </c>
      <c r="AB126" s="31">
        <f t="shared" si="71"/>
        <v>1.7192163299245489E-2</v>
      </c>
      <c r="AC126" s="31">
        <f t="shared" si="71"/>
        <v>2.3391707714555478E-2</v>
      </c>
      <c r="AD126" s="31">
        <f t="shared" si="71"/>
        <v>1.2034034708879706E-2</v>
      </c>
      <c r="AE126" s="31">
        <f t="shared" si="71"/>
        <v>3.4588236912548613E-3</v>
      </c>
      <c r="AF126" s="31">
        <f t="shared" si="71"/>
        <v>2.6255784089067066E-3</v>
      </c>
      <c r="AG126" s="31">
        <f t="shared" si="71"/>
        <v>1.6024031863975633E-3</v>
      </c>
      <c r="AH126" s="31">
        <f t="shared" si="71"/>
        <v>0.28411516349731708</v>
      </c>
      <c r="AI126" s="31">
        <f t="shared" si="71"/>
        <v>9.345342611906067E-2</v>
      </c>
      <c r="AJ126" s="31">
        <f t="shared" si="71"/>
        <v>1.9720839995438836E-2</v>
      </c>
      <c r="AK126" s="31">
        <f t="shared" si="71"/>
        <v>0.11317426611449947</v>
      </c>
      <c r="AL126" s="17"/>
      <c r="AM126" s="7" t="s">
        <v>23</v>
      </c>
      <c r="AN126" s="7" t="s">
        <v>37</v>
      </c>
      <c r="AO126" s="7"/>
      <c r="AP126" s="7"/>
    </row>
    <row r="127" spans="1:42" ht="18.75" x14ac:dyDescent="0.3">
      <c r="B127" s="25">
        <f>B125-B126</f>
        <v>4.0477536231883917</v>
      </c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7" t="s">
        <v>25</v>
      </c>
      <c r="AN127" s="7" t="s">
        <v>38</v>
      </c>
      <c r="AO127" s="7"/>
      <c r="AP127" s="7"/>
    </row>
    <row r="128" spans="1:42" x14ac:dyDescent="0.25">
      <c r="AH128" s="17"/>
      <c r="AI128" s="17"/>
      <c r="AJ128" s="17"/>
      <c r="AK128" s="17"/>
      <c r="AL128" s="17"/>
    </row>
    <row r="129" spans="34:42" x14ac:dyDescent="0.25">
      <c r="AH129" s="17"/>
      <c r="AI129" s="17"/>
      <c r="AJ129" s="17"/>
      <c r="AK129" s="17"/>
      <c r="AL129" s="17"/>
    </row>
    <row r="133" spans="34:42" ht="18.75" x14ac:dyDescent="0.3">
      <c r="AM133" s="18"/>
      <c r="AN133" s="18"/>
      <c r="AO133" s="18"/>
      <c r="AP133" s="18"/>
    </row>
    <row r="134" spans="34:42" ht="18.75" x14ac:dyDescent="0.3">
      <c r="AM134" s="7"/>
      <c r="AN134" s="7"/>
      <c r="AO134" s="7"/>
      <c r="AP134" s="7"/>
    </row>
    <row r="135" spans="34:42" ht="18.75" x14ac:dyDescent="0.3">
      <c r="AM135" s="7"/>
      <c r="AN135" s="7"/>
      <c r="AO135" s="7"/>
      <c r="AP135" s="7"/>
    </row>
    <row r="136" spans="34:42" ht="18.75" x14ac:dyDescent="0.3">
      <c r="AM136" s="7"/>
      <c r="AN136" s="7"/>
      <c r="AO136" s="7"/>
      <c r="AP136" s="7"/>
    </row>
    <row r="137" spans="34:42" ht="18.75" x14ac:dyDescent="0.3">
      <c r="AM137" s="7"/>
      <c r="AN137" s="7"/>
      <c r="AO137" s="7"/>
      <c r="AP137" s="7"/>
    </row>
    <row r="138" spans="34:42" ht="18.75" x14ac:dyDescent="0.3">
      <c r="AM138" s="7"/>
      <c r="AN138" s="7"/>
      <c r="AO138" s="7"/>
      <c r="AP138" s="7"/>
    </row>
    <row r="139" spans="34:42" ht="18.75" x14ac:dyDescent="0.3">
      <c r="AM139" s="7"/>
      <c r="AN139" s="7"/>
      <c r="AO139" s="7"/>
      <c r="AP139" s="7"/>
    </row>
    <row r="140" spans="34:42" ht="18.75" x14ac:dyDescent="0.3">
      <c r="AM140" s="7"/>
      <c r="AN140" s="7"/>
      <c r="AO140" s="7"/>
      <c r="AP140" s="7"/>
    </row>
    <row r="141" spans="34:42" ht="18.75" x14ac:dyDescent="0.3">
      <c r="AM141" s="7"/>
      <c r="AN141" s="7"/>
      <c r="AO141" s="7"/>
      <c r="AP141" s="7"/>
    </row>
    <row r="142" spans="34:42" ht="18.75" x14ac:dyDescent="0.3">
      <c r="AM142" s="7"/>
      <c r="AN142" s="7"/>
      <c r="AO142" s="7"/>
      <c r="AP142" s="7"/>
    </row>
    <row r="143" spans="34:42" ht="18.75" x14ac:dyDescent="0.3">
      <c r="AM143" s="7"/>
      <c r="AN143" s="7"/>
      <c r="AO143" s="7"/>
      <c r="AP143" s="7"/>
    </row>
    <row r="144" spans="34:42" ht="18.75" x14ac:dyDescent="0.3">
      <c r="AM144" s="7"/>
      <c r="AN144" s="7"/>
      <c r="AO144" s="7"/>
      <c r="AP144" s="7"/>
    </row>
    <row r="145" spans="39:42" ht="18.75" x14ac:dyDescent="0.3">
      <c r="AM145" s="7"/>
      <c r="AN145" s="7"/>
      <c r="AO145" s="7"/>
      <c r="AP145" s="7"/>
    </row>
    <row r="146" spans="39:42" ht="18.75" x14ac:dyDescent="0.3">
      <c r="AM146" s="7"/>
      <c r="AN146" s="7"/>
      <c r="AO146" s="7"/>
      <c r="AP146" s="7"/>
    </row>
    <row r="147" spans="39:42" ht="18.75" x14ac:dyDescent="0.3">
      <c r="AM147" s="7"/>
      <c r="AN147" s="7"/>
      <c r="AO147" s="7"/>
      <c r="AP147" s="7"/>
    </row>
    <row r="148" spans="39:42" ht="18.75" x14ac:dyDescent="0.3">
      <c r="AM148" s="7"/>
      <c r="AN148" s="7"/>
      <c r="AO148" s="7"/>
      <c r="AP148" s="7"/>
    </row>
    <row r="149" spans="39:42" ht="18.75" x14ac:dyDescent="0.3">
      <c r="AM149" s="7"/>
      <c r="AN149" s="7"/>
      <c r="AO149" s="7"/>
      <c r="AP149" s="7"/>
    </row>
    <row r="150" spans="39:42" ht="18.75" x14ac:dyDescent="0.3">
      <c r="AM150" s="18"/>
      <c r="AN150" s="18"/>
      <c r="AO150" s="18"/>
      <c r="AP150" s="18"/>
    </row>
    <row r="151" spans="39:42" ht="18.75" x14ac:dyDescent="0.3">
      <c r="AM151" s="18"/>
      <c r="AN151" s="18"/>
      <c r="AO151" s="18"/>
      <c r="AP151" s="18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122"/>
  <sheetViews>
    <sheetView zoomScale="70" zoomScaleNormal="70" workbookViewId="0">
      <pane ySplit="1" topLeftCell="A67" activePane="bottomLeft" state="frozen"/>
      <selection pane="bottomLeft" activeCell="A21" sqref="A21:Q21"/>
    </sheetView>
  </sheetViews>
  <sheetFormatPr defaultRowHeight="15" x14ac:dyDescent="0.25"/>
  <cols>
    <col min="1" max="1" width="19" customWidth="1"/>
    <col min="2" max="2" width="3" customWidth="1"/>
    <col min="7" max="15" width="0" hidden="1" customWidth="1"/>
    <col min="20" max="20" width="18.5703125" bestFit="1" customWidth="1"/>
    <col min="21" max="21" width="17" bestFit="1" customWidth="1"/>
    <col min="25" max="25" width="18.28515625" customWidth="1"/>
  </cols>
  <sheetData>
    <row r="1" spans="1:25" s="8" customFormat="1" ht="18.75" x14ac:dyDescent="0.3"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8" t="s">
        <v>13</v>
      </c>
      <c r="P1" s="8" t="s">
        <v>23</v>
      </c>
      <c r="Q1" s="8" t="s">
        <v>25</v>
      </c>
      <c r="T1" s="7" t="s">
        <v>15</v>
      </c>
      <c r="U1" s="7"/>
    </row>
    <row r="2" spans="1:25" ht="18.75" x14ac:dyDescent="0.3">
      <c r="A2">
        <v>1893</v>
      </c>
      <c r="B2">
        <v>288</v>
      </c>
      <c r="C2">
        <v>21</v>
      </c>
      <c r="D2">
        <v>16</v>
      </c>
      <c r="E2">
        <v>17</v>
      </c>
      <c r="F2">
        <v>12</v>
      </c>
      <c r="G2">
        <v>8</v>
      </c>
      <c r="H2">
        <v>0</v>
      </c>
      <c r="I2">
        <v>1</v>
      </c>
      <c r="J2">
        <v>0</v>
      </c>
      <c r="K2">
        <v>0</v>
      </c>
      <c r="L2">
        <v>0</v>
      </c>
      <c r="M2">
        <v>1</v>
      </c>
      <c r="N2">
        <v>0</v>
      </c>
      <c r="O2">
        <v>0</v>
      </c>
      <c r="P2">
        <f>SUM(G2:H2)</f>
        <v>8</v>
      </c>
      <c r="Q2">
        <f>SUM(I2:O2)</f>
        <v>2</v>
      </c>
      <c r="T2" s="7" t="s">
        <v>16</v>
      </c>
      <c r="U2" s="7" t="s">
        <v>17</v>
      </c>
    </row>
    <row r="3" spans="1:25" ht="18.75" x14ac:dyDescent="0.3">
      <c r="A3">
        <v>1894</v>
      </c>
      <c r="B3">
        <v>281</v>
      </c>
      <c r="C3">
        <v>31</v>
      </c>
      <c r="D3">
        <v>14</v>
      </c>
      <c r="E3">
        <v>16</v>
      </c>
      <c r="F3">
        <v>14</v>
      </c>
      <c r="G3">
        <v>4</v>
      </c>
      <c r="H3">
        <v>1</v>
      </c>
      <c r="I3">
        <v>2</v>
      </c>
      <c r="J3">
        <v>1</v>
      </c>
      <c r="K3">
        <v>0</v>
      </c>
      <c r="L3">
        <v>1</v>
      </c>
      <c r="M3">
        <v>0</v>
      </c>
      <c r="N3">
        <v>0</v>
      </c>
      <c r="O3">
        <v>0</v>
      </c>
      <c r="P3">
        <f t="shared" ref="P3:P64" si="0">SUM(G3:H3)</f>
        <v>5</v>
      </c>
      <c r="Q3">
        <f t="shared" ref="Q3:Q64" si="1">SUM(I3:O3)</f>
        <v>4</v>
      </c>
      <c r="T3" s="7" t="s">
        <v>0</v>
      </c>
      <c r="U3" s="7" t="s">
        <v>18</v>
      </c>
    </row>
    <row r="4" spans="1:25" ht="18.75" x14ac:dyDescent="0.3">
      <c r="A4">
        <v>1895</v>
      </c>
      <c r="B4">
        <v>261</v>
      </c>
      <c r="C4">
        <v>38</v>
      </c>
      <c r="D4">
        <v>22</v>
      </c>
      <c r="E4">
        <v>20</v>
      </c>
      <c r="F4">
        <v>16</v>
      </c>
      <c r="G4">
        <v>6</v>
      </c>
      <c r="H4">
        <v>2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f t="shared" si="0"/>
        <v>8</v>
      </c>
      <c r="Q4">
        <f t="shared" si="1"/>
        <v>0</v>
      </c>
      <c r="T4" s="7" t="s">
        <v>1</v>
      </c>
      <c r="U4" s="7" t="s">
        <v>19</v>
      </c>
    </row>
    <row r="5" spans="1:25" ht="18.75" x14ac:dyDescent="0.3">
      <c r="A5">
        <v>1896</v>
      </c>
      <c r="B5">
        <v>266</v>
      </c>
      <c r="C5">
        <v>21</v>
      </c>
      <c r="D5">
        <v>29</v>
      </c>
      <c r="E5">
        <v>23</v>
      </c>
      <c r="F5">
        <v>18</v>
      </c>
      <c r="G5">
        <v>5</v>
      </c>
      <c r="H5">
        <v>2</v>
      </c>
      <c r="I5">
        <v>1</v>
      </c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f t="shared" si="0"/>
        <v>7</v>
      </c>
      <c r="Q5">
        <f t="shared" si="1"/>
        <v>2</v>
      </c>
      <c r="T5" s="7" t="s">
        <v>2</v>
      </c>
      <c r="U5" s="7" t="s">
        <v>20</v>
      </c>
    </row>
    <row r="6" spans="1:25" ht="18.75" x14ac:dyDescent="0.3">
      <c r="A6">
        <v>1897</v>
      </c>
      <c r="B6">
        <v>257</v>
      </c>
      <c r="C6">
        <v>27</v>
      </c>
      <c r="D6">
        <v>28</v>
      </c>
      <c r="E6">
        <v>21</v>
      </c>
      <c r="F6">
        <v>23</v>
      </c>
      <c r="G6">
        <v>4</v>
      </c>
      <c r="H6">
        <v>3</v>
      </c>
      <c r="I6">
        <v>2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f t="shared" si="0"/>
        <v>7</v>
      </c>
      <c r="Q6">
        <f t="shared" si="1"/>
        <v>2</v>
      </c>
      <c r="T6" s="7" t="s">
        <v>3</v>
      </c>
      <c r="U6" s="7" t="s">
        <v>21</v>
      </c>
    </row>
    <row r="7" spans="1:25" ht="18.75" x14ac:dyDescent="0.3">
      <c r="A7">
        <v>1898</v>
      </c>
      <c r="B7">
        <v>235</v>
      </c>
      <c r="C7">
        <v>34</v>
      </c>
      <c r="D7">
        <v>31</v>
      </c>
      <c r="E7">
        <v>38</v>
      </c>
      <c r="F7">
        <v>13</v>
      </c>
      <c r="G7">
        <v>8</v>
      </c>
      <c r="H7">
        <v>6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f t="shared" si="0"/>
        <v>14</v>
      </c>
      <c r="Q7">
        <f t="shared" si="1"/>
        <v>0</v>
      </c>
      <c r="T7" s="7" t="s">
        <v>4</v>
      </c>
      <c r="U7" s="7" t="s">
        <v>22</v>
      </c>
    </row>
    <row r="8" spans="1:25" ht="18.75" x14ac:dyDescent="0.3">
      <c r="A8" s="20">
        <v>1899</v>
      </c>
      <c r="B8" s="20">
        <v>266</v>
      </c>
      <c r="C8" s="20">
        <v>22</v>
      </c>
      <c r="D8" s="20">
        <v>16</v>
      </c>
      <c r="E8" s="20">
        <v>29</v>
      </c>
      <c r="F8" s="20">
        <v>21</v>
      </c>
      <c r="G8" s="20">
        <v>8</v>
      </c>
      <c r="H8" s="20">
        <v>2</v>
      </c>
      <c r="I8" s="20">
        <v>1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0">
        <v>0</v>
      </c>
      <c r="P8">
        <f t="shared" si="0"/>
        <v>10</v>
      </c>
      <c r="Q8">
        <f t="shared" si="1"/>
        <v>1</v>
      </c>
      <c r="T8" s="7" t="s">
        <v>23</v>
      </c>
      <c r="U8" s="7" t="s">
        <v>37</v>
      </c>
    </row>
    <row r="9" spans="1:25" ht="18.75" x14ac:dyDescent="0.3">
      <c r="A9" s="20">
        <v>1905</v>
      </c>
      <c r="B9" s="20">
        <v>273</v>
      </c>
      <c r="C9" s="20">
        <v>28</v>
      </c>
      <c r="D9" s="20">
        <v>28</v>
      </c>
      <c r="E9" s="20">
        <v>13</v>
      </c>
      <c r="F9" s="20">
        <v>11</v>
      </c>
      <c r="G9" s="20">
        <v>9</v>
      </c>
      <c r="H9" s="20">
        <v>1</v>
      </c>
      <c r="I9" s="20">
        <v>1</v>
      </c>
      <c r="J9" s="20">
        <v>1</v>
      </c>
      <c r="K9" s="20">
        <v>0</v>
      </c>
      <c r="L9" s="20">
        <v>0</v>
      </c>
      <c r="M9" s="20">
        <v>0</v>
      </c>
      <c r="N9" s="20">
        <v>0</v>
      </c>
      <c r="O9" s="20">
        <v>0</v>
      </c>
      <c r="P9">
        <f t="shared" si="0"/>
        <v>10</v>
      </c>
      <c r="Q9">
        <f t="shared" si="1"/>
        <v>2</v>
      </c>
      <c r="T9" s="7" t="s">
        <v>25</v>
      </c>
      <c r="U9" s="7" t="s">
        <v>38</v>
      </c>
    </row>
    <row r="10" spans="1:25" x14ac:dyDescent="0.25">
      <c r="A10">
        <v>1906</v>
      </c>
      <c r="B10">
        <v>265</v>
      </c>
      <c r="C10">
        <v>25</v>
      </c>
      <c r="D10">
        <v>20</v>
      </c>
      <c r="E10">
        <v>22</v>
      </c>
      <c r="F10">
        <v>24</v>
      </c>
      <c r="G10">
        <v>6</v>
      </c>
      <c r="H10">
        <v>3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f t="shared" si="0"/>
        <v>9</v>
      </c>
      <c r="Q10">
        <f t="shared" si="1"/>
        <v>0</v>
      </c>
      <c r="Y10">
        <f>COUNT(A2:A119)</f>
        <v>118</v>
      </c>
    </row>
    <row r="11" spans="1:25" x14ac:dyDescent="0.25">
      <c r="A11">
        <v>1907</v>
      </c>
      <c r="B11">
        <v>262</v>
      </c>
      <c r="C11">
        <v>33</v>
      </c>
      <c r="D11">
        <v>26</v>
      </c>
      <c r="E11">
        <v>15</v>
      </c>
      <c r="F11">
        <v>16</v>
      </c>
      <c r="G11">
        <v>8</v>
      </c>
      <c r="H11">
        <v>3</v>
      </c>
      <c r="I11">
        <v>2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f t="shared" si="0"/>
        <v>11</v>
      </c>
      <c r="Q11">
        <f t="shared" si="1"/>
        <v>2</v>
      </c>
    </row>
    <row r="12" spans="1:25" x14ac:dyDescent="0.25">
      <c r="A12">
        <v>1908</v>
      </c>
      <c r="B12">
        <v>288</v>
      </c>
      <c r="C12">
        <v>18</v>
      </c>
      <c r="D12">
        <v>20</v>
      </c>
      <c r="E12">
        <v>13</v>
      </c>
      <c r="F12">
        <v>18</v>
      </c>
      <c r="G12">
        <v>5</v>
      </c>
      <c r="H12">
        <v>4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f t="shared" si="0"/>
        <v>9</v>
      </c>
      <c r="Q12">
        <f t="shared" si="1"/>
        <v>0</v>
      </c>
    </row>
    <row r="13" spans="1:25" x14ac:dyDescent="0.25">
      <c r="A13">
        <v>1909</v>
      </c>
      <c r="B13">
        <v>267</v>
      </c>
      <c r="C13">
        <v>25</v>
      </c>
      <c r="D13">
        <v>25</v>
      </c>
      <c r="E13">
        <v>24</v>
      </c>
      <c r="F13">
        <v>12</v>
      </c>
      <c r="G13">
        <v>8</v>
      </c>
      <c r="H13">
        <v>4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f t="shared" si="0"/>
        <v>12</v>
      </c>
      <c r="Q13">
        <f t="shared" si="1"/>
        <v>0</v>
      </c>
    </row>
    <row r="14" spans="1:25" x14ac:dyDescent="0.25">
      <c r="A14">
        <v>1910</v>
      </c>
      <c r="B14">
        <v>280</v>
      </c>
      <c r="C14">
        <v>16</v>
      </c>
      <c r="D14">
        <v>25</v>
      </c>
      <c r="E14">
        <v>23</v>
      </c>
      <c r="F14">
        <v>17</v>
      </c>
      <c r="G14">
        <v>3</v>
      </c>
      <c r="H14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f t="shared" si="0"/>
        <v>4</v>
      </c>
      <c r="Q14">
        <f t="shared" si="1"/>
        <v>0</v>
      </c>
    </row>
    <row r="15" spans="1:25" x14ac:dyDescent="0.25">
      <c r="A15">
        <v>1911</v>
      </c>
      <c r="B15">
        <v>253</v>
      </c>
      <c r="C15">
        <v>27</v>
      </c>
      <c r="D15">
        <v>29</v>
      </c>
      <c r="E15">
        <v>27</v>
      </c>
      <c r="F15">
        <v>21</v>
      </c>
      <c r="G15">
        <v>5</v>
      </c>
      <c r="H15">
        <v>2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>
        <f t="shared" si="0"/>
        <v>7</v>
      </c>
      <c r="Q15">
        <f t="shared" si="1"/>
        <v>1</v>
      </c>
    </row>
    <row r="16" spans="1:25" x14ac:dyDescent="0.25">
      <c r="A16">
        <v>1912</v>
      </c>
      <c r="B16">
        <v>261</v>
      </c>
      <c r="C16">
        <v>31</v>
      </c>
      <c r="D16">
        <v>23</v>
      </c>
      <c r="E16">
        <v>19</v>
      </c>
      <c r="F16">
        <v>20</v>
      </c>
      <c r="G16">
        <v>8</v>
      </c>
      <c r="H16">
        <v>3</v>
      </c>
      <c r="I16">
        <v>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f t="shared" si="0"/>
        <v>11</v>
      </c>
      <c r="Q16">
        <f t="shared" si="1"/>
        <v>1</v>
      </c>
    </row>
    <row r="17" spans="1:21" x14ac:dyDescent="0.25">
      <c r="A17">
        <v>1913</v>
      </c>
      <c r="B17">
        <v>274</v>
      </c>
      <c r="C17">
        <v>20</v>
      </c>
      <c r="D17">
        <v>21</v>
      </c>
      <c r="E17">
        <v>21</v>
      </c>
      <c r="F17">
        <v>18</v>
      </c>
      <c r="G17">
        <v>8</v>
      </c>
      <c r="H17">
        <v>2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f t="shared" si="0"/>
        <v>10</v>
      </c>
      <c r="Q17">
        <f t="shared" si="1"/>
        <v>1</v>
      </c>
    </row>
    <row r="18" spans="1:21" x14ac:dyDescent="0.25">
      <c r="A18">
        <v>1914</v>
      </c>
      <c r="B18">
        <v>273</v>
      </c>
      <c r="C18">
        <v>17</v>
      </c>
      <c r="D18">
        <v>28</v>
      </c>
      <c r="E18">
        <v>24</v>
      </c>
      <c r="F18">
        <v>15</v>
      </c>
      <c r="G18">
        <v>5</v>
      </c>
      <c r="H18">
        <v>3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f t="shared" si="0"/>
        <v>8</v>
      </c>
      <c r="Q18">
        <f t="shared" si="1"/>
        <v>0</v>
      </c>
    </row>
    <row r="19" spans="1:21" x14ac:dyDescent="0.25">
      <c r="A19">
        <v>1915</v>
      </c>
      <c r="B19">
        <v>277</v>
      </c>
      <c r="C19">
        <v>13</v>
      </c>
      <c r="D19">
        <v>26</v>
      </c>
      <c r="E19">
        <v>19</v>
      </c>
      <c r="F19">
        <v>20</v>
      </c>
      <c r="G19">
        <v>6</v>
      </c>
      <c r="H19">
        <v>3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f t="shared" si="0"/>
        <v>9</v>
      </c>
      <c r="Q19">
        <f t="shared" si="1"/>
        <v>1</v>
      </c>
    </row>
    <row r="20" spans="1:21" x14ac:dyDescent="0.25">
      <c r="A20">
        <v>1916</v>
      </c>
      <c r="B20">
        <v>302</v>
      </c>
      <c r="C20">
        <v>15</v>
      </c>
      <c r="D20">
        <v>15</v>
      </c>
      <c r="E20">
        <v>14</v>
      </c>
      <c r="F20">
        <v>16</v>
      </c>
      <c r="G20">
        <v>2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f t="shared" si="0"/>
        <v>3</v>
      </c>
      <c r="Q20">
        <f t="shared" si="1"/>
        <v>1</v>
      </c>
    </row>
    <row r="21" spans="1:21" x14ac:dyDescent="0.25">
      <c r="A21">
        <v>1919</v>
      </c>
      <c r="B21">
        <v>324</v>
      </c>
      <c r="C21">
        <v>9</v>
      </c>
      <c r="D21">
        <v>9</v>
      </c>
      <c r="E21">
        <v>9</v>
      </c>
      <c r="F21">
        <v>13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f t="shared" si="0"/>
        <v>1</v>
      </c>
      <c r="Q21">
        <f t="shared" si="1"/>
        <v>0</v>
      </c>
    </row>
    <row r="22" spans="1:21" x14ac:dyDescent="0.25">
      <c r="A22">
        <v>1920</v>
      </c>
      <c r="B22">
        <v>282</v>
      </c>
      <c r="C22">
        <v>12</v>
      </c>
      <c r="D22">
        <v>24</v>
      </c>
      <c r="E22">
        <v>13</v>
      </c>
      <c r="F22">
        <v>20</v>
      </c>
      <c r="G22">
        <v>10</v>
      </c>
      <c r="H22">
        <v>3</v>
      </c>
      <c r="I22">
        <v>2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f t="shared" si="0"/>
        <v>13</v>
      </c>
      <c r="Q22">
        <f t="shared" si="1"/>
        <v>2</v>
      </c>
    </row>
    <row r="23" spans="1:21" x14ac:dyDescent="0.25">
      <c r="A23">
        <v>1921</v>
      </c>
      <c r="B23">
        <v>272</v>
      </c>
      <c r="C23">
        <v>23</v>
      </c>
      <c r="D23">
        <v>24</v>
      </c>
      <c r="E23">
        <v>22</v>
      </c>
      <c r="F23">
        <v>17</v>
      </c>
      <c r="G23">
        <v>6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f t="shared" si="0"/>
        <v>7</v>
      </c>
      <c r="Q23">
        <f t="shared" si="1"/>
        <v>0</v>
      </c>
    </row>
    <row r="24" spans="1:21" x14ac:dyDescent="0.25">
      <c r="A24">
        <v>1922</v>
      </c>
      <c r="B24">
        <v>281</v>
      </c>
      <c r="C24">
        <v>23</v>
      </c>
      <c r="D24">
        <v>18</v>
      </c>
      <c r="E24">
        <v>20</v>
      </c>
      <c r="F24">
        <v>15</v>
      </c>
      <c r="G24">
        <v>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f t="shared" si="0"/>
        <v>8</v>
      </c>
      <c r="Q24">
        <f t="shared" si="1"/>
        <v>0</v>
      </c>
    </row>
    <row r="25" spans="1:21" x14ac:dyDescent="0.25">
      <c r="A25">
        <v>1923</v>
      </c>
      <c r="B25">
        <v>325</v>
      </c>
      <c r="C25">
        <v>8</v>
      </c>
      <c r="D25">
        <v>12</v>
      </c>
      <c r="E25">
        <v>12</v>
      </c>
      <c r="F25">
        <v>5</v>
      </c>
      <c r="G25">
        <v>3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f t="shared" si="0"/>
        <v>3</v>
      </c>
      <c r="Q25">
        <f t="shared" si="1"/>
        <v>0</v>
      </c>
    </row>
    <row r="26" spans="1:21" x14ac:dyDescent="0.25">
      <c r="A26">
        <v>1924</v>
      </c>
      <c r="B26">
        <v>273</v>
      </c>
      <c r="C26">
        <v>28</v>
      </c>
      <c r="D26">
        <v>25</v>
      </c>
      <c r="E26">
        <v>21</v>
      </c>
      <c r="F26">
        <v>11</v>
      </c>
      <c r="G26">
        <v>4</v>
      </c>
      <c r="H26">
        <v>2</v>
      </c>
      <c r="I26">
        <v>0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f t="shared" si="0"/>
        <v>6</v>
      </c>
      <c r="Q26">
        <f t="shared" si="1"/>
        <v>2</v>
      </c>
    </row>
    <row r="27" spans="1:21" x14ac:dyDescent="0.25">
      <c r="A27">
        <v>1925</v>
      </c>
      <c r="B27">
        <v>261</v>
      </c>
      <c r="C27">
        <v>30</v>
      </c>
      <c r="D27">
        <v>21</v>
      </c>
      <c r="E27">
        <v>20</v>
      </c>
      <c r="F27">
        <v>25</v>
      </c>
      <c r="G27">
        <v>5</v>
      </c>
      <c r="H27">
        <v>3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f t="shared" si="0"/>
        <v>8</v>
      </c>
      <c r="Q27">
        <f t="shared" si="1"/>
        <v>0</v>
      </c>
    </row>
    <row r="28" spans="1:21" x14ac:dyDescent="0.25">
      <c r="A28">
        <v>1926</v>
      </c>
      <c r="B28">
        <v>271</v>
      </c>
      <c r="C28">
        <v>22</v>
      </c>
      <c r="D28">
        <v>27</v>
      </c>
      <c r="E28">
        <v>31</v>
      </c>
      <c r="F28">
        <v>10</v>
      </c>
      <c r="G28">
        <v>3</v>
      </c>
      <c r="H28">
        <v>1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f t="shared" si="0"/>
        <v>4</v>
      </c>
      <c r="Q28">
        <f t="shared" si="1"/>
        <v>0</v>
      </c>
    </row>
    <row r="29" spans="1:21" x14ac:dyDescent="0.25">
      <c r="A29">
        <v>1927</v>
      </c>
      <c r="B29">
        <v>247</v>
      </c>
      <c r="C29">
        <v>34</v>
      </c>
      <c r="D29">
        <v>28</v>
      </c>
      <c r="E29">
        <v>22</v>
      </c>
      <c r="F29">
        <v>23</v>
      </c>
      <c r="G29">
        <v>6</v>
      </c>
      <c r="H29">
        <v>2</v>
      </c>
      <c r="I29">
        <v>1</v>
      </c>
      <c r="J29">
        <v>1</v>
      </c>
      <c r="K29">
        <v>1</v>
      </c>
      <c r="L29">
        <v>0</v>
      </c>
      <c r="M29">
        <v>0</v>
      </c>
      <c r="N29">
        <v>0</v>
      </c>
      <c r="O29">
        <v>0</v>
      </c>
      <c r="P29">
        <f t="shared" si="0"/>
        <v>8</v>
      </c>
      <c r="Q29">
        <f t="shared" si="1"/>
        <v>3</v>
      </c>
    </row>
    <row r="30" spans="1:21" x14ac:dyDescent="0.25">
      <c r="A30">
        <v>1928</v>
      </c>
      <c r="B30">
        <v>261</v>
      </c>
      <c r="C30">
        <v>24</v>
      </c>
      <c r="D30">
        <v>30</v>
      </c>
      <c r="E30">
        <v>18</v>
      </c>
      <c r="F30">
        <v>21</v>
      </c>
      <c r="G30">
        <v>8</v>
      </c>
      <c r="H30">
        <v>2</v>
      </c>
      <c r="I30">
        <v>1</v>
      </c>
      <c r="J30">
        <v>0</v>
      </c>
      <c r="K30">
        <v>1</v>
      </c>
      <c r="L30">
        <v>0</v>
      </c>
      <c r="M30">
        <v>0</v>
      </c>
      <c r="N30">
        <v>0</v>
      </c>
      <c r="O30">
        <v>0</v>
      </c>
      <c r="P30">
        <f t="shared" si="0"/>
        <v>10</v>
      </c>
      <c r="Q30">
        <f t="shared" si="1"/>
        <v>2</v>
      </c>
    </row>
    <row r="31" spans="1:21" x14ac:dyDescent="0.25">
      <c r="A31">
        <v>1929</v>
      </c>
      <c r="B31">
        <v>246</v>
      </c>
      <c r="C31">
        <v>36</v>
      </c>
      <c r="D31">
        <v>24</v>
      </c>
      <c r="E31">
        <v>31</v>
      </c>
      <c r="F31">
        <v>20</v>
      </c>
      <c r="G31">
        <v>3</v>
      </c>
      <c r="H31">
        <v>4</v>
      </c>
      <c r="I31">
        <v>1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f t="shared" si="0"/>
        <v>7</v>
      </c>
      <c r="Q31">
        <f t="shared" si="1"/>
        <v>1</v>
      </c>
    </row>
    <row r="32" spans="1:21" ht="18.75" x14ac:dyDescent="0.3">
      <c r="A32">
        <v>1930</v>
      </c>
      <c r="B32">
        <v>275</v>
      </c>
      <c r="C32">
        <v>17</v>
      </c>
      <c r="D32">
        <v>27</v>
      </c>
      <c r="E32">
        <v>28</v>
      </c>
      <c r="F32">
        <v>12</v>
      </c>
      <c r="G32">
        <v>3</v>
      </c>
      <c r="H32">
        <v>0</v>
      </c>
      <c r="I32">
        <v>1</v>
      </c>
      <c r="J32">
        <v>2</v>
      </c>
      <c r="K32">
        <v>0</v>
      </c>
      <c r="L32">
        <v>0</v>
      </c>
      <c r="M32">
        <v>0</v>
      </c>
      <c r="N32">
        <v>0</v>
      </c>
      <c r="O32">
        <v>0</v>
      </c>
      <c r="P32">
        <f t="shared" si="0"/>
        <v>3</v>
      </c>
      <c r="Q32">
        <f t="shared" si="1"/>
        <v>3</v>
      </c>
      <c r="T32" s="7" t="s">
        <v>15</v>
      </c>
      <c r="U32" s="7"/>
    </row>
    <row r="33" spans="1:21" ht="18.75" x14ac:dyDescent="0.3">
      <c r="A33">
        <v>1931</v>
      </c>
      <c r="B33">
        <v>261</v>
      </c>
      <c r="C33">
        <v>33</v>
      </c>
      <c r="D33">
        <v>17</v>
      </c>
      <c r="E33">
        <v>31</v>
      </c>
      <c r="F33">
        <v>15</v>
      </c>
      <c r="G33">
        <v>5</v>
      </c>
      <c r="H33">
        <v>2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f t="shared" si="0"/>
        <v>7</v>
      </c>
      <c r="Q33">
        <f t="shared" si="1"/>
        <v>1</v>
      </c>
      <c r="T33" s="7" t="s">
        <v>16</v>
      </c>
      <c r="U33" s="7" t="s">
        <v>17</v>
      </c>
    </row>
    <row r="34" spans="1:21" ht="18.75" x14ac:dyDescent="0.3">
      <c r="A34">
        <v>1932</v>
      </c>
      <c r="B34">
        <v>272</v>
      </c>
      <c r="C34">
        <v>27</v>
      </c>
      <c r="D34">
        <v>17</v>
      </c>
      <c r="E34">
        <v>18</v>
      </c>
      <c r="F34">
        <v>16</v>
      </c>
      <c r="G34">
        <v>7</v>
      </c>
      <c r="H34">
        <v>4</v>
      </c>
      <c r="I34">
        <v>4</v>
      </c>
      <c r="J34">
        <v>0</v>
      </c>
      <c r="K34">
        <v>1</v>
      </c>
      <c r="L34">
        <v>0</v>
      </c>
      <c r="M34">
        <v>0</v>
      </c>
      <c r="N34">
        <v>0</v>
      </c>
      <c r="O34">
        <v>0</v>
      </c>
      <c r="P34">
        <f t="shared" si="0"/>
        <v>11</v>
      </c>
      <c r="Q34">
        <f t="shared" si="1"/>
        <v>5</v>
      </c>
      <c r="T34" s="7" t="s">
        <v>0</v>
      </c>
      <c r="U34" s="7" t="s">
        <v>18</v>
      </c>
    </row>
    <row r="35" spans="1:21" ht="18.75" x14ac:dyDescent="0.3">
      <c r="A35">
        <v>1933</v>
      </c>
      <c r="B35">
        <v>261</v>
      </c>
      <c r="C35">
        <v>38</v>
      </c>
      <c r="D35">
        <v>15</v>
      </c>
      <c r="E35">
        <v>18</v>
      </c>
      <c r="F35">
        <v>18</v>
      </c>
      <c r="G35">
        <v>12</v>
      </c>
      <c r="H35">
        <v>1</v>
      </c>
      <c r="I35">
        <v>1</v>
      </c>
      <c r="J35">
        <v>0</v>
      </c>
      <c r="K35">
        <v>1</v>
      </c>
      <c r="L35">
        <v>0</v>
      </c>
      <c r="M35">
        <v>0</v>
      </c>
      <c r="N35">
        <v>0</v>
      </c>
      <c r="O35">
        <v>0</v>
      </c>
      <c r="P35">
        <f t="shared" si="0"/>
        <v>13</v>
      </c>
      <c r="Q35">
        <f t="shared" si="1"/>
        <v>2</v>
      </c>
      <c r="T35" s="7" t="s">
        <v>1</v>
      </c>
      <c r="U35" s="7" t="s">
        <v>19</v>
      </c>
    </row>
    <row r="36" spans="1:21" ht="18.75" x14ac:dyDescent="0.3">
      <c r="A36">
        <v>1934</v>
      </c>
      <c r="B36">
        <v>278</v>
      </c>
      <c r="C36">
        <v>18</v>
      </c>
      <c r="D36">
        <v>22</v>
      </c>
      <c r="E36">
        <v>14</v>
      </c>
      <c r="F36">
        <v>17</v>
      </c>
      <c r="G36">
        <v>6</v>
      </c>
      <c r="H36">
        <v>6</v>
      </c>
      <c r="I36">
        <v>3</v>
      </c>
      <c r="J36">
        <v>1</v>
      </c>
      <c r="K36">
        <v>0</v>
      </c>
      <c r="L36">
        <v>0</v>
      </c>
      <c r="M36">
        <v>0</v>
      </c>
      <c r="N36">
        <v>0</v>
      </c>
      <c r="O36">
        <v>0</v>
      </c>
      <c r="P36">
        <f t="shared" si="0"/>
        <v>12</v>
      </c>
      <c r="Q36">
        <f t="shared" si="1"/>
        <v>4</v>
      </c>
      <c r="T36" s="7" t="s">
        <v>2</v>
      </c>
      <c r="U36" s="7" t="s">
        <v>20</v>
      </c>
    </row>
    <row r="37" spans="1:21" ht="18.75" x14ac:dyDescent="0.3">
      <c r="A37">
        <v>1935</v>
      </c>
      <c r="B37">
        <v>270</v>
      </c>
      <c r="C37">
        <v>23</v>
      </c>
      <c r="D37">
        <v>25</v>
      </c>
      <c r="E37">
        <v>22</v>
      </c>
      <c r="F37">
        <v>16</v>
      </c>
      <c r="G37">
        <v>1</v>
      </c>
      <c r="H37">
        <v>5</v>
      </c>
      <c r="I37">
        <v>3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f t="shared" si="0"/>
        <v>6</v>
      </c>
      <c r="Q37">
        <f t="shared" si="1"/>
        <v>3</v>
      </c>
      <c r="T37" s="7" t="s">
        <v>3</v>
      </c>
      <c r="U37" s="7" t="s">
        <v>21</v>
      </c>
    </row>
    <row r="38" spans="1:21" ht="18.75" x14ac:dyDescent="0.3">
      <c r="A38">
        <v>1936</v>
      </c>
      <c r="B38">
        <v>255</v>
      </c>
      <c r="C38">
        <v>30</v>
      </c>
      <c r="D38">
        <v>29</v>
      </c>
      <c r="E38">
        <v>22</v>
      </c>
      <c r="F38">
        <v>20</v>
      </c>
      <c r="G38">
        <v>6</v>
      </c>
      <c r="H38">
        <v>4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f t="shared" si="0"/>
        <v>10</v>
      </c>
      <c r="Q38">
        <f t="shared" si="1"/>
        <v>0</v>
      </c>
      <c r="T38" s="7" t="s">
        <v>4</v>
      </c>
      <c r="U38" s="7" t="s">
        <v>22</v>
      </c>
    </row>
    <row r="39" spans="1:21" ht="18.75" x14ac:dyDescent="0.3">
      <c r="A39">
        <v>1937</v>
      </c>
      <c r="B39">
        <v>265</v>
      </c>
      <c r="C39">
        <v>23</v>
      </c>
      <c r="D39">
        <v>26</v>
      </c>
      <c r="E39">
        <v>17</v>
      </c>
      <c r="F39">
        <v>17</v>
      </c>
      <c r="G39">
        <v>10</v>
      </c>
      <c r="H39">
        <v>5</v>
      </c>
      <c r="I39">
        <v>1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f t="shared" si="0"/>
        <v>15</v>
      </c>
      <c r="Q39">
        <f t="shared" si="1"/>
        <v>2</v>
      </c>
      <c r="T39" s="7" t="s">
        <v>23</v>
      </c>
      <c r="U39" s="7" t="s">
        <v>37</v>
      </c>
    </row>
    <row r="40" spans="1:21" ht="18.75" x14ac:dyDescent="0.3">
      <c r="A40">
        <v>1938</v>
      </c>
      <c r="B40">
        <v>257</v>
      </c>
      <c r="C40">
        <v>27</v>
      </c>
      <c r="D40">
        <v>23</v>
      </c>
      <c r="E40">
        <v>25</v>
      </c>
      <c r="F40">
        <v>18</v>
      </c>
      <c r="G40">
        <v>9</v>
      </c>
      <c r="H40">
        <v>3</v>
      </c>
      <c r="I40">
        <v>2</v>
      </c>
      <c r="J40">
        <v>0</v>
      </c>
      <c r="K40">
        <v>1</v>
      </c>
      <c r="L40">
        <v>0</v>
      </c>
      <c r="M40">
        <v>0</v>
      </c>
      <c r="N40">
        <v>0</v>
      </c>
      <c r="O40">
        <v>0</v>
      </c>
      <c r="P40">
        <f t="shared" si="0"/>
        <v>12</v>
      </c>
      <c r="Q40">
        <f t="shared" si="1"/>
        <v>3</v>
      </c>
      <c r="T40" s="7" t="s">
        <v>25</v>
      </c>
      <c r="U40" s="7" t="s">
        <v>38</v>
      </c>
    </row>
    <row r="41" spans="1:21" x14ac:dyDescent="0.25">
      <c r="A41">
        <v>1939</v>
      </c>
      <c r="B41">
        <v>316</v>
      </c>
      <c r="C41">
        <v>16</v>
      </c>
      <c r="D41">
        <v>7</v>
      </c>
      <c r="E41">
        <v>9</v>
      </c>
      <c r="F41">
        <v>10</v>
      </c>
      <c r="G41">
        <v>6</v>
      </c>
      <c r="H41">
        <v>0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f t="shared" si="0"/>
        <v>6</v>
      </c>
      <c r="Q41">
        <f t="shared" si="1"/>
        <v>1</v>
      </c>
    </row>
    <row r="42" spans="1:21" x14ac:dyDescent="0.25">
      <c r="A42">
        <v>1940</v>
      </c>
      <c r="B42">
        <v>255</v>
      </c>
      <c r="C42">
        <v>27</v>
      </c>
      <c r="D42">
        <v>28</v>
      </c>
      <c r="E42">
        <v>19</v>
      </c>
      <c r="F42">
        <v>26</v>
      </c>
      <c r="G42">
        <v>8</v>
      </c>
      <c r="H42">
        <v>2</v>
      </c>
      <c r="I42">
        <v>1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f t="shared" si="0"/>
        <v>10</v>
      </c>
      <c r="Q42">
        <f t="shared" si="1"/>
        <v>1</v>
      </c>
    </row>
    <row r="43" spans="1:21" x14ac:dyDescent="0.25">
      <c r="A43">
        <v>1941</v>
      </c>
      <c r="B43">
        <v>276</v>
      </c>
      <c r="C43">
        <v>15</v>
      </c>
      <c r="D43">
        <v>29</v>
      </c>
      <c r="E43">
        <v>24</v>
      </c>
      <c r="F43">
        <v>14</v>
      </c>
      <c r="G43">
        <v>4</v>
      </c>
      <c r="H43">
        <v>3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f t="shared" si="0"/>
        <v>7</v>
      </c>
      <c r="Q43">
        <f t="shared" si="1"/>
        <v>0</v>
      </c>
    </row>
    <row r="44" spans="1:21" x14ac:dyDescent="0.25">
      <c r="A44">
        <v>1942</v>
      </c>
      <c r="B44">
        <v>241</v>
      </c>
      <c r="C44">
        <v>36</v>
      </c>
      <c r="D44">
        <v>22</v>
      </c>
      <c r="E44">
        <v>23</v>
      </c>
      <c r="F44">
        <v>29</v>
      </c>
      <c r="G44">
        <v>7</v>
      </c>
      <c r="H44">
        <v>4</v>
      </c>
      <c r="I44">
        <v>1</v>
      </c>
      <c r="J44">
        <v>0</v>
      </c>
      <c r="K44">
        <v>2</v>
      </c>
      <c r="L44">
        <v>0</v>
      </c>
      <c r="M44">
        <v>0</v>
      </c>
      <c r="N44">
        <v>0</v>
      </c>
      <c r="O44">
        <v>0</v>
      </c>
      <c r="P44">
        <f t="shared" si="0"/>
        <v>11</v>
      </c>
      <c r="Q44">
        <f t="shared" si="1"/>
        <v>3</v>
      </c>
    </row>
    <row r="45" spans="1:21" x14ac:dyDescent="0.25">
      <c r="A45">
        <v>1943</v>
      </c>
      <c r="B45">
        <v>261</v>
      </c>
      <c r="C45">
        <v>32</v>
      </c>
      <c r="D45">
        <v>30</v>
      </c>
      <c r="E45">
        <v>20</v>
      </c>
      <c r="F45">
        <v>16</v>
      </c>
      <c r="G45">
        <v>4</v>
      </c>
      <c r="H45">
        <v>2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f t="shared" si="0"/>
        <v>6</v>
      </c>
      <c r="Q45">
        <f t="shared" si="1"/>
        <v>0</v>
      </c>
    </row>
    <row r="46" spans="1:21" x14ac:dyDescent="0.25">
      <c r="A46">
        <v>1944</v>
      </c>
      <c r="B46">
        <v>263</v>
      </c>
      <c r="C46">
        <v>35</v>
      </c>
      <c r="D46">
        <v>22</v>
      </c>
      <c r="E46">
        <v>14</v>
      </c>
      <c r="F46">
        <v>23</v>
      </c>
      <c r="G46">
        <v>6</v>
      </c>
      <c r="H46">
        <v>2</v>
      </c>
      <c r="I46">
        <v>1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f t="shared" si="0"/>
        <v>8</v>
      </c>
      <c r="Q46">
        <f t="shared" si="1"/>
        <v>1</v>
      </c>
    </row>
    <row r="47" spans="1:21" x14ac:dyDescent="0.25">
      <c r="A47">
        <v>1945</v>
      </c>
      <c r="B47">
        <v>230</v>
      </c>
      <c r="C47">
        <v>39</v>
      </c>
      <c r="D47">
        <v>29</v>
      </c>
      <c r="E47">
        <v>32</v>
      </c>
      <c r="F47">
        <v>19</v>
      </c>
      <c r="G47">
        <v>9</v>
      </c>
      <c r="H47">
        <v>3</v>
      </c>
      <c r="I47">
        <v>4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f t="shared" si="0"/>
        <v>12</v>
      </c>
      <c r="Q47">
        <f t="shared" si="1"/>
        <v>4</v>
      </c>
    </row>
    <row r="48" spans="1:21" x14ac:dyDescent="0.25">
      <c r="A48">
        <v>1946</v>
      </c>
      <c r="B48">
        <v>265</v>
      </c>
      <c r="C48">
        <v>32</v>
      </c>
      <c r="D48">
        <v>29</v>
      </c>
      <c r="E48">
        <v>19</v>
      </c>
      <c r="F48">
        <v>15</v>
      </c>
      <c r="G48">
        <v>2</v>
      </c>
      <c r="H48">
        <v>2</v>
      </c>
      <c r="I48">
        <v>0</v>
      </c>
      <c r="J48">
        <v>1</v>
      </c>
      <c r="K48">
        <v>0</v>
      </c>
      <c r="L48">
        <v>0</v>
      </c>
      <c r="M48">
        <v>0</v>
      </c>
      <c r="N48">
        <v>0</v>
      </c>
      <c r="O48">
        <v>0</v>
      </c>
      <c r="P48">
        <f t="shared" si="0"/>
        <v>4</v>
      </c>
      <c r="Q48">
        <f t="shared" si="1"/>
        <v>1</v>
      </c>
    </row>
    <row r="49" spans="1:21" x14ac:dyDescent="0.25">
      <c r="A49">
        <v>1947</v>
      </c>
      <c r="B49">
        <v>259</v>
      </c>
      <c r="C49">
        <v>20</v>
      </c>
      <c r="D49">
        <v>24</v>
      </c>
      <c r="E49">
        <v>28</v>
      </c>
      <c r="F49">
        <v>17</v>
      </c>
      <c r="G49">
        <v>12</v>
      </c>
      <c r="H49">
        <v>3</v>
      </c>
      <c r="I49">
        <v>0</v>
      </c>
      <c r="J49">
        <v>2</v>
      </c>
      <c r="K49">
        <v>0</v>
      </c>
      <c r="L49">
        <v>0</v>
      </c>
      <c r="M49">
        <v>0</v>
      </c>
      <c r="N49">
        <v>0</v>
      </c>
      <c r="O49">
        <v>0</v>
      </c>
      <c r="P49">
        <f t="shared" si="0"/>
        <v>15</v>
      </c>
      <c r="Q49">
        <f t="shared" si="1"/>
        <v>2</v>
      </c>
    </row>
    <row r="50" spans="1:21" x14ac:dyDescent="0.25">
      <c r="A50">
        <v>1948</v>
      </c>
      <c r="B50">
        <v>238</v>
      </c>
      <c r="C50">
        <v>37</v>
      </c>
      <c r="D50">
        <v>33</v>
      </c>
      <c r="E50">
        <v>26</v>
      </c>
      <c r="F50">
        <v>25</v>
      </c>
      <c r="G50">
        <v>6</v>
      </c>
      <c r="H50">
        <v>0</v>
      </c>
      <c r="I50">
        <v>0</v>
      </c>
      <c r="J50">
        <v>1</v>
      </c>
      <c r="K50">
        <v>0</v>
      </c>
      <c r="L50">
        <v>0</v>
      </c>
      <c r="M50">
        <v>0</v>
      </c>
      <c r="N50">
        <v>0</v>
      </c>
      <c r="O50">
        <v>0</v>
      </c>
      <c r="P50">
        <f t="shared" si="0"/>
        <v>6</v>
      </c>
      <c r="Q50">
        <f t="shared" si="1"/>
        <v>1</v>
      </c>
    </row>
    <row r="51" spans="1:21" x14ac:dyDescent="0.25">
      <c r="A51">
        <v>1949</v>
      </c>
      <c r="B51">
        <v>248</v>
      </c>
      <c r="C51">
        <v>25</v>
      </c>
      <c r="D51">
        <v>37</v>
      </c>
      <c r="E51">
        <v>30</v>
      </c>
      <c r="F51">
        <v>21</v>
      </c>
      <c r="G51">
        <v>4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f t="shared" si="0"/>
        <v>4</v>
      </c>
      <c r="Q51">
        <f t="shared" si="1"/>
        <v>0</v>
      </c>
    </row>
    <row r="52" spans="1:21" x14ac:dyDescent="0.25">
      <c r="A52">
        <v>1950</v>
      </c>
      <c r="B52">
        <v>235</v>
      </c>
      <c r="C52">
        <v>33</v>
      </c>
      <c r="D52">
        <v>35</v>
      </c>
      <c r="E52">
        <v>33</v>
      </c>
      <c r="F52">
        <v>23</v>
      </c>
      <c r="G52">
        <v>4</v>
      </c>
      <c r="H52">
        <v>0</v>
      </c>
      <c r="I52">
        <v>1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f t="shared" si="0"/>
        <v>4</v>
      </c>
      <c r="Q52">
        <f t="shared" si="1"/>
        <v>2</v>
      </c>
    </row>
    <row r="53" spans="1:21" x14ac:dyDescent="0.25">
      <c r="A53">
        <v>1951</v>
      </c>
      <c r="B53">
        <v>259</v>
      </c>
      <c r="C53">
        <v>25</v>
      </c>
      <c r="D53">
        <v>20</v>
      </c>
      <c r="E53">
        <v>31</v>
      </c>
      <c r="F53">
        <v>18</v>
      </c>
      <c r="G53">
        <v>10</v>
      </c>
      <c r="H53">
        <v>1</v>
      </c>
      <c r="I53">
        <v>0</v>
      </c>
      <c r="J53">
        <v>0</v>
      </c>
      <c r="K53">
        <v>1</v>
      </c>
      <c r="L53">
        <v>0</v>
      </c>
      <c r="M53">
        <v>0</v>
      </c>
      <c r="N53">
        <v>0</v>
      </c>
      <c r="O53">
        <v>0</v>
      </c>
      <c r="P53">
        <f t="shared" si="0"/>
        <v>11</v>
      </c>
      <c r="Q53">
        <f t="shared" si="1"/>
        <v>1</v>
      </c>
    </row>
    <row r="54" spans="1:21" x14ac:dyDescent="0.25">
      <c r="A54">
        <v>1952</v>
      </c>
      <c r="B54">
        <v>257</v>
      </c>
      <c r="C54">
        <v>30</v>
      </c>
      <c r="D54">
        <v>27</v>
      </c>
      <c r="E54">
        <v>18</v>
      </c>
      <c r="F54">
        <v>17</v>
      </c>
      <c r="G54">
        <v>9</v>
      </c>
      <c r="H54">
        <v>4</v>
      </c>
      <c r="I54">
        <v>1</v>
      </c>
      <c r="J54">
        <v>1</v>
      </c>
      <c r="K54">
        <v>2</v>
      </c>
      <c r="L54">
        <v>0</v>
      </c>
      <c r="M54">
        <v>0</v>
      </c>
      <c r="N54">
        <v>0</v>
      </c>
      <c r="O54">
        <v>0</v>
      </c>
      <c r="P54">
        <f t="shared" si="0"/>
        <v>13</v>
      </c>
      <c r="Q54">
        <f t="shared" si="1"/>
        <v>4</v>
      </c>
    </row>
    <row r="55" spans="1:21" x14ac:dyDescent="0.25">
      <c r="A55">
        <v>1953</v>
      </c>
      <c r="B55">
        <v>281</v>
      </c>
      <c r="C55">
        <v>25</v>
      </c>
      <c r="D55">
        <v>12</v>
      </c>
      <c r="E55">
        <v>25</v>
      </c>
      <c r="F55">
        <v>14</v>
      </c>
      <c r="G55">
        <v>4</v>
      </c>
      <c r="H55">
        <v>2</v>
      </c>
      <c r="I55">
        <v>1</v>
      </c>
      <c r="J55">
        <v>0</v>
      </c>
      <c r="K55">
        <v>1</v>
      </c>
      <c r="L55">
        <v>0</v>
      </c>
      <c r="M55">
        <v>0</v>
      </c>
      <c r="N55">
        <v>0</v>
      </c>
      <c r="O55">
        <v>0</v>
      </c>
      <c r="P55">
        <f t="shared" si="0"/>
        <v>6</v>
      </c>
      <c r="Q55">
        <f t="shared" si="1"/>
        <v>2</v>
      </c>
    </row>
    <row r="56" spans="1:21" x14ac:dyDescent="0.25">
      <c r="A56">
        <v>1954</v>
      </c>
      <c r="B56">
        <v>315</v>
      </c>
      <c r="C56">
        <v>14</v>
      </c>
      <c r="D56">
        <v>14</v>
      </c>
      <c r="E56">
        <v>7</v>
      </c>
      <c r="F56">
        <v>11</v>
      </c>
      <c r="G56">
        <v>2</v>
      </c>
      <c r="H56">
        <v>0</v>
      </c>
      <c r="I56">
        <v>1</v>
      </c>
      <c r="J56">
        <v>1</v>
      </c>
      <c r="K56">
        <v>0</v>
      </c>
      <c r="L56">
        <v>0</v>
      </c>
      <c r="M56">
        <v>0</v>
      </c>
      <c r="N56">
        <v>0</v>
      </c>
      <c r="O56">
        <v>0</v>
      </c>
      <c r="P56">
        <f t="shared" si="0"/>
        <v>2</v>
      </c>
      <c r="Q56">
        <f t="shared" si="1"/>
        <v>2</v>
      </c>
    </row>
    <row r="57" spans="1:21" x14ac:dyDescent="0.25">
      <c r="A57">
        <v>1955</v>
      </c>
      <c r="B57">
        <v>262</v>
      </c>
      <c r="C57">
        <v>32</v>
      </c>
      <c r="D57">
        <v>24</v>
      </c>
      <c r="E57">
        <v>23</v>
      </c>
      <c r="F57">
        <v>10</v>
      </c>
      <c r="G57">
        <v>7</v>
      </c>
      <c r="H57">
        <v>2</v>
      </c>
      <c r="I57">
        <v>2</v>
      </c>
      <c r="J57">
        <v>0</v>
      </c>
      <c r="K57">
        <v>1</v>
      </c>
      <c r="L57">
        <v>2</v>
      </c>
      <c r="M57">
        <v>0</v>
      </c>
      <c r="N57">
        <v>0</v>
      </c>
      <c r="O57">
        <v>0</v>
      </c>
      <c r="P57">
        <f t="shared" si="0"/>
        <v>9</v>
      </c>
      <c r="Q57">
        <f t="shared" si="1"/>
        <v>5</v>
      </c>
    </row>
    <row r="58" spans="1:21" x14ac:dyDescent="0.25">
      <c r="A58">
        <v>1956</v>
      </c>
      <c r="B58">
        <v>245</v>
      </c>
      <c r="C58">
        <v>31</v>
      </c>
      <c r="D58">
        <v>36</v>
      </c>
      <c r="E58">
        <v>26</v>
      </c>
      <c r="F58">
        <v>22</v>
      </c>
      <c r="G58">
        <v>5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f t="shared" si="0"/>
        <v>6</v>
      </c>
      <c r="Q58">
        <f t="shared" si="1"/>
        <v>0</v>
      </c>
    </row>
    <row r="59" spans="1:21" ht="18.75" x14ac:dyDescent="0.3">
      <c r="A59">
        <v>1957</v>
      </c>
      <c r="B59">
        <v>250</v>
      </c>
      <c r="C59">
        <v>37</v>
      </c>
      <c r="D59">
        <v>34</v>
      </c>
      <c r="E59">
        <v>21</v>
      </c>
      <c r="F59">
        <v>16</v>
      </c>
      <c r="G59">
        <v>3</v>
      </c>
      <c r="H59">
        <v>3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f t="shared" si="0"/>
        <v>6</v>
      </c>
      <c r="Q59">
        <f t="shared" si="1"/>
        <v>1</v>
      </c>
      <c r="T59" s="7" t="s">
        <v>15</v>
      </c>
      <c r="U59" s="7"/>
    </row>
    <row r="60" spans="1:21" ht="18.75" x14ac:dyDescent="0.3">
      <c r="A60">
        <v>1958</v>
      </c>
      <c r="B60">
        <v>248</v>
      </c>
      <c r="C60">
        <v>37</v>
      </c>
      <c r="D60">
        <v>32</v>
      </c>
      <c r="E60">
        <v>20</v>
      </c>
      <c r="F60">
        <v>19</v>
      </c>
      <c r="G60">
        <v>7</v>
      </c>
      <c r="H60">
        <v>1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f t="shared" si="0"/>
        <v>8</v>
      </c>
      <c r="Q60">
        <f t="shared" si="1"/>
        <v>1</v>
      </c>
      <c r="T60" s="7" t="s">
        <v>16</v>
      </c>
      <c r="U60" s="7" t="s">
        <v>17</v>
      </c>
    </row>
    <row r="61" spans="1:21" ht="18.75" x14ac:dyDescent="0.3">
      <c r="A61">
        <v>1959</v>
      </c>
      <c r="B61">
        <v>239</v>
      </c>
      <c r="C61">
        <v>46</v>
      </c>
      <c r="D61">
        <v>24</v>
      </c>
      <c r="E61">
        <v>27</v>
      </c>
      <c r="F61">
        <v>20</v>
      </c>
      <c r="G61">
        <v>6</v>
      </c>
      <c r="H61">
        <v>2</v>
      </c>
      <c r="I61">
        <v>0</v>
      </c>
      <c r="J61">
        <v>1</v>
      </c>
      <c r="K61">
        <v>0</v>
      </c>
      <c r="L61">
        <v>0</v>
      </c>
      <c r="M61">
        <v>0</v>
      </c>
      <c r="N61">
        <v>0</v>
      </c>
      <c r="O61">
        <v>0</v>
      </c>
      <c r="P61">
        <f t="shared" si="0"/>
        <v>8</v>
      </c>
      <c r="Q61">
        <f t="shared" si="1"/>
        <v>1</v>
      </c>
      <c r="T61" s="7" t="s">
        <v>0</v>
      </c>
      <c r="U61" s="7" t="s">
        <v>18</v>
      </c>
    </row>
    <row r="62" spans="1:21" ht="18.75" x14ac:dyDescent="0.3">
      <c r="A62">
        <v>1960</v>
      </c>
      <c r="B62">
        <v>242</v>
      </c>
      <c r="C62">
        <v>36</v>
      </c>
      <c r="D62">
        <v>31</v>
      </c>
      <c r="E62">
        <v>29</v>
      </c>
      <c r="F62">
        <v>15</v>
      </c>
      <c r="G62">
        <v>6</v>
      </c>
      <c r="H62">
        <v>5</v>
      </c>
      <c r="I62">
        <v>0</v>
      </c>
      <c r="J62">
        <v>2</v>
      </c>
      <c r="K62">
        <v>0</v>
      </c>
      <c r="L62">
        <v>0</v>
      </c>
      <c r="M62">
        <v>0</v>
      </c>
      <c r="N62">
        <v>0</v>
      </c>
      <c r="O62">
        <v>0</v>
      </c>
      <c r="P62">
        <f t="shared" si="0"/>
        <v>11</v>
      </c>
      <c r="Q62">
        <f t="shared" si="1"/>
        <v>2</v>
      </c>
      <c r="T62" s="7" t="s">
        <v>1</v>
      </c>
      <c r="U62" s="7" t="s">
        <v>19</v>
      </c>
    </row>
    <row r="63" spans="1:21" ht="18.75" x14ac:dyDescent="0.3">
      <c r="A63">
        <v>1961</v>
      </c>
      <c r="B63">
        <v>235</v>
      </c>
      <c r="C63">
        <v>25</v>
      </c>
      <c r="D63">
        <v>47</v>
      </c>
      <c r="E63">
        <v>32</v>
      </c>
      <c r="F63">
        <v>21</v>
      </c>
      <c r="G63">
        <v>4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f t="shared" si="0"/>
        <v>4</v>
      </c>
      <c r="Q63">
        <f t="shared" si="1"/>
        <v>1</v>
      </c>
      <c r="T63" s="7" t="s">
        <v>2</v>
      </c>
      <c r="U63" s="7" t="s">
        <v>20</v>
      </c>
    </row>
    <row r="64" spans="1:21" ht="18.75" x14ac:dyDescent="0.3">
      <c r="A64">
        <v>1962</v>
      </c>
      <c r="B64">
        <v>257</v>
      </c>
      <c r="C64">
        <v>34</v>
      </c>
      <c r="D64">
        <v>30</v>
      </c>
      <c r="E64">
        <v>18</v>
      </c>
      <c r="F64">
        <v>18</v>
      </c>
      <c r="G64">
        <v>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f t="shared" si="0"/>
        <v>8</v>
      </c>
      <c r="Q64">
        <f t="shared" si="1"/>
        <v>0</v>
      </c>
      <c r="T64" s="7" t="s">
        <v>3</v>
      </c>
      <c r="U64" s="7" t="s">
        <v>21</v>
      </c>
    </row>
    <row r="65" spans="1:21" ht="18.75" x14ac:dyDescent="0.3">
      <c r="A65">
        <v>1963</v>
      </c>
      <c r="B65">
        <v>281</v>
      </c>
      <c r="C65">
        <v>19</v>
      </c>
      <c r="D65">
        <v>20</v>
      </c>
      <c r="E65">
        <v>27</v>
      </c>
      <c r="F65">
        <v>8</v>
      </c>
      <c r="G65">
        <v>7</v>
      </c>
      <c r="H65">
        <v>2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f t="shared" ref="P65:P119" si="2">SUM(G65:H65)</f>
        <v>9</v>
      </c>
      <c r="Q65">
        <f t="shared" ref="Q65:Q119" si="3">SUM(I65:O65)</f>
        <v>1</v>
      </c>
      <c r="T65" s="7" t="s">
        <v>4</v>
      </c>
      <c r="U65" s="7" t="s">
        <v>22</v>
      </c>
    </row>
    <row r="66" spans="1:21" ht="18.75" x14ac:dyDescent="0.3">
      <c r="A66">
        <v>1964</v>
      </c>
      <c r="B66">
        <v>275</v>
      </c>
      <c r="C66">
        <v>35</v>
      </c>
      <c r="D66">
        <v>19</v>
      </c>
      <c r="E66">
        <v>19</v>
      </c>
      <c r="F66">
        <v>13</v>
      </c>
      <c r="G66">
        <v>2</v>
      </c>
      <c r="H66">
        <v>3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f t="shared" si="2"/>
        <v>5</v>
      </c>
      <c r="Q66">
        <f t="shared" si="3"/>
        <v>0</v>
      </c>
      <c r="T66" s="7" t="s">
        <v>23</v>
      </c>
      <c r="U66" s="7" t="s">
        <v>37</v>
      </c>
    </row>
    <row r="67" spans="1:21" ht="18.75" x14ac:dyDescent="0.3">
      <c r="A67">
        <v>1965</v>
      </c>
      <c r="B67">
        <v>267</v>
      </c>
      <c r="C67">
        <v>39</v>
      </c>
      <c r="D67">
        <v>16</v>
      </c>
      <c r="E67">
        <v>17</v>
      </c>
      <c r="F67">
        <v>23</v>
      </c>
      <c r="G67">
        <v>2</v>
      </c>
      <c r="H67">
        <v>1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f t="shared" si="2"/>
        <v>3</v>
      </c>
      <c r="Q67">
        <f t="shared" si="3"/>
        <v>0</v>
      </c>
      <c r="T67" s="7" t="s">
        <v>25</v>
      </c>
      <c r="U67" s="7" t="s">
        <v>38</v>
      </c>
    </row>
    <row r="68" spans="1:21" x14ac:dyDescent="0.25">
      <c r="A68">
        <v>1966</v>
      </c>
      <c r="B68">
        <v>261</v>
      </c>
      <c r="C68">
        <v>41</v>
      </c>
      <c r="D68">
        <v>21</v>
      </c>
      <c r="E68">
        <v>18</v>
      </c>
      <c r="F68">
        <v>15</v>
      </c>
      <c r="G68">
        <v>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f t="shared" si="2"/>
        <v>9</v>
      </c>
      <c r="Q68">
        <f t="shared" si="3"/>
        <v>0</v>
      </c>
    </row>
    <row r="69" spans="1:21" x14ac:dyDescent="0.25">
      <c r="A69">
        <v>1967</v>
      </c>
      <c r="B69">
        <v>248</v>
      </c>
      <c r="C69">
        <v>38</v>
      </c>
      <c r="D69">
        <v>28</v>
      </c>
      <c r="E69">
        <v>17</v>
      </c>
      <c r="F69">
        <v>20</v>
      </c>
      <c r="G69">
        <v>10</v>
      </c>
      <c r="H69">
        <v>4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f t="shared" si="2"/>
        <v>14</v>
      </c>
      <c r="Q69">
        <f t="shared" si="3"/>
        <v>0</v>
      </c>
    </row>
    <row r="70" spans="1:21" x14ac:dyDescent="0.25">
      <c r="A70">
        <v>1968</v>
      </c>
      <c r="B70">
        <v>262</v>
      </c>
      <c r="C70">
        <v>33</v>
      </c>
      <c r="D70">
        <v>27</v>
      </c>
      <c r="E70">
        <v>16</v>
      </c>
      <c r="F70">
        <v>18</v>
      </c>
      <c r="G70">
        <v>6</v>
      </c>
      <c r="H70">
        <v>1</v>
      </c>
      <c r="I70">
        <v>2</v>
      </c>
      <c r="J70">
        <v>1</v>
      </c>
      <c r="K70">
        <v>0</v>
      </c>
      <c r="L70">
        <v>0</v>
      </c>
      <c r="M70">
        <v>0</v>
      </c>
      <c r="N70">
        <v>0</v>
      </c>
      <c r="O70">
        <v>0</v>
      </c>
      <c r="P70">
        <f t="shared" si="2"/>
        <v>7</v>
      </c>
      <c r="Q70">
        <f t="shared" si="3"/>
        <v>3</v>
      </c>
    </row>
    <row r="71" spans="1:21" x14ac:dyDescent="0.25">
      <c r="A71">
        <v>1969</v>
      </c>
      <c r="B71">
        <v>253</v>
      </c>
      <c r="C71">
        <v>37</v>
      </c>
      <c r="D71">
        <v>23</v>
      </c>
      <c r="E71">
        <v>19</v>
      </c>
      <c r="F71">
        <v>22</v>
      </c>
      <c r="G71">
        <v>8</v>
      </c>
      <c r="H71">
        <v>2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f t="shared" si="2"/>
        <v>10</v>
      </c>
      <c r="Q71">
        <f t="shared" si="3"/>
        <v>1</v>
      </c>
    </row>
    <row r="72" spans="1:21" x14ac:dyDescent="0.25">
      <c r="A72">
        <v>1970</v>
      </c>
      <c r="B72">
        <v>248</v>
      </c>
      <c r="C72">
        <v>39</v>
      </c>
      <c r="D72">
        <v>24</v>
      </c>
      <c r="E72">
        <v>22</v>
      </c>
      <c r="F72">
        <v>27</v>
      </c>
      <c r="G72">
        <v>2</v>
      </c>
      <c r="H72">
        <v>3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f t="shared" si="2"/>
        <v>5</v>
      </c>
      <c r="Q72">
        <f t="shared" si="3"/>
        <v>0</v>
      </c>
    </row>
    <row r="73" spans="1:21" x14ac:dyDescent="0.25">
      <c r="A73">
        <v>1971</v>
      </c>
      <c r="B73">
        <v>246</v>
      </c>
      <c r="C73">
        <v>34</v>
      </c>
      <c r="D73">
        <v>29</v>
      </c>
      <c r="E73">
        <v>27</v>
      </c>
      <c r="F73">
        <v>18</v>
      </c>
      <c r="G73">
        <v>9</v>
      </c>
      <c r="H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1</v>
      </c>
      <c r="O73">
        <v>0</v>
      </c>
      <c r="P73">
        <f t="shared" si="2"/>
        <v>9</v>
      </c>
      <c r="Q73">
        <f t="shared" si="3"/>
        <v>2</v>
      </c>
    </row>
    <row r="74" spans="1:21" x14ac:dyDescent="0.25">
      <c r="A74">
        <v>1972</v>
      </c>
      <c r="B74">
        <v>225</v>
      </c>
      <c r="C74">
        <v>33</v>
      </c>
      <c r="D74">
        <v>36</v>
      </c>
      <c r="E74">
        <v>29</v>
      </c>
      <c r="F74">
        <v>26</v>
      </c>
      <c r="G74">
        <v>11</v>
      </c>
      <c r="H74">
        <v>4</v>
      </c>
      <c r="I74">
        <v>1</v>
      </c>
      <c r="J74">
        <v>0</v>
      </c>
      <c r="K74">
        <v>1</v>
      </c>
      <c r="L74">
        <v>0</v>
      </c>
      <c r="M74">
        <v>0</v>
      </c>
      <c r="N74">
        <v>0</v>
      </c>
      <c r="O74">
        <v>0</v>
      </c>
      <c r="P74">
        <f t="shared" si="2"/>
        <v>15</v>
      </c>
      <c r="Q74">
        <f t="shared" si="3"/>
        <v>2</v>
      </c>
    </row>
    <row r="75" spans="1:21" x14ac:dyDescent="0.25">
      <c r="A75">
        <v>1973</v>
      </c>
      <c r="B75">
        <v>242</v>
      </c>
      <c r="C75">
        <v>32</v>
      </c>
      <c r="D75">
        <v>24</v>
      </c>
      <c r="E75">
        <v>28</v>
      </c>
      <c r="F75">
        <v>21</v>
      </c>
      <c r="G75">
        <v>10</v>
      </c>
      <c r="H75">
        <v>5</v>
      </c>
      <c r="I75">
        <v>1</v>
      </c>
      <c r="J75">
        <v>2</v>
      </c>
      <c r="K75">
        <v>0</v>
      </c>
      <c r="L75">
        <v>0</v>
      </c>
      <c r="M75">
        <v>0</v>
      </c>
      <c r="N75">
        <v>0</v>
      </c>
      <c r="O75">
        <v>0</v>
      </c>
      <c r="P75">
        <f t="shared" si="2"/>
        <v>15</v>
      </c>
      <c r="Q75">
        <f t="shared" si="3"/>
        <v>3</v>
      </c>
    </row>
    <row r="76" spans="1:21" x14ac:dyDescent="0.25">
      <c r="A76">
        <v>1974</v>
      </c>
      <c r="B76">
        <v>238</v>
      </c>
      <c r="C76">
        <v>34</v>
      </c>
      <c r="D76">
        <v>29</v>
      </c>
      <c r="E76">
        <v>27</v>
      </c>
      <c r="F76">
        <v>26</v>
      </c>
      <c r="G76">
        <v>7</v>
      </c>
      <c r="H76">
        <v>3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f t="shared" si="2"/>
        <v>10</v>
      </c>
      <c r="Q76">
        <f t="shared" si="3"/>
        <v>1</v>
      </c>
    </row>
    <row r="77" spans="1:21" x14ac:dyDescent="0.25">
      <c r="A77">
        <v>1975</v>
      </c>
      <c r="B77">
        <v>228</v>
      </c>
      <c r="C77">
        <v>40</v>
      </c>
      <c r="D77">
        <v>29</v>
      </c>
      <c r="E77">
        <v>33</v>
      </c>
      <c r="F77">
        <v>16</v>
      </c>
      <c r="G77">
        <v>11</v>
      </c>
      <c r="H77">
        <v>5</v>
      </c>
      <c r="I77">
        <v>3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f t="shared" si="2"/>
        <v>16</v>
      </c>
      <c r="Q77">
        <f t="shared" si="3"/>
        <v>3</v>
      </c>
    </row>
    <row r="78" spans="1:21" x14ac:dyDescent="0.25">
      <c r="A78">
        <v>1976</v>
      </c>
      <c r="B78">
        <v>251</v>
      </c>
      <c r="C78">
        <v>31</v>
      </c>
      <c r="D78">
        <v>26</v>
      </c>
      <c r="E78">
        <v>24</v>
      </c>
      <c r="F78">
        <v>26</v>
      </c>
      <c r="G78">
        <v>5</v>
      </c>
      <c r="H78">
        <v>3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f t="shared" si="2"/>
        <v>8</v>
      </c>
      <c r="Q78">
        <f t="shared" si="3"/>
        <v>0</v>
      </c>
    </row>
    <row r="79" spans="1:21" x14ac:dyDescent="0.25">
      <c r="A79">
        <v>1977</v>
      </c>
      <c r="B79">
        <v>248</v>
      </c>
      <c r="C79">
        <v>36</v>
      </c>
      <c r="D79">
        <v>27</v>
      </c>
      <c r="E79">
        <v>22</v>
      </c>
      <c r="F79">
        <v>21</v>
      </c>
      <c r="G79">
        <v>6</v>
      </c>
      <c r="H79">
        <v>2</v>
      </c>
      <c r="I79">
        <v>2</v>
      </c>
      <c r="J79">
        <v>1</v>
      </c>
      <c r="K79">
        <v>0</v>
      </c>
      <c r="L79">
        <v>0</v>
      </c>
      <c r="M79">
        <v>0</v>
      </c>
      <c r="N79">
        <v>0</v>
      </c>
      <c r="O79">
        <v>0</v>
      </c>
      <c r="P79">
        <f t="shared" si="2"/>
        <v>8</v>
      </c>
      <c r="Q79">
        <f t="shared" si="3"/>
        <v>3</v>
      </c>
    </row>
    <row r="80" spans="1:21" x14ac:dyDescent="0.25">
      <c r="A80">
        <v>1978</v>
      </c>
      <c r="B80">
        <v>251</v>
      </c>
      <c r="C80">
        <v>38</v>
      </c>
      <c r="D80">
        <v>27</v>
      </c>
      <c r="E80">
        <v>22</v>
      </c>
      <c r="F80">
        <v>14</v>
      </c>
      <c r="G80">
        <v>12</v>
      </c>
      <c r="H80">
        <v>0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f t="shared" si="2"/>
        <v>12</v>
      </c>
      <c r="Q80">
        <f t="shared" si="3"/>
        <v>1</v>
      </c>
    </row>
    <row r="81" spans="1:21" x14ac:dyDescent="0.25">
      <c r="A81">
        <v>1979</v>
      </c>
      <c r="B81">
        <v>242</v>
      </c>
      <c r="C81">
        <v>29</v>
      </c>
      <c r="D81">
        <v>32</v>
      </c>
      <c r="E81">
        <v>27</v>
      </c>
      <c r="F81">
        <v>20</v>
      </c>
      <c r="G81">
        <v>7</v>
      </c>
      <c r="H81">
        <v>1</v>
      </c>
      <c r="I81">
        <v>6</v>
      </c>
      <c r="J81">
        <v>0</v>
      </c>
      <c r="K81">
        <v>1</v>
      </c>
      <c r="L81">
        <v>0</v>
      </c>
      <c r="M81">
        <v>0</v>
      </c>
      <c r="N81">
        <v>0</v>
      </c>
      <c r="O81">
        <v>0</v>
      </c>
      <c r="P81">
        <f t="shared" si="2"/>
        <v>8</v>
      </c>
      <c r="Q81">
        <f t="shared" si="3"/>
        <v>7</v>
      </c>
    </row>
    <row r="82" spans="1:21" x14ac:dyDescent="0.25">
      <c r="A82">
        <v>1980</v>
      </c>
      <c r="B82">
        <v>268</v>
      </c>
      <c r="C82">
        <v>34</v>
      </c>
      <c r="D82">
        <v>27</v>
      </c>
      <c r="E82">
        <v>15</v>
      </c>
      <c r="F82">
        <v>15</v>
      </c>
      <c r="G82">
        <v>3</v>
      </c>
      <c r="H82">
        <v>3</v>
      </c>
      <c r="I82">
        <v>0</v>
      </c>
      <c r="J82">
        <v>1</v>
      </c>
      <c r="K82">
        <v>0</v>
      </c>
      <c r="L82">
        <v>0</v>
      </c>
      <c r="M82">
        <v>0</v>
      </c>
      <c r="N82">
        <v>0</v>
      </c>
      <c r="O82">
        <v>0</v>
      </c>
      <c r="P82">
        <f t="shared" si="2"/>
        <v>6</v>
      </c>
      <c r="Q82">
        <f t="shared" si="3"/>
        <v>1</v>
      </c>
    </row>
    <row r="83" spans="1:21" x14ac:dyDescent="0.25">
      <c r="A83">
        <v>1981</v>
      </c>
      <c r="B83">
        <v>258</v>
      </c>
      <c r="C83">
        <v>37</v>
      </c>
      <c r="D83">
        <v>26</v>
      </c>
      <c r="E83">
        <v>17</v>
      </c>
      <c r="F83">
        <v>18</v>
      </c>
      <c r="G83">
        <v>7</v>
      </c>
      <c r="H83">
        <v>1</v>
      </c>
      <c r="I83">
        <v>0</v>
      </c>
      <c r="J83">
        <v>1</v>
      </c>
      <c r="K83">
        <v>0</v>
      </c>
      <c r="L83">
        <v>0</v>
      </c>
      <c r="M83">
        <v>0</v>
      </c>
      <c r="N83">
        <v>0</v>
      </c>
      <c r="O83">
        <v>0</v>
      </c>
      <c r="P83">
        <f t="shared" si="2"/>
        <v>8</v>
      </c>
      <c r="Q83">
        <f t="shared" si="3"/>
        <v>1</v>
      </c>
    </row>
    <row r="84" spans="1:21" x14ac:dyDescent="0.25">
      <c r="A84">
        <v>1982</v>
      </c>
      <c r="B84">
        <v>266</v>
      </c>
      <c r="C84">
        <v>24</v>
      </c>
      <c r="D84">
        <v>32</v>
      </c>
      <c r="E84">
        <v>16</v>
      </c>
      <c r="F84">
        <v>16</v>
      </c>
      <c r="G84">
        <v>8</v>
      </c>
      <c r="H84">
        <v>0</v>
      </c>
      <c r="I84">
        <v>2</v>
      </c>
      <c r="J84">
        <v>1</v>
      </c>
      <c r="K84">
        <v>0</v>
      </c>
      <c r="L84">
        <v>0</v>
      </c>
      <c r="M84">
        <v>0</v>
      </c>
      <c r="N84">
        <v>0</v>
      </c>
      <c r="O84">
        <v>0</v>
      </c>
      <c r="P84">
        <f t="shared" si="2"/>
        <v>8</v>
      </c>
      <c r="Q84">
        <f t="shared" si="3"/>
        <v>3</v>
      </c>
    </row>
    <row r="85" spans="1:21" x14ac:dyDescent="0.25">
      <c r="A85">
        <v>1983</v>
      </c>
      <c r="B85">
        <v>258</v>
      </c>
      <c r="C85">
        <v>28</v>
      </c>
      <c r="D85">
        <v>22</v>
      </c>
      <c r="E85">
        <v>16</v>
      </c>
      <c r="F85">
        <v>22</v>
      </c>
      <c r="G85">
        <v>11</v>
      </c>
      <c r="H85">
        <v>7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f t="shared" si="2"/>
        <v>18</v>
      </c>
      <c r="Q85">
        <f t="shared" si="3"/>
        <v>1</v>
      </c>
    </row>
    <row r="86" spans="1:21" ht="18.75" x14ac:dyDescent="0.3">
      <c r="A86">
        <v>1984</v>
      </c>
      <c r="B86">
        <v>254</v>
      </c>
      <c r="C86">
        <v>34</v>
      </c>
      <c r="D86">
        <v>19</v>
      </c>
      <c r="E86">
        <v>23</v>
      </c>
      <c r="F86">
        <v>26</v>
      </c>
      <c r="G86">
        <v>3</v>
      </c>
      <c r="H86">
        <v>5</v>
      </c>
      <c r="I86">
        <v>1</v>
      </c>
      <c r="J86">
        <v>0</v>
      </c>
      <c r="K86">
        <v>1</v>
      </c>
      <c r="L86">
        <v>0</v>
      </c>
      <c r="M86">
        <v>0</v>
      </c>
      <c r="N86">
        <v>0</v>
      </c>
      <c r="O86">
        <v>0</v>
      </c>
      <c r="P86">
        <f t="shared" si="2"/>
        <v>8</v>
      </c>
      <c r="Q86">
        <f t="shared" si="3"/>
        <v>2</v>
      </c>
      <c r="T86" s="7" t="s">
        <v>15</v>
      </c>
      <c r="U86" s="7"/>
    </row>
    <row r="87" spans="1:21" ht="18.75" x14ac:dyDescent="0.3">
      <c r="A87">
        <v>1985</v>
      </c>
      <c r="B87">
        <v>247</v>
      </c>
      <c r="C87">
        <v>41</v>
      </c>
      <c r="D87">
        <v>25</v>
      </c>
      <c r="E87">
        <v>21</v>
      </c>
      <c r="F87">
        <v>17</v>
      </c>
      <c r="G87">
        <v>9</v>
      </c>
      <c r="H87">
        <v>4</v>
      </c>
      <c r="I87">
        <v>0</v>
      </c>
      <c r="J87">
        <v>1</v>
      </c>
      <c r="K87">
        <v>0</v>
      </c>
      <c r="L87">
        <v>0</v>
      </c>
      <c r="M87">
        <v>0</v>
      </c>
      <c r="N87">
        <v>0</v>
      </c>
      <c r="O87">
        <v>0</v>
      </c>
      <c r="P87">
        <f t="shared" si="2"/>
        <v>13</v>
      </c>
      <c r="Q87">
        <f t="shared" si="3"/>
        <v>1</v>
      </c>
      <c r="T87" s="7" t="s">
        <v>16</v>
      </c>
      <c r="U87" s="7" t="s">
        <v>17</v>
      </c>
    </row>
    <row r="88" spans="1:21" ht="18.75" x14ac:dyDescent="0.3">
      <c r="A88">
        <v>1986</v>
      </c>
      <c r="B88">
        <v>262</v>
      </c>
      <c r="C88">
        <v>22</v>
      </c>
      <c r="D88">
        <v>24</v>
      </c>
      <c r="E88">
        <v>29</v>
      </c>
      <c r="F88">
        <v>18</v>
      </c>
      <c r="G88">
        <v>6</v>
      </c>
      <c r="H88">
        <v>3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f t="shared" si="2"/>
        <v>9</v>
      </c>
      <c r="Q88">
        <f t="shared" si="3"/>
        <v>1</v>
      </c>
      <c r="T88" s="7" t="s">
        <v>0</v>
      </c>
      <c r="U88" s="7" t="s">
        <v>18</v>
      </c>
    </row>
    <row r="89" spans="1:21" ht="18.75" x14ac:dyDescent="0.3">
      <c r="A89">
        <v>1987</v>
      </c>
      <c r="B89">
        <v>251</v>
      </c>
      <c r="C89">
        <v>41</v>
      </c>
      <c r="D89">
        <v>21</v>
      </c>
      <c r="E89">
        <v>21</v>
      </c>
      <c r="F89">
        <v>18</v>
      </c>
      <c r="G89">
        <v>9</v>
      </c>
      <c r="H89">
        <v>3</v>
      </c>
      <c r="I89">
        <v>0</v>
      </c>
      <c r="J89">
        <v>1</v>
      </c>
      <c r="K89">
        <v>0</v>
      </c>
      <c r="L89">
        <v>0</v>
      </c>
      <c r="M89">
        <v>0</v>
      </c>
      <c r="N89">
        <v>0</v>
      </c>
      <c r="O89">
        <v>0</v>
      </c>
      <c r="P89">
        <f t="shared" si="2"/>
        <v>12</v>
      </c>
      <c r="Q89">
        <f t="shared" si="3"/>
        <v>1</v>
      </c>
      <c r="T89" s="7" t="s">
        <v>1</v>
      </c>
      <c r="U89" s="7" t="s">
        <v>19</v>
      </c>
    </row>
    <row r="90" spans="1:21" ht="18.75" x14ac:dyDescent="0.3">
      <c r="A90">
        <v>1988</v>
      </c>
      <c r="B90">
        <v>259</v>
      </c>
      <c r="C90">
        <v>30</v>
      </c>
      <c r="D90">
        <v>29</v>
      </c>
      <c r="E90">
        <v>21</v>
      </c>
      <c r="F90">
        <v>18</v>
      </c>
      <c r="G90">
        <v>6</v>
      </c>
      <c r="H90">
        <v>2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f t="shared" si="2"/>
        <v>8</v>
      </c>
      <c r="Q90">
        <f t="shared" si="3"/>
        <v>1</v>
      </c>
      <c r="T90" s="7" t="s">
        <v>2</v>
      </c>
      <c r="U90" s="7" t="s">
        <v>20</v>
      </c>
    </row>
    <row r="91" spans="1:21" ht="18.75" x14ac:dyDescent="0.3">
      <c r="A91">
        <v>1989</v>
      </c>
      <c r="B91">
        <v>224</v>
      </c>
      <c r="C91">
        <v>48</v>
      </c>
      <c r="D91">
        <v>31</v>
      </c>
      <c r="E91">
        <v>35</v>
      </c>
      <c r="F91">
        <v>19</v>
      </c>
      <c r="G91">
        <v>2</v>
      </c>
      <c r="H91">
        <v>2</v>
      </c>
      <c r="I91">
        <v>2</v>
      </c>
      <c r="J91">
        <v>2</v>
      </c>
      <c r="K91">
        <v>0</v>
      </c>
      <c r="L91">
        <v>0</v>
      </c>
      <c r="M91">
        <v>0</v>
      </c>
      <c r="N91">
        <v>0</v>
      </c>
      <c r="O91">
        <v>0</v>
      </c>
      <c r="P91">
        <f t="shared" si="2"/>
        <v>4</v>
      </c>
      <c r="Q91">
        <f t="shared" si="3"/>
        <v>4</v>
      </c>
      <c r="T91" s="7" t="s">
        <v>3</v>
      </c>
      <c r="U91" s="7" t="s">
        <v>21</v>
      </c>
    </row>
    <row r="92" spans="1:21" ht="18.75" x14ac:dyDescent="0.3">
      <c r="A92">
        <v>1990</v>
      </c>
      <c r="B92">
        <v>233</v>
      </c>
      <c r="C92">
        <v>34</v>
      </c>
      <c r="D92">
        <v>38</v>
      </c>
      <c r="E92">
        <v>24</v>
      </c>
      <c r="F92">
        <v>22</v>
      </c>
      <c r="G92">
        <v>9</v>
      </c>
      <c r="H92">
        <v>3</v>
      </c>
      <c r="I92">
        <v>2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f t="shared" si="2"/>
        <v>12</v>
      </c>
      <c r="Q92">
        <f t="shared" si="3"/>
        <v>2</v>
      </c>
      <c r="T92" s="7" t="s">
        <v>4</v>
      </c>
      <c r="U92" s="7" t="s">
        <v>22</v>
      </c>
    </row>
    <row r="93" spans="1:21" ht="18.75" x14ac:dyDescent="0.3">
      <c r="A93">
        <v>1991</v>
      </c>
      <c r="B93">
        <v>244</v>
      </c>
      <c r="C93">
        <v>50</v>
      </c>
      <c r="D93">
        <v>24</v>
      </c>
      <c r="E93">
        <v>22</v>
      </c>
      <c r="F93">
        <v>18</v>
      </c>
      <c r="G93">
        <v>5</v>
      </c>
      <c r="H93">
        <v>1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f t="shared" si="2"/>
        <v>6</v>
      </c>
      <c r="Q93">
        <f t="shared" si="3"/>
        <v>1</v>
      </c>
      <c r="T93" s="7" t="s">
        <v>23</v>
      </c>
      <c r="U93" s="7" t="s">
        <v>37</v>
      </c>
    </row>
    <row r="94" spans="1:21" ht="18.75" x14ac:dyDescent="0.3">
      <c r="A94">
        <v>1992</v>
      </c>
      <c r="B94">
        <v>256</v>
      </c>
      <c r="C94">
        <v>27</v>
      </c>
      <c r="D94">
        <v>30</v>
      </c>
      <c r="E94">
        <v>21</v>
      </c>
      <c r="F94">
        <v>20</v>
      </c>
      <c r="G94">
        <v>7</v>
      </c>
      <c r="H94">
        <v>4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f t="shared" si="2"/>
        <v>11</v>
      </c>
      <c r="Q94">
        <f t="shared" si="3"/>
        <v>1</v>
      </c>
      <c r="T94" s="7" t="s">
        <v>25</v>
      </c>
      <c r="U94" s="7" t="s">
        <v>38</v>
      </c>
    </row>
    <row r="95" spans="1:21" x14ac:dyDescent="0.25">
      <c r="A95">
        <v>1993</v>
      </c>
      <c r="B95">
        <v>255</v>
      </c>
      <c r="C95">
        <v>34</v>
      </c>
      <c r="D95">
        <v>27</v>
      </c>
      <c r="E95">
        <v>18</v>
      </c>
      <c r="F95">
        <v>19</v>
      </c>
      <c r="G95">
        <v>8</v>
      </c>
      <c r="H95">
        <v>4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f t="shared" si="2"/>
        <v>12</v>
      </c>
      <c r="Q95">
        <f t="shared" si="3"/>
        <v>0</v>
      </c>
    </row>
    <row r="96" spans="1:21" x14ac:dyDescent="0.25">
      <c r="A96">
        <v>1994</v>
      </c>
      <c r="B96">
        <v>281</v>
      </c>
      <c r="C96">
        <v>18</v>
      </c>
      <c r="D96">
        <v>20</v>
      </c>
      <c r="E96">
        <v>18</v>
      </c>
      <c r="F96">
        <v>19</v>
      </c>
      <c r="G96">
        <v>4</v>
      </c>
      <c r="H96">
        <v>3</v>
      </c>
      <c r="I96">
        <v>1</v>
      </c>
      <c r="J96">
        <v>1</v>
      </c>
      <c r="K96">
        <v>0</v>
      </c>
      <c r="L96">
        <v>0</v>
      </c>
      <c r="M96">
        <v>0</v>
      </c>
      <c r="N96">
        <v>0</v>
      </c>
      <c r="O96">
        <v>0</v>
      </c>
      <c r="P96">
        <f t="shared" si="2"/>
        <v>7</v>
      </c>
      <c r="Q96">
        <f t="shared" si="3"/>
        <v>2</v>
      </c>
    </row>
    <row r="97" spans="1:21" x14ac:dyDescent="0.25">
      <c r="A97">
        <v>1995</v>
      </c>
      <c r="B97">
        <v>281</v>
      </c>
      <c r="C97">
        <v>29</v>
      </c>
      <c r="D97">
        <v>23</v>
      </c>
      <c r="E97">
        <v>13</v>
      </c>
      <c r="F97">
        <v>13</v>
      </c>
      <c r="G97">
        <v>3</v>
      </c>
      <c r="H97">
        <v>1</v>
      </c>
      <c r="I97">
        <v>1</v>
      </c>
      <c r="J97">
        <v>0</v>
      </c>
      <c r="K97">
        <v>0</v>
      </c>
      <c r="L97">
        <v>1</v>
      </c>
      <c r="M97">
        <v>0</v>
      </c>
      <c r="N97">
        <v>0</v>
      </c>
      <c r="O97">
        <v>0</v>
      </c>
      <c r="P97">
        <f t="shared" si="2"/>
        <v>4</v>
      </c>
      <c r="Q97">
        <f t="shared" si="3"/>
        <v>2</v>
      </c>
    </row>
    <row r="98" spans="1:21" x14ac:dyDescent="0.25">
      <c r="A98">
        <v>1996</v>
      </c>
      <c r="B98">
        <v>235</v>
      </c>
      <c r="C98">
        <v>39</v>
      </c>
      <c r="D98">
        <v>38</v>
      </c>
      <c r="E98">
        <v>22</v>
      </c>
      <c r="F98">
        <v>17</v>
      </c>
      <c r="G98">
        <v>6</v>
      </c>
      <c r="H98">
        <v>4</v>
      </c>
      <c r="I98">
        <v>2</v>
      </c>
      <c r="J98">
        <v>1</v>
      </c>
      <c r="K98">
        <v>2</v>
      </c>
      <c r="L98">
        <v>0</v>
      </c>
      <c r="M98">
        <v>0</v>
      </c>
      <c r="N98">
        <v>0</v>
      </c>
      <c r="O98">
        <v>0</v>
      </c>
      <c r="P98">
        <f t="shared" si="2"/>
        <v>10</v>
      </c>
      <c r="Q98">
        <f t="shared" si="3"/>
        <v>5</v>
      </c>
    </row>
    <row r="99" spans="1:21" x14ac:dyDescent="0.25">
      <c r="A99">
        <v>1997</v>
      </c>
      <c r="B99">
        <v>272</v>
      </c>
      <c r="C99">
        <v>22</v>
      </c>
      <c r="D99">
        <v>34</v>
      </c>
      <c r="E99">
        <v>13</v>
      </c>
      <c r="F99">
        <v>18</v>
      </c>
      <c r="G99">
        <v>3</v>
      </c>
      <c r="H99">
        <v>1</v>
      </c>
      <c r="I99">
        <v>0</v>
      </c>
      <c r="J99">
        <v>0</v>
      </c>
      <c r="K99">
        <v>1</v>
      </c>
      <c r="L99">
        <v>1</v>
      </c>
      <c r="M99">
        <v>0</v>
      </c>
      <c r="N99">
        <v>0</v>
      </c>
      <c r="O99">
        <v>0</v>
      </c>
      <c r="P99">
        <f t="shared" si="2"/>
        <v>4</v>
      </c>
      <c r="Q99">
        <f t="shared" si="3"/>
        <v>2</v>
      </c>
    </row>
    <row r="100" spans="1:21" x14ac:dyDescent="0.25">
      <c r="A100">
        <v>1998</v>
      </c>
      <c r="B100">
        <v>288</v>
      </c>
      <c r="C100">
        <v>23</v>
      </c>
      <c r="D100">
        <v>16</v>
      </c>
      <c r="E100">
        <v>18</v>
      </c>
      <c r="F100">
        <v>12</v>
      </c>
      <c r="G100">
        <v>3</v>
      </c>
      <c r="H100">
        <v>5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f t="shared" si="2"/>
        <v>8</v>
      </c>
      <c r="Q100">
        <f t="shared" si="3"/>
        <v>0</v>
      </c>
    </row>
    <row r="101" spans="1:21" x14ac:dyDescent="0.25">
      <c r="A101">
        <v>1999</v>
      </c>
      <c r="B101">
        <v>268</v>
      </c>
      <c r="C101">
        <v>32</v>
      </c>
      <c r="D101">
        <v>20</v>
      </c>
      <c r="E101">
        <v>21</v>
      </c>
      <c r="F101">
        <v>19</v>
      </c>
      <c r="G101">
        <v>2</v>
      </c>
      <c r="H101">
        <v>2</v>
      </c>
      <c r="I101">
        <v>0</v>
      </c>
      <c r="J101">
        <v>0</v>
      </c>
      <c r="K101">
        <v>0</v>
      </c>
      <c r="L101">
        <v>0</v>
      </c>
      <c r="M101">
        <v>1</v>
      </c>
      <c r="N101">
        <v>0</v>
      </c>
      <c r="O101">
        <v>0</v>
      </c>
      <c r="P101">
        <f t="shared" si="2"/>
        <v>4</v>
      </c>
      <c r="Q101">
        <f t="shared" si="3"/>
        <v>1</v>
      </c>
    </row>
    <row r="102" spans="1:21" x14ac:dyDescent="0.25">
      <c r="A102">
        <v>2000</v>
      </c>
      <c r="B102">
        <v>250</v>
      </c>
      <c r="C102">
        <v>34</v>
      </c>
      <c r="D102">
        <v>29</v>
      </c>
      <c r="E102">
        <v>21</v>
      </c>
      <c r="F102">
        <v>21</v>
      </c>
      <c r="G102">
        <v>7</v>
      </c>
      <c r="H102">
        <v>0</v>
      </c>
      <c r="I102">
        <v>2</v>
      </c>
      <c r="J102">
        <v>1</v>
      </c>
      <c r="K102">
        <v>1</v>
      </c>
      <c r="L102">
        <v>0</v>
      </c>
      <c r="M102">
        <v>0</v>
      </c>
      <c r="N102">
        <v>0</v>
      </c>
      <c r="O102">
        <v>0</v>
      </c>
      <c r="P102">
        <f t="shared" si="2"/>
        <v>7</v>
      </c>
      <c r="Q102">
        <f t="shared" si="3"/>
        <v>4</v>
      </c>
    </row>
    <row r="103" spans="1:21" x14ac:dyDescent="0.25">
      <c r="A103">
        <v>2001</v>
      </c>
      <c r="B103">
        <v>268</v>
      </c>
      <c r="C103">
        <v>32</v>
      </c>
      <c r="D103">
        <v>25</v>
      </c>
      <c r="E103">
        <v>16</v>
      </c>
      <c r="F103">
        <v>16</v>
      </c>
      <c r="G103">
        <v>7</v>
      </c>
      <c r="H103">
        <v>1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f t="shared" si="2"/>
        <v>8</v>
      </c>
      <c r="Q103">
        <f t="shared" si="3"/>
        <v>0</v>
      </c>
    </row>
    <row r="104" spans="1:21" x14ac:dyDescent="0.25">
      <c r="A104">
        <v>2002</v>
      </c>
      <c r="B104">
        <v>257</v>
      </c>
      <c r="C104">
        <v>36</v>
      </c>
      <c r="D104">
        <v>23</v>
      </c>
      <c r="E104">
        <v>17</v>
      </c>
      <c r="F104">
        <v>19</v>
      </c>
      <c r="G104">
        <v>8</v>
      </c>
      <c r="H104">
        <v>4</v>
      </c>
      <c r="I104">
        <v>0</v>
      </c>
      <c r="J104">
        <v>0</v>
      </c>
      <c r="K104">
        <v>1</v>
      </c>
      <c r="L104">
        <v>0</v>
      </c>
      <c r="M104">
        <v>0</v>
      </c>
      <c r="N104">
        <v>0</v>
      </c>
      <c r="O104">
        <v>0</v>
      </c>
      <c r="P104">
        <f t="shared" si="2"/>
        <v>12</v>
      </c>
      <c r="Q104">
        <f t="shared" si="3"/>
        <v>1</v>
      </c>
    </row>
    <row r="105" spans="1:21" x14ac:dyDescent="0.25">
      <c r="A105">
        <v>2003</v>
      </c>
      <c r="B105">
        <v>225</v>
      </c>
      <c r="C105">
        <v>40</v>
      </c>
      <c r="D105">
        <v>40</v>
      </c>
      <c r="E105">
        <v>27</v>
      </c>
      <c r="F105">
        <v>13</v>
      </c>
      <c r="G105">
        <v>11</v>
      </c>
      <c r="H105">
        <v>7</v>
      </c>
      <c r="I105">
        <v>1</v>
      </c>
      <c r="J105">
        <v>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f t="shared" si="2"/>
        <v>18</v>
      </c>
      <c r="Q105">
        <f t="shared" si="3"/>
        <v>2</v>
      </c>
    </row>
    <row r="106" spans="1:21" x14ac:dyDescent="0.25">
      <c r="A106">
        <v>2004</v>
      </c>
      <c r="B106">
        <v>249</v>
      </c>
      <c r="C106">
        <v>35</v>
      </c>
      <c r="D106">
        <v>28</v>
      </c>
      <c r="E106">
        <v>21</v>
      </c>
      <c r="F106">
        <v>22</v>
      </c>
      <c r="G106">
        <v>6</v>
      </c>
      <c r="H106">
        <v>1</v>
      </c>
      <c r="I106">
        <v>1</v>
      </c>
      <c r="J106">
        <v>1</v>
      </c>
      <c r="K106">
        <v>2</v>
      </c>
      <c r="L106">
        <v>0</v>
      </c>
      <c r="M106">
        <v>0</v>
      </c>
      <c r="N106">
        <v>0</v>
      </c>
      <c r="O106">
        <v>0</v>
      </c>
      <c r="P106">
        <f t="shared" si="2"/>
        <v>7</v>
      </c>
      <c r="Q106">
        <f t="shared" si="3"/>
        <v>4</v>
      </c>
    </row>
    <row r="107" spans="1:21" x14ac:dyDescent="0.25">
      <c r="A107">
        <v>2005</v>
      </c>
      <c r="B107">
        <v>257</v>
      </c>
      <c r="C107">
        <v>30</v>
      </c>
      <c r="D107">
        <v>23</v>
      </c>
      <c r="E107">
        <v>23</v>
      </c>
      <c r="F107">
        <v>20</v>
      </c>
      <c r="G107">
        <v>7</v>
      </c>
      <c r="H107">
        <v>1</v>
      </c>
      <c r="I107">
        <v>2</v>
      </c>
      <c r="J107">
        <v>1</v>
      </c>
      <c r="K107">
        <v>0</v>
      </c>
      <c r="L107">
        <v>0</v>
      </c>
      <c r="M107">
        <v>0</v>
      </c>
      <c r="N107">
        <v>0</v>
      </c>
      <c r="O107">
        <v>1</v>
      </c>
      <c r="P107">
        <f t="shared" si="2"/>
        <v>8</v>
      </c>
      <c r="Q107">
        <f t="shared" si="3"/>
        <v>4</v>
      </c>
    </row>
    <row r="108" spans="1:21" x14ac:dyDescent="0.25">
      <c r="A108">
        <v>2006</v>
      </c>
      <c r="B108">
        <v>253</v>
      </c>
      <c r="C108">
        <v>23</v>
      </c>
      <c r="D108">
        <v>27</v>
      </c>
      <c r="E108">
        <v>24</v>
      </c>
      <c r="F108">
        <v>21</v>
      </c>
      <c r="G108">
        <v>10</v>
      </c>
      <c r="H108">
        <v>6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f t="shared" si="2"/>
        <v>16</v>
      </c>
      <c r="Q108">
        <f t="shared" si="3"/>
        <v>1</v>
      </c>
    </row>
    <row r="109" spans="1:21" ht="18.75" x14ac:dyDescent="0.3">
      <c r="A109">
        <v>2007</v>
      </c>
      <c r="B109">
        <v>269</v>
      </c>
      <c r="C109">
        <v>22</v>
      </c>
      <c r="D109">
        <v>25</v>
      </c>
      <c r="E109">
        <v>15</v>
      </c>
      <c r="F109">
        <v>22</v>
      </c>
      <c r="G109">
        <v>7</v>
      </c>
      <c r="H109">
        <v>2</v>
      </c>
      <c r="I109">
        <v>1</v>
      </c>
      <c r="J109">
        <v>1</v>
      </c>
      <c r="K109">
        <v>0</v>
      </c>
      <c r="L109">
        <v>1</v>
      </c>
      <c r="M109">
        <v>0</v>
      </c>
      <c r="N109">
        <v>0</v>
      </c>
      <c r="O109">
        <v>0</v>
      </c>
      <c r="P109">
        <f t="shared" si="2"/>
        <v>9</v>
      </c>
      <c r="Q109">
        <f t="shared" si="3"/>
        <v>3</v>
      </c>
      <c r="T109" s="7" t="s">
        <v>15</v>
      </c>
      <c r="U109" s="7"/>
    </row>
    <row r="110" spans="1:21" ht="18.75" x14ac:dyDescent="0.3">
      <c r="A110">
        <v>2008</v>
      </c>
      <c r="B110">
        <v>257</v>
      </c>
      <c r="C110">
        <v>26</v>
      </c>
      <c r="D110">
        <v>36</v>
      </c>
      <c r="E110">
        <v>21</v>
      </c>
      <c r="F110">
        <v>11</v>
      </c>
      <c r="G110">
        <v>9</v>
      </c>
      <c r="H110">
        <v>5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f t="shared" si="2"/>
        <v>14</v>
      </c>
      <c r="Q110">
        <f t="shared" si="3"/>
        <v>1</v>
      </c>
      <c r="T110" s="7" t="s">
        <v>16</v>
      </c>
      <c r="U110" s="7" t="s">
        <v>17</v>
      </c>
    </row>
    <row r="111" spans="1:21" ht="18.75" x14ac:dyDescent="0.3">
      <c r="A111">
        <v>2009</v>
      </c>
      <c r="B111">
        <v>246</v>
      </c>
      <c r="C111">
        <v>28</v>
      </c>
      <c r="D111">
        <v>35</v>
      </c>
      <c r="E111">
        <v>26</v>
      </c>
      <c r="F111">
        <v>23</v>
      </c>
      <c r="G111">
        <v>4</v>
      </c>
      <c r="H111">
        <v>2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f t="shared" si="2"/>
        <v>6</v>
      </c>
      <c r="Q111">
        <f t="shared" si="3"/>
        <v>1</v>
      </c>
      <c r="T111" s="7" t="s">
        <v>0</v>
      </c>
      <c r="U111" s="7" t="s">
        <v>18</v>
      </c>
    </row>
    <row r="112" spans="1:21" ht="18.75" x14ac:dyDescent="0.3">
      <c r="A112">
        <v>2010</v>
      </c>
      <c r="B112">
        <v>268</v>
      </c>
      <c r="C112">
        <v>29</v>
      </c>
      <c r="D112">
        <v>16</v>
      </c>
      <c r="E112">
        <v>25</v>
      </c>
      <c r="F112">
        <v>15</v>
      </c>
      <c r="G112">
        <v>8</v>
      </c>
      <c r="H112">
        <v>2</v>
      </c>
      <c r="I112">
        <v>0</v>
      </c>
      <c r="J112">
        <v>1</v>
      </c>
      <c r="K112">
        <v>0</v>
      </c>
      <c r="L112">
        <v>1</v>
      </c>
      <c r="M112">
        <v>0</v>
      </c>
      <c r="N112">
        <v>0</v>
      </c>
      <c r="O112">
        <v>0</v>
      </c>
      <c r="P112">
        <f t="shared" si="2"/>
        <v>10</v>
      </c>
      <c r="Q112">
        <f t="shared" si="3"/>
        <v>2</v>
      </c>
      <c r="T112" s="7" t="s">
        <v>1</v>
      </c>
      <c r="U112" s="7" t="s">
        <v>19</v>
      </c>
    </row>
    <row r="113" spans="1:21" ht="18.75" x14ac:dyDescent="0.3">
      <c r="A113">
        <v>2011</v>
      </c>
      <c r="B113">
        <v>230</v>
      </c>
      <c r="C113">
        <v>27</v>
      </c>
      <c r="D113">
        <v>35</v>
      </c>
      <c r="E113">
        <v>28</v>
      </c>
      <c r="F113">
        <v>25</v>
      </c>
      <c r="G113">
        <v>8</v>
      </c>
      <c r="H113">
        <v>3</v>
      </c>
      <c r="I113">
        <v>4</v>
      </c>
      <c r="J113">
        <v>4</v>
      </c>
      <c r="K113">
        <v>0</v>
      </c>
      <c r="L113">
        <v>0</v>
      </c>
      <c r="M113">
        <v>0</v>
      </c>
      <c r="N113">
        <v>1</v>
      </c>
      <c r="O113">
        <v>0</v>
      </c>
      <c r="P113">
        <f t="shared" si="2"/>
        <v>11</v>
      </c>
      <c r="Q113">
        <f t="shared" si="3"/>
        <v>9</v>
      </c>
      <c r="T113" s="7" t="s">
        <v>2</v>
      </c>
      <c r="U113" s="7" t="s">
        <v>20</v>
      </c>
    </row>
    <row r="114" spans="1:21" ht="18.75" x14ac:dyDescent="0.3">
      <c r="A114">
        <v>2012</v>
      </c>
      <c r="B114">
        <v>252</v>
      </c>
      <c r="C114">
        <v>30</v>
      </c>
      <c r="D114">
        <v>29</v>
      </c>
      <c r="E114">
        <v>24</v>
      </c>
      <c r="F114">
        <v>23</v>
      </c>
      <c r="G114">
        <v>5</v>
      </c>
      <c r="H114">
        <v>2</v>
      </c>
      <c r="I114">
        <v>0</v>
      </c>
      <c r="J114">
        <v>0</v>
      </c>
      <c r="K114">
        <v>1</v>
      </c>
      <c r="L114">
        <v>0</v>
      </c>
      <c r="M114">
        <v>0</v>
      </c>
      <c r="N114">
        <v>0</v>
      </c>
      <c r="O114">
        <v>0</v>
      </c>
      <c r="P114">
        <f t="shared" si="2"/>
        <v>7</v>
      </c>
      <c r="Q114">
        <f t="shared" si="3"/>
        <v>1</v>
      </c>
      <c r="T114" s="7" t="s">
        <v>3</v>
      </c>
      <c r="U114" s="7" t="s">
        <v>21</v>
      </c>
    </row>
    <row r="115" spans="1:21" ht="18.75" x14ac:dyDescent="0.3">
      <c r="A115">
        <v>2013</v>
      </c>
      <c r="B115">
        <v>258</v>
      </c>
      <c r="C115">
        <v>33</v>
      </c>
      <c r="D115">
        <v>25</v>
      </c>
      <c r="E115">
        <v>22</v>
      </c>
      <c r="F115">
        <v>18</v>
      </c>
      <c r="G115">
        <v>3</v>
      </c>
      <c r="H115">
        <v>4</v>
      </c>
      <c r="I115">
        <v>1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f t="shared" si="2"/>
        <v>7</v>
      </c>
      <c r="Q115">
        <f t="shared" si="3"/>
        <v>2</v>
      </c>
      <c r="T115" s="7" t="s">
        <v>4</v>
      </c>
      <c r="U115" s="7" t="s">
        <v>22</v>
      </c>
    </row>
    <row r="116" spans="1:21" ht="18.75" x14ac:dyDescent="0.3">
      <c r="A116">
        <v>2014</v>
      </c>
      <c r="B116">
        <v>249</v>
      </c>
      <c r="C116">
        <v>37</v>
      </c>
      <c r="D116">
        <v>28</v>
      </c>
      <c r="E116">
        <v>27</v>
      </c>
      <c r="F116">
        <v>14</v>
      </c>
      <c r="G116">
        <v>5</v>
      </c>
      <c r="H116">
        <v>3</v>
      </c>
      <c r="I116">
        <v>1</v>
      </c>
      <c r="J116">
        <v>0</v>
      </c>
      <c r="K116">
        <v>1</v>
      </c>
      <c r="L116">
        <v>0</v>
      </c>
      <c r="M116">
        <v>0</v>
      </c>
      <c r="N116">
        <v>0</v>
      </c>
      <c r="O116">
        <v>0</v>
      </c>
      <c r="P116">
        <f t="shared" si="2"/>
        <v>8</v>
      </c>
      <c r="Q116">
        <f t="shared" si="3"/>
        <v>2</v>
      </c>
      <c r="T116" s="7" t="s">
        <v>23</v>
      </c>
      <c r="U116" s="7" t="s">
        <v>37</v>
      </c>
    </row>
    <row r="117" spans="1:21" ht="18.75" x14ac:dyDescent="0.3">
      <c r="A117">
        <v>2015</v>
      </c>
      <c r="B117">
        <v>264</v>
      </c>
      <c r="C117">
        <v>32</v>
      </c>
      <c r="D117">
        <v>29</v>
      </c>
      <c r="E117">
        <v>13</v>
      </c>
      <c r="F117">
        <v>20</v>
      </c>
      <c r="G117">
        <v>3</v>
      </c>
      <c r="H117">
        <v>4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f t="shared" si="2"/>
        <v>7</v>
      </c>
      <c r="Q117">
        <f t="shared" si="3"/>
        <v>0</v>
      </c>
      <c r="T117" s="7" t="s">
        <v>25</v>
      </c>
      <c r="U117" s="7" t="s">
        <v>38</v>
      </c>
    </row>
    <row r="118" spans="1:21" x14ac:dyDescent="0.25">
      <c r="A118">
        <v>2016</v>
      </c>
      <c r="B118">
        <v>261</v>
      </c>
      <c r="C118">
        <v>30</v>
      </c>
      <c r="D118">
        <v>24</v>
      </c>
      <c r="E118">
        <v>34</v>
      </c>
      <c r="F118">
        <v>9</v>
      </c>
      <c r="G118">
        <v>7</v>
      </c>
      <c r="H118">
        <v>1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f t="shared" si="2"/>
        <v>8</v>
      </c>
      <c r="Q118">
        <f t="shared" si="3"/>
        <v>0</v>
      </c>
    </row>
    <row r="119" spans="1:21" x14ac:dyDescent="0.25">
      <c r="A119">
        <v>2017</v>
      </c>
      <c r="B119">
        <v>236</v>
      </c>
      <c r="C119">
        <v>43</v>
      </c>
      <c r="D119">
        <v>31</v>
      </c>
      <c r="E119">
        <v>29</v>
      </c>
      <c r="F119">
        <v>16</v>
      </c>
      <c r="G119">
        <v>7</v>
      </c>
      <c r="H119">
        <v>2</v>
      </c>
      <c r="I119">
        <v>0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</v>
      </c>
      <c r="P119">
        <f t="shared" si="2"/>
        <v>9</v>
      </c>
      <c r="Q119">
        <f t="shared" si="3"/>
        <v>1</v>
      </c>
    </row>
    <row r="121" spans="1:21" x14ac:dyDescent="0.25">
      <c r="A121" s="28" t="s">
        <v>56</v>
      </c>
      <c r="B121" s="8">
        <f>AVERAGE(B83:B112)</f>
        <v>256.36666666666667</v>
      </c>
      <c r="C121" s="21">
        <f>AVERAGE(C90:C119)</f>
        <v>31.766666666666666</v>
      </c>
      <c r="D121" s="21">
        <f t="shared" ref="D121:Q121" si="4">AVERAGE(D90:D119)</f>
        <v>27.933333333333334</v>
      </c>
      <c r="E121" s="21">
        <f t="shared" si="4"/>
        <v>21.966666666666665</v>
      </c>
      <c r="F121" s="21">
        <f t="shared" si="4"/>
        <v>18.066666666666666</v>
      </c>
      <c r="G121" s="21">
        <f t="shared" si="4"/>
        <v>6</v>
      </c>
      <c r="H121" s="21">
        <f t="shared" si="4"/>
        <v>2.7333333333333334</v>
      </c>
      <c r="I121" s="21">
        <f t="shared" si="4"/>
        <v>0.8666666666666667</v>
      </c>
      <c r="J121" s="21">
        <f t="shared" si="4"/>
        <v>0.53333333333333333</v>
      </c>
      <c r="K121" s="21">
        <f t="shared" si="4"/>
        <v>0.33333333333333331</v>
      </c>
      <c r="L121" s="21">
        <f t="shared" si="4"/>
        <v>0.13333333333333333</v>
      </c>
      <c r="M121" s="21">
        <f t="shared" si="4"/>
        <v>3.3333333333333333E-2</v>
      </c>
      <c r="N121" s="21">
        <f t="shared" si="4"/>
        <v>3.3333333333333333E-2</v>
      </c>
      <c r="O121" s="21">
        <f t="shared" si="4"/>
        <v>3.3333333333333333E-2</v>
      </c>
      <c r="P121" s="21">
        <f t="shared" si="4"/>
        <v>8.7333333333333325</v>
      </c>
      <c r="Q121" s="21">
        <f t="shared" si="4"/>
        <v>1.9666666666666666</v>
      </c>
    </row>
    <row r="122" spans="1:21" x14ac:dyDescent="0.25">
      <c r="A122" s="28" t="s">
        <v>57</v>
      </c>
      <c r="B122" s="8">
        <f>AVERAGE(B2:B119)</f>
        <v>260.32203389830511</v>
      </c>
      <c r="C122" s="21">
        <f>AVERAGE(C2:C89)</f>
        <v>28.579545454545453</v>
      </c>
      <c r="D122" s="21">
        <f t="shared" ref="D122:Q122" si="5">AVERAGE(D2:D89)</f>
        <v>24.704545454545453</v>
      </c>
      <c r="E122" s="21">
        <f t="shared" si="5"/>
        <v>21.795454545454547</v>
      </c>
      <c r="F122" s="21">
        <f t="shared" si="5"/>
        <v>17.920454545454547</v>
      </c>
      <c r="G122" s="21">
        <f t="shared" si="5"/>
        <v>6.3068181818181817</v>
      </c>
      <c r="H122" s="21">
        <f t="shared" si="5"/>
        <v>2.2840909090909092</v>
      </c>
      <c r="I122" s="21">
        <f t="shared" si="5"/>
        <v>0.875</v>
      </c>
      <c r="J122" s="21">
        <f t="shared" si="5"/>
        <v>0.29545454545454547</v>
      </c>
      <c r="K122" s="21">
        <f t="shared" si="5"/>
        <v>0.21590909090909091</v>
      </c>
      <c r="L122" s="21">
        <f t="shared" si="5"/>
        <v>3.4090909090909088E-2</v>
      </c>
      <c r="M122" s="21">
        <f t="shared" si="5"/>
        <v>1.1363636363636364E-2</v>
      </c>
      <c r="N122" s="21">
        <f t="shared" si="5"/>
        <v>1.1363636363636364E-2</v>
      </c>
      <c r="O122" s="21">
        <f t="shared" si="5"/>
        <v>0</v>
      </c>
      <c r="P122" s="21">
        <f t="shared" si="5"/>
        <v>8.5909090909090917</v>
      </c>
      <c r="Q122" s="21">
        <f t="shared" si="5"/>
        <v>1.4431818181818181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S123"/>
  <sheetViews>
    <sheetView tabSelected="1" zoomScale="70" zoomScaleNormal="70" workbookViewId="0">
      <pane ySplit="1" topLeftCell="A71" activePane="bottomLeft" state="frozen"/>
      <selection activeCell="B1" sqref="B1"/>
      <selection pane="bottomLeft" activeCell="AJ92" sqref="AJ92"/>
    </sheetView>
  </sheetViews>
  <sheetFormatPr defaultRowHeight="15" x14ac:dyDescent="0.25"/>
  <cols>
    <col min="1" max="1" width="15.7109375" bestFit="1" customWidth="1"/>
    <col min="2" max="2" width="10.5703125" customWidth="1"/>
    <col min="6" max="14" width="0" hidden="1" customWidth="1"/>
    <col min="20" max="20" width="17.42578125" style="25" customWidth="1"/>
    <col min="25" max="33" width="0" hidden="1" customWidth="1"/>
    <col min="37" max="37" width="18.5703125" bestFit="1" customWidth="1"/>
    <col min="38" max="38" width="17" bestFit="1" customWidth="1"/>
  </cols>
  <sheetData>
    <row r="1" spans="1:38" s="8" customFormat="1" ht="18.75" x14ac:dyDescent="0.3"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23</v>
      </c>
      <c r="P1" s="8" t="s">
        <v>25</v>
      </c>
      <c r="T1" s="21" t="s">
        <v>39</v>
      </c>
      <c r="U1" s="8" t="s">
        <v>1</v>
      </c>
      <c r="V1" s="8" t="s">
        <v>2</v>
      </c>
      <c r="W1" s="8" t="s">
        <v>3</v>
      </c>
      <c r="X1" s="8" t="s">
        <v>4</v>
      </c>
      <c r="Y1" s="8" t="s">
        <v>5</v>
      </c>
      <c r="Z1" s="8" t="s">
        <v>6</v>
      </c>
      <c r="AA1" s="8" t="s">
        <v>7</v>
      </c>
      <c r="AB1" s="8" t="s">
        <v>8</v>
      </c>
      <c r="AC1" s="8" t="s">
        <v>9</v>
      </c>
      <c r="AD1" s="8" t="s">
        <v>10</v>
      </c>
      <c r="AE1" s="8" t="s">
        <v>11</v>
      </c>
      <c r="AF1" s="8" t="s">
        <v>12</v>
      </c>
      <c r="AG1" s="8" t="s">
        <v>13</v>
      </c>
      <c r="AH1" s="8" t="s">
        <v>23</v>
      </c>
      <c r="AI1" s="8" t="s">
        <v>25</v>
      </c>
      <c r="AK1" s="7" t="s">
        <v>15</v>
      </c>
      <c r="AL1" s="7"/>
    </row>
    <row r="2" spans="1:38" ht="18.75" x14ac:dyDescent="0.3">
      <c r="A2">
        <v>1893</v>
      </c>
      <c r="B2">
        <v>1.1299999999999999</v>
      </c>
      <c r="C2">
        <v>2.88</v>
      </c>
      <c r="D2">
        <v>6</v>
      </c>
      <c r="E2">
        <v>8.4499999999999993</v>
      </c>
      <c r="F2">
        <v>9.35</v>
      </c>
      <c r="G2">
        <v>0</v>
      </c>
      <c r="H2">
        <v>2.31</v>
      </c>
      <c r="I2">
        <v>0</v>
      </c>
      <c r="J2">
        <v>0</v>
      </c>
      <c r="K2">
        <v>0</v>
      </c>
      <c r="L2">
        <v>5.17</v>
      </c>
      <c r="M2">
        <v>0</v>
      </c>
      <c r="N2">
        <v>0</v>
      </c>
      <c r="O2">
        <f>SUM(F2:G2)</f>
        <v>9.35</v>
      </c>
      <c r="P2">
        <f>SUM(H2:N2)</f>
        <v>7.48</v>
      </c>
      <c r="S2">
        <v>1893</v>
      </c>
      <c r="T2" s="22">
        <v>35.409999999999997</v>
      </c>
      <c r="U2" s="5">
        <f>B2/$T2</f>
        <v>3.1911889296808812E-2</v>
      </c>
      <c r="V2" s="5">
        <f t="shared" ref="V2:V33" si="0">C2/$T2</f>
        <v>8.1332956791866709E-2</v>
      </c>
      <c r="W2" s="5">
        <f t="shared" ref="W2:W33" si="1">D2/$T2</f>
        <v>0.16944365998305566</v>
      </c>
      <c r="X2" s="5">
        <f t="shared" ref="X2:X33" si="2">E2/$T2</f>
        <v>0.2386331544761367</v>
      </c>
      <c r="Y2" s="5">
        <f t="shared" ref="Y2:Y33" si="3">F2/$T2</f>
        <v>0.26404970347359502</v>
      </c>
      <c r="Z2" s="5">
        <f t="shared" ref="Z2:Z33" si="4">G2/$T2</f>
        <v>0</v>
      </c>
      <c r="AA2" s="5">
        <f t="shared" ref="AA2:AA33" si="5">H2/$T2</f>
        <v>6.5235809093476427E-2</v>
      </c>
      <c r="AB2" s="5">
        <f t="shared" ref="AB2:AB33" si="6">I2/$T2</f>
        <v>0</v>
      </c>
      <c r="AC2" s="5">
        <f t="shared" ref="AC2:AC33" si="7">J2/$T2</f>
        <v>0</v>
      </c>
      <c r="AD2" s="5">
        <f t="shared" ref="AD2:AD33" si="8">K2/$T2</f>
        <v>0</v>
      </c>
      <c r="AE2" s="5">
        <f t="shared" ref="AE2:AE33" si="9">L2/$T2</f>
        <v>0.14600395368539962</v>
      </c>
      <c r="AF2" s="5">
        <f t="shared" ref="AF2:AF33" si="10">M2/$T2</f>
        <v>0</v>
      </c>
      <c r="AG2" s="5">
        <f t="shared" ref="AG2:AG33" si="11">N2/$T2</f>
        <v>0</v>
      </c>
      <c r="AH2" s="6">
        <f>SUM(Y2:Z2)</f>
        <v>0.26404970347359502</v>
      </c>
      <c r="AI2" s="6">
        <f>SUM(AA2:AG2)</f>
        <v>0.21123976277887604</v>
      </c>
      <c r="AJ2" s="6"/>
      <c r="AK2" s="7" t="s">
        <v>16</v>
      </c>
      <c r="AL2" s="7" t="s">
        <v>17</v>
      </c>
    </row>
    <row r="3" spans="1:38" ht="18.75" x14ac:dyDescent="0.3">
      <c r="A3">
        <v>1894</v>
      </c>
      <c r="B3">
        <v>2.06</v>
      </c>
      <c r="C3">
        <v>2.4099999999999899</v>
      </c>
      <c r="D3">
        <v>5.5799999999999903</v>
      </c>
      <c r="E3">
        <v>9.6</v>
      </c>
      <c r="F3">
        <v>5.1899999999999897</v>
      </c>
      <c r="G3">
        <v>1.58</v>
      </c>
      <c r="H3">
        <v>4.5</v>
      </c>
      <c r="I3">
        <v>2.83</v>
      </c>
      <c r="J3">
        <v>0</v>
      </c>
      <c r="K3">
        <v>4.51</v>
      </c>
      <c r="L3">
        <v>0</v>
      </c>
      <c r="M3">
        <v>0</v>
      </c>
      <c r="N3">
        <v>0</v>
      </c>
      <c r="O3">
        <f t="shared" ref="O3:O66" si="12">SUM(F3:G3)</f>
        <v>6.7699999999999898</v>
      </c>
      <c r="P3">
        <f t="shared" ref="P3:P66" si="13">SUM(H3:N3)</f>
        <v>11.84</v>
      </c>
      <c r="S3">
        <v>1894</v>
      </c>
      <c r="T3" s="23">
        <v>38.33</v>
      </c>
      <c r="U3" s="5">
        <f t="shared" ref="U3:U33" si="14">B3/$T3</f>
        <v>5.3743803809026873E-2</v>
      </c>
      <c r="V3" s="5">
        <f t="shared" si="0"/>
        <v>6.2875032611531184E-2</v>
      </c>
      <c r="W3" s="5">
        <f t="shared" si="1"/>
        <v>0.14557787633707253</v>
      </c>
      <c r="X3" s="5">
        <f t="shared" si="2"/>
        <v>0.25045656144012524</v>
      </c>
      <c r="Y3" s="5">
        <f t="shared" si="3"/>
        <v>0.13540307852856745</v>
      </c>
      <c r="Z3" s="5">
        <f t="shared" si="4"/>
        <v>4.1220975737020611E-2</v>
      </c>
      <c r="AA3" s="5">
        <f t="shared" si="5"/>
        <v>0.1174015131750587</v>
      </c>
      <c r="AB3" s="5">
        <f t="shared" si="6"/>
        <v>7.3832507174536918E-2</v>
      </c>
      <c r="AC3" s="5">
        <f t="shared" si="7"/>
        <v>0</v>
      </c>
      <c r="AD3" s="5">
        <f t="shared" si="8"/>
        <v>0.11766240542655883</v>
      </c>
      <c r="AE3" s="5">
        <f t="shared" si="9"/>
        <v>0</v>
      </c>
      <c r="AF3" s="5">
        <f t="shared" si="10"/>
        <v>0</v>
      </c>
      <c r="AG3" s="5">
        <f t="shared" si="11"/>
        <v>0</v>
      </c>
      <c r="AH3" s="6">
        <f t="shared" ref="AH3:AH66" si="15">SUM(Y3:Z3)</f>
        <v>0.17662405426558805</v>
      </c>
      <c r="AI3" s="6">
        <f t="shared" ref="AI3:AI66" si="16">SUM(AA3:AG3)</f>
        <v>0.30889642577615445</v>
      </c>
      <c r="AJ3" s="6"/>
      <c r="AK3" s="7" t="s">
        <v>0</v>
      </c>
      <c r="AL3" s="7" t="s">
        <v>18</v>
      </c>
    </row>
    <row r="4" spans="1:38" ht="18.75" x14ac:dyDescent="0.3">
      <c r="A4">
        <v>1895</v>
      </c>
      <c r="B4">
        <v>2.77</v>
      </c>
      <c r="C4">
        <v>4.07</v>
      </c>
      <c r="D4">
        <v>7.48</v>
      </c>
      <c r="E4">
        <v>12.36</v>
      </c>
      <c r="F4">
        <v>6.74</v>
      </c>
      <c r="G4">
        <v>3.1399999999999899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f t="shared" si="12"/>
        <v>9.8799999999999901</v>
      </c>
      <c r="P4">
        <f t="shared" si="13"/>
        <v>0</v>
      </c>
      <c r="S4">
        <v>1895</v>
      </c>
      <c r="T4" s="24">
        <v>36.590000000000003</v>
      </c>
      <c r="U4" s="5">
        <f t="shared" si="14"/>
        <v>7.5703744192402292E-2</v>
      </c>
      <c r="V4" s="5">
        <f t="shared" si="0"/>
        <v>0.11123257720688713</v>
      </c>
      <c r="W4" s="5">
        <f t="shared" si="1"/>
        <v>0.20442743919103579</v>
      </c>
      <c r="X4" s="5">
        <f t="shared" si="2"/>
        <v>0.33779721235310189</v>
      </c>
      <c r="Y4" s="5">
        <f t="shared" si="3"/>
        <v>0.18420333424432905</v>
      </c>
      <c r="Z4" s="5">
        <f t="shared" si="4"/>
        <v>8.5815796665755381E-2</v>
      </c>
      <c r="AA4" s="5">
        <f t="shared" si="5"/>
        <v>0</v>
      </c>
      <c r="AB4" s="5">
        <f t="shared" si="6"/>
        <v>0</v>
      </c>
      <c r="AC4" s="5">
        <f t="shared" si="7"/>
        <v>0</v>
      </c>
      <c r="AD4" s="5">
        <f t="shared" si="8"/>
        <v>0</v>
      </c>
      <c r="AE4" s="5">
        <f t="shared" si="9"/>
        <v>0</v>
      </c>
      <c r="AF4" s="5">
        <f t="shared" si="10"/>
        <v>0</v>
      </c>
      <c r="AG4" s="5">
        <f t="shared" si="11"/>
        <v>0</v>
      </c>
      <c r="AH4" s="6">
        <f t="shared" si="15"/>
        <v>0.27001913091008445</v>
      </c>
      <c r="AI4" s="6">
        <f t="shared" si="16"/>
        <v>0</v>
      </c>
      <c r="AJ4" s="6"/>
      <c r="AK4" s="7" t="s">
        <v>1</v>
      </c>
      <c r="AL4" s="7" t="s">
        <v>19</v>
      </c>
    </row>
    <row r="5" spans="1:38" ht="18.75" x14ac:dyDescent="0.3">
      <c r="A5">
        <v>1896</v>
      </c>
      <c r="B5">
        <v>1.42</v>
      </c>
      <c r="C5">
        <v>5.32</v>
      </c>
      <c r="D5">
        <v>8.8799999999999901</v>
      </c>
      <c r="E5">
        <v>12.81</v>
      </c>
      <c r="F5">
        <v>5.64</v>
      </c>
      <c r="G5">
        <v>3.37</v>
      </c>
      <c r="H5">
        <v>2.35</v>
      </c>
      <c r="I5">
        <v>0</v>
      </c>
      <c r="J5">
        <v>3.42</v>
      </c>
      <c r="K5">
        <v>0</v>
      </c>
      <c r="L5">
        <v>0</v>
      </c>
      <c r="M5">
        <v>0</v>
      </c>
      <c r="N5">
        <v>0</v>
      </c>
      <c r="O5">
        <f t="shared" si="12"/>
        <v>9.01</v>
      </c>
      <c r="P5">
        <f t="shared" si="13"/>
        <v>5.77</v>
      </c>
      <c r="S5">
        <v>1896</v>
      </c>
      <c r="T5" s="23">
        <v>43.37</v>
      </c>
      <c r="U5" s="5">
        <f t="shared" si="14"/>
        <v>3.2741526400737839E-2</v>
      </c>
      <c r="V5" s="5">
        <f t="shared" si="0"/>
        <v>0.12266543693797557</v>
      </c>
      <c r="W5" s="5">
        <f t="shared" si="1"/>
        <v>0.20474982706940259</v>
      </c>
      <c r="X5" s="5">
        <f t="shared" si="2"/>
        <v>0.29536545999538855</v>
      </c>
      <c r="Y5" s="5">
        <f t="shared" si="3"/>
        <v>0.13004380908462071</v>
      </c>
      <c r="Z5" s="5">
        <f t="shared" si="4"/>
        <v>7.77034816693567E-2</v>
      </c>
      <c r="AA5" s="5">
        <f t="shared" si="5"/>
        <v>5.41849204519253E-2</v>
      </c>
      <c r="AB5" s="5">
        <f t="shared" si="6"/>
        <v>0</v>
      </c>
      <c r="AC5" s="5">
        <f t="shared" si="7"/>
        <v>7.8856352317270006E-2</v>
      </c>
      <c r="AD5" s="5">
        <f t="shared" si="8"/>
        <v>0</v>
      </c>
      <c r="AE5" s="5">
        <f t="shared" si="9"/>
        <v>0</v>
      </c>
      <c r="AF5" s="5">
        <f t="shared" si="10"/>
        <v>0</v>
      </c>
      <c r="AG5" s="5">
        <f t="shared" si="11"/>
        <v>0</v>
      </c>
      <c r="AH5" s="6">
        <f t="shared" si="15"/>
        <v>0.20774729075397741</v>
      </c>
      <c r="AI5" s="6">
        <f t="shared" si="16"/>
        <v>0.13304127276919531</v>
      </c>
      <c r="AJ5" s="6"/>
      <c r="AK5" s="7" t="s">
        <v>2</v>
      </c>
      <c r="AL5" s="7" t="s">
        <v>20</v>
      </c>
    </row>
    <row r="6" spans="1:38" ht="18.75" x14ac:dyDescent="0.3">
      <c r="A6">
        <v>1897</v>
      </c>
      <c r="B6">
        <v>1.64</v>
      </c>
      <c r="C6">
        <v>4.8899999999999997</v>
      </c>
      <c r="D6">
        <v>7.7099999999999902</v>
      </c>
      <c r="E6">
        <v>16.43</v>
      </c>
      <c r="F6">
        <v>5.15</v>
      </c>
      <c r="G6">
        <v>5.03</v>
      </c>
      <c r="H6">
        <v>4.3899999999999997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f t="shared" si="12"/>
        <v>10.18</v>
      </c>
      <c r="P6">
        <f t="shared" si="13"/>
        <v>4.3899999999999997</v>
      </c>
      <c r="S6">
        <v>1897</v>
      </c>
      <c r="T6" s="24">
        <v>45.33</v>
      </c>
      <c r="U6" s="5">
        <f t="shared" si="14"/>
        <v>3.6179130818442533E-2</v>
      </c>
      <c r="V6" s="5">
        <f t="shared" si="0"/>
        <v>0.10787557908669755</v>
      </c>
      <c r="W6" s="5">
        <f t="shared" si="1"/>
        <v>0.17008603573792169</v>
      </c>
      <c r="X6" s="5">
        <f t="shared" si="2"/>
        <v>0.36245312155305537</v>
      </c>
      <c r="Y6" s="5">
        <f t="shared" si="3"/>
        <v>0.11361129494815797</v>
      </c>
      <c r="Z6" s="5">
        <f t="shared" si="4"/>
        <v>0.11096404147363778</v>
      </c>
      <c r="AA6" s="5">
        <f t="shared" si="5"/>
        <v>9.6845356276196781E-2</v>
      </c>
      <c r="AB6" s="5">
        <f t="shared" si="6"/>
        <v>0</v>
      </c>
      <c r="AC6" s="5">
        <f t="shared" si="7"/>
        <v>0</v>
      </c>
      <c r="AD6" s="5">
        <f t="shared" si="8"/>
        <v>0</v>
      </c>
      <c r="AE6" s="5">
        <f t="shared" si="9"/>
        <v>0</v>
      </c>
      <c r="AF6" s="5">
        <f t="shared" si="10"/>
        <v>0</v>
      </c>
      <c r="AG6" s="5">
        <f t="shared" si="11"/>
        <v>0</v>
      </c>
      <c r="AH6" s="6">
        <f t="shared" si="15"/>
        <v>0.22457533642179575</v>
      </c>
      <c r="AI6" s="6">
        <f t="shared" si="16"/>
        <v>9.6845356276196781E-2</v>
      </c>
      <c r="AJ6" s="6"/>
      <c r="AK6" s="7" t="s">
        <v>3</v>
      </c>
      <c r="AL6" s="7" t="s">
        <v>21</v>
      </c>
    </row>
    <row r="7" spans="1:38" ht="18.75" x14ac:dyDescent="0.3">
      <c r="A7">
        <v>1898</v>
      </c>
      <c r="B7">
        <v>1.97</v>
      </c>
      <c r="C7">
        <v>6.26</v>
      </c>
      <c r="D7">
        <v>13.24</v>
      </c>
      <c r="E7">
        <v>8.8799999999999901</v>
      </c>
      <c r="F7">
        <v>9.35</v>
      </c>
      <c r="G7">
        <v>9.9600000000000009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f t="shared" si="12"/>
        <v>19.310000000000002</v>
      </c>
      <c r="P7">
        <f t="shared" si="13"/>
        <v>0</v>
      </c>
      <c r="S7">
        <v>1898</v>
      </c>
      <c r="T7" s="23">
        <v>49.84</v>
      </c>
      <c r="U7" s="5">
        <f t="shared" si="14"/>
        <v>3.952648475120385E-2</v>
      </c>
      <c r="V7" s="5">
        <f t="shared" si="0"/>
        <v>0.1256019261637239</v>
      </c>
      <c r="W7" s="5">
        <f t="shared" si="1"/>
        <v>0.2656500802568218</v>
      </c>
      <c r="X7" s="5">
        <f t="shared" si="2"/>
        <v>0.17817014446227908</v>
      </c>
      <c r="Y7" s="5">
        <f t="shared" si="3"/>
        <v>0.1876003210272873</v>
      </c>
      <c r="Z7" s="5">
        <f t="shared" si="4"/>
        <v>0.1998394863563403</v>
      </c>
      <c r="AA7" s="5">
        <f t="shared" si="5"/>
        <v>0</v>
      </c>
      <c r="AB7" s="5">
        <f t="shared" si="6"/>
        <v>0</v>
      </c>
      <c r="AC7" s="5">
        <f t="shared" si="7"/>
        <v>0</v>
      </c>
      <c r="AD7" s="5">
        <f t="shared" si="8"/>
        <v>0</v>
      </c>
      <c r="AE7" s="5">
        <f t="shared" si="9"/>
        <v>0</v>
      </c>
      <c r="AF7" s="5">
        <f t="shared" si="10"/>
        <v>0</v>
      </c>
      <c r="AG7" s="5">
        <f t="shared" si="11"/>
        <v>0</v>
      </c>
      <c r="AH7" s="6">
        <f t="shared" si="15"/>
        <v>0.3874398073836276</v>
      </c>
      <c r="AI7" s="6">
        <f t="shared" si="16"/>
        <v>0</v>
      </c>
      <c r="AJ7" s="6"/>
      <c r="AK7" s="7" t="s">
        <v>4</v>
      </c>
      <c r="AL7" s="7" t="s">
        <v>22</v>
      </c>
    </row>
    <row r="8" spans="1:38" ht="18.75" x14ac:dyDescent="0.3">
      <c r="A8">
        <v>1899</v>
      </c>
      <c r="B8">
        <v>1.0900000000000001</v>
      </c>
      <c r="C8">
        <v>2.8499999999999899</v>
      </c>
      <c r="D8">
        <v>10.7699999999999</v>
      </c>
      <c r="E8">
        <v>14.15</v>
      </c>
      <c r="F8">
        <v>10.16</v>
      </c>
      <c r="G8">
        <v>3.24</v>
      </c>
      <c r="H8">
        <v>2.23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f t="shared" si="12"/>
        <v>13.4</v>
      </c>
      <c r="P8">
        <f t="shared" si="13"/>
        <v>2.23</v>
      </c>
      <c r="S8">
        <v>1899</v>
      </c>
      <c r="T8" s="24">
        <v>44.6</v>
      </c>
      <c r="U8" s="5">
        <f t="shared" si="14"/>
        <v>2.4439461883408072E-2</v>
      </c>
      <c r="V8" s="5">
        <f t="shared" si="0"/>
        <v>6.3901345291479589E-2</v>
      </c>
      <c r="W8" s="5">
        <f t="shared" si="1"/>
        <v>0.24147982062780043</v>
      </c>
      <c r="X8" s="5">
        <f t="shared" si="2"/>
        <v>0.31726457399103136</v>
      </c>
      <c r="Y8" s="5">
        <f t="shared" si="3"/>
        <v>0.22780269058295963</v>
      </c>
      <c r="Z8" s="5">
        <f t="shared" si="4"/>
        <v>7.2645739910313908E-2</v>
      </c>
      <c r="AA8" s="5">
        <f t="shared" si="5"/>
        <v>4.9999999999999996E-2</v>
      </c>
      <c r="AB8" s="5">
        <f t="shared" si="6"/>
        <v>0</v>
      </c>
      <c r="AC8" s="5">
        <f t="shared" si="7"/>
        <v>0</v>
      </c>
      <c r="AD8" s="5">
        <f t="shared" si="8"/>
        <v>0</v>
      </c>
      <c r="AE8" s="5">
        <f t="shared" si="9"/>
        <v>0</v>
      </c>
      <c r="AF8" s="5">
        <f t="shared" si="10"/>
        <v>0</v>
      </c>
      <c r="AG8" s="5">
        <f t="shared" si="11"/>
        <v>0</v>
      </c>
      <c r="AH8" s="6">
        <f t="shared" si="15"/>
        <v>0.30044843049327352</v>
      </c>
      <c r="AI8" s="6">
        <f t="shared" si="16"/>
        <v>4.9999999999999996E-2</v>
      </c>
      <c r="AJ8" s="6"/>
      <c r="AK8" s="7" t="s">
        <v>23</v>
      </c>
      <c r="AL8" s="7" t="s">
        <v>37</v>
      </c>
    </row>
    <row r="9" spans="1:38" ht="18.75" x14ac:dyDescent="0.3">
      <c r="A9">
        <v>1905</v>
      </c>
      <c r="B9">
        <v>2.13</v>
      </c>
      <c r="C9">
        <v>5.1499999999999897</v>
      </c>
      <c r="D9">
        <v>4.9000000000000004</v>
      </c>
      <c r="E9">
        <v>7.92</v>
      </c>
      <c r="F9">
        <v>10.81</v>
      </c>
      <c r="G9">
        <v>1.7</v>
      </c>
      <c r="H9">
        <v>2.2400000000000002</v>
      </c>
      <c r="I9">
        <v>3</v>
      </c>
      <c r="J9">
        <v>0</v>
      </c>
      <c r="K9">
        <v>0</v>
      </c>
      <c r="L9">
        <v>0</v>
      </c>
      <c r="M9">
        <v>0</v>
      </c>
      <c r="N9">
        <v>0</v>
      </c>
      <c r="O9">
        <f t="shared" si="12"/>
        <v>12.51</v>
      </c>
      <c r="P9">
        <f t="shared" si="13"/>
        <v>5.24</v>
      </c>
      <c r="S9">
        <v>1905</v>
      </c>
      <c r="T9" s="24">
        <v>37.909999999999997</v>
      </c>
      <c r="U9" s="5">
        <f t="shared" si="14"/>
        <v>5.6185702980743872E-2</v>
      </c>
      <c r="V9" s="5">
        <f t="shared" si="0"/>
        <v>0.13584806119757295</v>
      </c>
      <c r="W9" s="5">
        <f t="shared" si="1"/>
        <v>0.12925349512002113</v>
      </c>
      <c r="X9" s="5">
        <f t="shared" si="2"/>
        <v>0.20891585333685045</v>
      </c>
      <c r="Y9" s="5">
        <f t="shared" si="3"/>
        <v>0.28514903719335272</v>
      </c>
      <c r="Z9" s="5">
        <f t="shared" si="4"/>
        <v>4.4843049327354265E-2</v>
      </c>
      <c r="AA9" s="5">
        <f t="shared" si="5"/>
        <v>5.9087312054866802E-2</v>
      </c>
      <c r="AB9" s="5">
        <f t="shared" si="6"/>
        <v>7.913479293062517E-2</v>
      </c>
      <c r="AC9" s="5">
        <f t="shared" si="7"/>
        <v>0</v>
      </c>
      <c r="AD9" s="5">
        <f t="shared" si="8"/>
        <v>0</v>
      </c>
      <c r="AE9" s="5">
        <f t="shared" si="9"/>
        <v>0</v>
      </c>
      <c r="AF9" s="5">
        <f t="shared" si="10"/>
        <v>0</v>
      </c>
      <c r="AG9" s="5">
        <f t="shared" si="11"/>
        <v>0</v>
      </c>
      <c r="AH9" s="6">
        <f t="shared" si="15"/>
        <v>0.329992086520707</v>
      </c>
      <c r="AI9" s="6">
        <f t="shared" si="16"/>
        <v>0.13822210498549198</v>
      </c>
      <c r="AJ9" s="6"/>
      <c r="AK9" s="7" t="s">
        <v>25</v>
      </c>
      <c r="AL9" s="7" t="s">
        <v>38</v>
      </c>
    </row>
    <row r="10" spans="1:38" x14ac:dyDescent="0.25">
      <c r="A10">
        <v>1906</v>
      </c>
      <c r="B10">
        <v>1.54</v>
      </c>
      <c r="C10">
        <v>3.85</v>
      </c>
      <c r="D10">
        <v>8.3399999999999892</v>
      </c>
      <c r="E10">
        <v>17.64</v>
      </c>
      <c r="F10">
        <v>7.46</v>
      </c>
      <c r="G10">
        <v>4.76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f t="shared" si="12"/>
        <v>12.219999999999999</v>
      </c>
      <c r="P10">
        <f t="shared" si="13"/>
        <v>0</v>
      </c>
      <c r="S10">
        <v>1906</v>
      </c>
      <c r="T10" s="23">
        <v>43.65</v>
      </c>
      <c r="U10" s="5">
        <f t="shared" si="14"/>
        <v>3.5280641466208476E-2</v>
      </c>
      <c r="V10" s="5">
        <f t="shared" si="0"/>
        <v>8.8201603665521197E-2</v>
      </c>
      <c r="W10" s="5">
        <f t="shared" si="1"/>
        <v>0.1910652920962197</v>
      </c>
      <c r="X10" s="5">
        <f t="shared" si="2"/>
        <v>0.40412371134020619</v>
      </c>
      <c r="Y10" s="5">
        <f t="shared" si="3"/>
        <v>0.17090492554410081</v>
      </c>
      <c r="Z10" s="5">
        <f t="shared" si="4"/>
        <v>0.10904925544100802</v>
      </c>
      <c r="AA10" s="5">
        <f t="shared" si="5"/>
        <v>0</v>
      </c>
      <c r="AB10" s="5">
        <f t="shared" si="6"/>
        <v>0</v>
      </c>
      <c r="AC10" s="5">
        <f t="shared" si="7"/>
        <v>0</v>
      </c>
      <c r="AD10" s="5">
        <f t="shared" si="8"/>
        <v>0</v>
      </c>
      <c r="AE10" s="5">
        <f t="shared" si="9"/>
        <v>0</v>
      </c>
      <c r="AF10" s="5">
        <f t="shared" si="10"/>
        <v>0</v>
      </c>
      <c r="AG10" s="5">
        <f t="shared" si="11"/>
        <v>0</v>
      </c>
      <c r="AH10" s="6">
        <f t="shared" si="15"/>
        <v>0.27995418098510882</v>
      </c>
      <c r="AI10" s="6">
        <f t="shared" si="16"/>
        <v>0</v>
      </c>
      <c r="AJ10" s="6"/>
    </row>
    <row r="11" spans="1:38" x14ac:dyDescent="0.25">
      <c r="A11">
        <v>1907</v>
      </c>
      <c r="B11">
        <v>2.4</v>
      </c>
      <c r="C11">
        <v>4.7699999999999996</v>
      </c>
      <c r="D11">
        <v>5.96</v>
      </c>
      <c r="E11">
        <v>11.969999999999899</v>
      </c>
      <c r="F11">
        <v>10.39</v>
      </c>
      <c r="G11">
        <v>5.38</v>
      </c>
      <c r="H11">
        <v>4.66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f t="shared" si="12"/>
        <v>15.77</v>
      </c>
      <c r="P11">
        <f t="shared" si="13"/>
        <v>4.66</v>
      </c>
      <c r="S11">
        <v>1907</v>
      </c>
      <c r="T11" s="24">
        <v>45.56</v>
      </c>
      <c r="U11" s="5">
        <f t="shared" si="14"/>
        <v>5.2677787532923612E-2</v>
      </c>
      <c r="V11" s="5">
        <f t="shared" si="0"/>
        <v>0.10469710272168567</v>
      </c>
      <c r="W11" s="5">
        <f t="shared" si="1"/>
        <v>0.13081650570676032</v>
      </c>
      <c r="X11" s="5">
        <f t="shared" si="2"/>
        <v>0.2627304653204543</v>
      </c>
      <c r="Y11" s="5">
        <f t="shared" si="3"/>
        <v>0.22805092186128181</v>
      </c>
      <c r="Z11" s="5">
        <f t="shared" si="4"/>
        <v>0.11808604038630377</v>
      </c>
      <c r="AA11" s="5">
        <f t="shared" si="5"/>
        <v>0.10228270412642669</v>
      </c>
      <c r="AB11" s="5">
        <f t="shared" si="6"/>
        <v>0</v>
      </c>
      <c r="AC11" s="5">
        <f t="shared" si="7"/>
        <v>0</v>
      </c>
      <c r="AD11" s="5">
        <f t="shared" si="8"/>
        <v>0</v>
      </c>
      <c r="AE11" s="5">
        <f t="shared" si="9"/>
        <v>0</v>
      </c>
      <c r="AF11" s="5">
        <f t="shared" si="10"/>
        <v>0</v>
      </c>
      <c r="AG11" s="5">
        <f t="shared" si="11"/>
        <v>0</v>
      </c>
      <c r="AH11" s="6">
        <f t="shared" si="15"/>
        <v>0.34613696224758561</v>
      </c>
      <c r="AI11" s="6">
        <f t="shared" si="16"/>
        <v>0.10228270412642669</v>
      </c>
      <c r="AJ11" s="6"/>
    </row>
    <row r="12" spans="1:38" x14ac:dyDescent="0.25">
      <c r="A12">
        <v>1908</v>
      </c>
      <c r="B12">
        <v>1.17</v>
      </c>
      <c r="C12">
        <v>3.46999999999999</v>
      </c>
      <c r="D12">
        <v>5.16</v>
      </c>
      <c r="E12">
        <v>12.62</v>
      </c>
      <c r="F12">
        <v>6.2299999999999898</v>
      </c>
      <c r="G12">
        <v>6.21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f t="shared" si="12"/>
        <v>12.439999999999991</v>
      </c>
      <c r="P12">
        <f t="shared" si="13"/>
        <v>0</v>
      </c>
      <c r="S12">
        <v>1908</v>
      </c>
      <c r="T12" s="23">
        <v>34.94</v>
      </c>
      <c r="U12" s="5">
        <f t="shared" si="14"/>
        <v>3.3485975958786489E-2</v>
      </c>
      <c r="V12" s="5">
        <f t="shared" si="0"/>
        <v>9.9313108185460505E-2</v>
      </c>
      <c r="W12" s="5">
        <f t="shared" si="1"/>
        <v>0.14768174012593019</v>
      </c>
      <c r="X12" s="5">
        <f t="shared" si="2"/>
        <v>0.36119061247853462</v>
      </c>
      <c r="Y12" s="5">
        <f t="shared" si="3"/>
        <v>0.17830566685746968</v>
      </c>
      <c r="Z12" s="5">
        <f t="shared" si="4"/>
        <v>0.17773325701202061</v>
      </c>
      <c r="AA12" s="5">
        <f t="shared" si="5"/>
        <v>0</v>
      </c>
      <c r="AB12" s="5">
        <f t="shared" si="6"/>
        <v>0</v>
      </c>
      <c r="AC12" s="5">
        <f t="shared" si="7"/>
        <v>0</v>
      </c>
      <c r="AD12" s="5">
        <f t="shared" si="8"/>
        <v>0</v>
      </c>
      <c r="AE12" s="5">
        <f t="shared" si="9"/>
        <v>0</v>
      </c>
      <c r="AF12" s="5">
        <f t="shared" si="10"/>
        <v>0</v>
      </c>
      <c r="AG12" s="5">
        <f t="shared" si="11"/>
        <v>0</v>
      </c>
      <c r="AH12" s="6">
        <f t="shared" si="15"/>
        <v>0.35603892386949032</v>
      </c>
      <c r="AI12" s="6">
        <f t="shared" si="16"/>
        <v>0</v>
      </c>
      <c r="AJ12" s="6"/>
    </row>
    <row r="13" spans="1:38" x14ac:dyDescent="0.25">
      <c r="A13">
        <v>1909</v>
      </c>
      <c r="B13">
        <v>1.59</v>
      </c>
      <c r="C13">
        <v>4.4099999999999904</v>
      </c>
      <c r="D13">
        <v>9.4799999999999898</v>
      </c>
      <c r="E13">
        <v>8.6199999999999992</v>
      </c>
      <c r="F13">
        <v>9.6299999999999901</v>
      </c>
      <c r="G13">
        <v>6.39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f t="shared" si="12"/>
        <v>16.019999999999989</v>
      </c>
      <c r="P13">
        <f t="shared" si="13"/>
        <v>0</v>
      </c>
      <c r="S13">
        <v>1909</v>
      </c>
      <c r="T13" s="24">
        <v>40.15</v>
      </c>
      <c r="U13" s="5">
        <f t="shared" si="14"/>
        <v>3.9601494396014944E-2</v>
      </c>
      <c r="V13" s="5">
        <f t="shared" si="0"/>
        <v>0.10983810709838084</v>
      </c>
      <c r="W13" s="5">
        <f t="shared" si="1"/>
        <v>0.23611457036114547</v>
      </c>
      <c r="X13" s="5">
        <f t="shared" si="2"/>
        <v>0.21469489414694892</v>
      </c>
      <c r="Y13" s="5">
        <f t="shared" si="3"/>
        <v>0.23985056039850536</v>
      </c>
      <c r="Z13" s="5">
        <f t="shared" si="4"/>
        <v>0.15915317559153175</v>
      </c>
      <c r="AA13" s="5">
        <f t="shared" si="5"/>
        <v>0</v>
      </c>
      <c r="AB13" s="5">
        <f t="shared" si="6"/>
        <v>0</v>
      </c>
      <c r="AC13" s="5">
        <f t="shared" si="7"/>
        <v>0</v>
      </c>
      <c r="AD13" s="5">
        <f t="shared" si="8"/>
        <v>0</v>
      </c>
      <c r="AE13" s="5">
        <f t="shared" si="9"/>
        <v>0</v>
      </c>
      <c r="AF13" s="5">
        <f t="shared" si="10"/>
        <v>0</v>
      </c>
      <c r="AG13" s="5">
        <f t="shared" si="11"/>
        <v>0</v>
      </c>
      <c r="AH13" s="6">
        <f t="shared" si="15"/>
        <v>0.39900373599003713</v>
      </c>
      <c r="AI13" s="6">
        <f t="shared" si="16"/>
        <v>0</v>
      </c>
      <c r="AJ13" s="6"/>
    </row>
    <row r="14" spans="1:38" x14ac:dyDescent="0.25">
      <c r="A14">
        <v>1910</v>
      </c>
      <c r="B14">
        <v>0.97</v>
      </c>
      <c r="C14">
        <v>4.6399999999999997</v>
      </c>
      <c r="D14">
        <v>8.66</v>
      </c>
      <c r="E14">
        <v>12.0299999999999</v>
      </c>
      <c r="F14">
        <v>3.75</v>
      </c>
      <c r="G14">
        <v>1.79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f t="shared" si="12"/>
        <v>5.54</v>
      </c>
      <c r="P14">
        <f t="shared" si="13"/>
        <v>0</v>
      </c>
      <c r="S14">
        <v>1910</v>
      </c>
      <c r="T14" s="23">
        <v>31.9</v>
      </c>
      <c r="U14" s="5">
        <f t="shared" si="14"/>
        <v>3.0407523510971788E-2</v>
      </c>
      <c r="V14" s="5">
        <f t="shared" si="0"/>
        <v>0.14545454545454545</v>
      </c>
      <c r="W14" s="5">
        <f t="shared" si="1"/>
        <v>0.27147335423197494</v>
      </c>
      <c r="X14" s="5">
        <f t="shared" si="2"/>
        <v>0.37711598746081193</v>
      </c>
      <c r="Y14" s="5">
        <f t="shared" si="3"/>
        <v>0.11755485893416928</v>
      </c>
      <c r="Z14" s="5">
        <f t="shared" si="4"/>
        <v>5.6112852664576808E-2</v>
      </c>
      <c r="AA14" s="5">
        <f t="shared" si="5"/>
        <v>0</v>
      </c>
      <c r="AB14" s="5">
        <f t="shared" si="6"/>
        <v>0</v>
      </c>
      <c r="AC14" s="5">
        <f t="shared" si="7"/>
        <v>0</v>
      </c>
      <c r="AD14" s="5">
        <f t="shared" si="8"/>
        <v>0</v>
      </c>
      <c r="AE14" s="5">
        <f t="shared" si="9"/>
        <v>0</v>
      </c>
      <c r="AF14" s="5">
        <f t="shared" si="10"/>
        <v>0</v>
      </c>
      <c r="AG14" s="5">
        <f t="shared" si="11"/>
        <v>0</v>
      </c>
      <c r="AH14" s="6">
        <f t="shared" si="15"/>
        <v>0.17366771159874608</v>
      </c>
      <c r="AI14" s="6">
        <f t="shared" si="16"/>
        <v>0</v>
      </c>
      <c r="AJ14" s="6"/>
    </row>
    <row r="15" spans="1:38" x14ac:dyDescent="0.25">
      <c r="A15">
        <v>1911</v>
      </c>
      <c r="B15">
        <v>1.82</v>
      </c>
      <c r="C15">
        <v>5.37</v>
      </c>
      <c r="D15">
        <v>10.069999999999901</v>
      </c>
      <c r="E15">
        <v>14.56</v>
      </c>
      <c r="F15">
        <v>6.24</v>
      </c>
      <c r="G15">
        <v>3.18</v>
      </c>
      <c r="H15">
        <v>0</v>
      </c>
      <c r="I15">
        <v>0</v>
      </c>
      <c r="J15">
        <v>3.16</v>
      </c>
      <c r="K15">
        <v>0</v>
      </c>
      <c r="L15">
        <v>0</v>
      </c>
      <c r="M15">
        <v>0</v>
      </c>
      <c r="N15">
        <v>0</v>
      </c>
      <c r="O15">
        <f t="shared" si="12"/>
        <v>9.42</v>
      </c>
      <c r="P15">
        <f t="shared" si="13"/>
        <v>3.16</v>
      </c>
      <c r="S15">
        <v>1911</v>
      </c>
      <c r="T15" s="24">
        <v>44.65</v>
      </c>
      <c r="U15" s="5">
        <f t="shared" si="14"/>
        <v>4.076147816349384E-2</v>
      </c>
      <c r="V15" s="5">
        <f t="shared" si="0"/>
        <v>0.12026875699888019</v>
      </c>
      <c r="W15" s="5">
        <f t="shared" si="1"/>
        <v>0.22553191489361479</v>
      </c>
      <c r="X15" s="5">
        <f t="shared" si="2"/>
        <v>0.32609182530795072</v>
      </c>
      <c r="Y15" s="5">
        <f t="shared" si="3"/>
        <v>0.13975363941769317</v>
      </c>
      <c r="Z15" s="5">
        <f t="shared" si="4"/>
        <v>7.1220604703247481E-2</v>
      </c>
      <c r="AA15" s="5">
        <f t="shared" si="5"/>
        <v>0</v>
      </c>
      <c r="AB15" s="5">
        <f t="shared" si="6"/>
        <v>0</v>
      </c>
      <c r="AC15" s="5">
        <f t="shared" si="7"/>
        <v>7.0772676371780516E-2</v>
      </c>
      <c r="AD15" s="5">
        <f t="shared" si="8"/>
        <v>0</v>
      </c>
      <c r="AE15" s="5">
        <f t="shared" si="9"/>
        <v>0</v>
      </c>
      <c r="AF15" s="5">
        <f t="shared" si="10"/>
        <v>0</v>
      </c>
      <c r="AG15" s="5">
        <f t="shared" si="11"/>
        <v>0</v>
      </c>
      <c r="AH15" s="6">
        <f t="shared" si="15"/>
        <v>0.21097424412094065</v>
      </c>
      <c r="AI15" s="6">
        <f t="shared" si="16"/>
        <v>7.0772676371780516E-2</v>
      </c>
      <c r="AJ15" s="6"/>
    </row>
    <row r="16" spans="1:38" x14ac:dyDescent="0.25">
      <c r="A16">
        <v>1912</v>
      </c>
      <c r="B16">
        <v>1.91</v>
      </c>
      <c r="C16">
        <v>3.95</v>
      </c>
      <c r="D16">
        <v>7.31</v>
      </c>
      <c r="E16">
        <v>14.02</v>
      </c>
      <c r="F16">
        <v>9.1300000000000008</v>
      </c>
      <c r="G16">
        <v>5.33</v>
      </c>
      <c r="H16">
        <v>2.0099999999999998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f t="shared" si="12"/>
        <v>14.46</v>
      </c>
      <c r="P16">
        <f t="shared" si="13"/>
        <v>2.0099999999999998</v>
      </c>
      <c r="S16">
        <v>1912</v>
      </c>
      <c r="T16" s="23">
        <v>43.85</v>
      </c>
      <c r="U16" s="5">
        <f t="shared" si="14"/>
        <v>4.3557582668186996E-2</v>
      </c>
      <c r="V16" s="5">
        <f t="shared" si="0"/>
        <v>9.0079817559863176E-2</v>
      </c>
      <c r="W16" s="5">
        <f t="shared" si="1"/>
        <v>0.16670467502850625</v>
      </c>
      <c r="X16" s="5">
        <f t="shared" si="2"/>
        <v>0.31972633979475484</v>
      </c>
      <c r="Y16" s="5">
        <f t="shared" si="3"/>
        <v>0.20820980615735463</v>
      </c>
      <c r="Z16" s="5">
        <f t="shared" si="4"/>
        <v>0.12155074116305586</v>
      </c>
      <c r="AA16" s="5">
        <f t="shared" si="5"/>
        <v>4.5838084378563279E-2</v>
      </c>
      <c r="AB16" s="5">
        <f t="shared" si="6"/>
        <v>0</v>
      </c>
      <c r="AC16" s="5">
        <f t="shared" si="7"/>
        <v>0</v>
      </c>
      <c r="AD16" s="5">
        <f t="shared" si="8"/>
        <v>0</v>
      </c>
      <c r="AE16" s="5">
        <f t="shared" si="9"/>
        <v>0</v>
      </c>
      <c r="AF16" s="5">
        <f t="shared" si="10"/>
        <v>0</v>
      </c>
      <c r="AG16" s="5">
        <f t="shared" si="11"/>
        <v>0</v>
      </c>
      <c r="AH16" s="6">
        <f t="shared" si="15"/>
        <v>0.32976054732041049</v>
      </c>
      <c r="AI16" s="6">
        <f t="shared" si="16"/>
        <v>4.5838084378563279E-2</v>
      </c>
      <c r="AJ16" s="6"/>
    </row>
    <row r="17" spans="1:38" x14ac:dyDescent="0.25">
      <c r="A17">
        <v>1913</v>
      </c>
      <c r="B17">
        <v>1.29</v>
      </c>
      <c r="C17">
        <v>3.78</v>
      </c>
      <c r="D17">
        <v>8.16</v>
      </c>
      <c r="E17">
        <v>12.44</v>
      </c>
      <c r="F17">
        <v>10.28</v>
      </c>
      <c r="G17">
        <v>3.71999999999999</v>
      </c>
      <c r="H17">
        <v>2.2000000000000002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f t="shared" si="12"/>
        <v>13.999999999999989</v>
      </c>
      <c r="P17">
        <f t="shared" si="13"/>
        <v>2.2000000000000002</v>
      </c>
      <c r="S17">
        <v>1913</v>
      </c>
      <c r="T17" s="24">
        <v>41.95</v>
      </c>
      <c r="U17" s="5">
        <f t="shared" si="14"/>
        <v>3.0750893921334923E-2</v>
      </c>
      <c r="V17" s="5">
        <f t="shared" si="0"/>
        <v>9.0107270560190689E-2</v>
      </c>
      <c r="W17" s="5">
        <f t="shared" si="1"/>
        <v>0.19451728247914182</v>
      </c>
      <c r="X17" s="5">
        <f t="shared" si="2"/>
        <v>0.29654350417163289</v>
      </c>
      <c r="Y17" s="5">
        <f t="shared" si="3"/>
        <v>0.24505363528009533</v>
      </c>
      <c r="Z17" s="5">
        <f t="shared" si="4"/>
        <v>8.8676996424314411E-2</v>
      </c>
      <c r="AA17" s="5">
        <f t="shared" si="5"/>
        <v>5.2443384982121574E-2</v>
      </c>
      <c r="AB17" s="5">
        <f t="shared" si="6"/>
        <v>0</v>
      </c>
      <c r="AC17" s="5">
        <f t="shared" si="7"/>
        <v>0</v>
      </c>
      <c r="AD17" s="5">
        <f t="shared" si="8"/>
        <v>0</v>
      </c>
      <c r="AE17" s="5">
        <f t="shared" si="9"/>
        <v>0</v>
      </c>
      <c r="AF17" s="5">
        <f t="shared" si="10"/>
        <v>0</v>
      </c>
      <c r="AG17" s="5">
        <f t="shared" si="11"/>
        <v>0</v>
      </c>
      <c r="AH17" s="6">
        <f t="shared" si="15"/>
        <v>0.33373063170440975</v>
      </c>
      <c r="AI17" s="6">
        <f t="shared" si="16"/>
        <v>5.2443384982121574E-2</v>
      </c>
      <c r="AJ17" s="6"/>
    </row>
    <row r="18" spans="1:38" x14ac:dyDescent="0.25">
      <c r="A18">
        <v>1914</v>
      </c>
      <c r="B18">
        <v>1.08</v>
      </c>
      <c r="C18">
        <v>4.82</v>
      </c>
      <c r="D18">
        <v>9.21999999999999</v>
      </c>
      <c r="E18">
        <v>10.71</v>
      </c>
      <c r="F18">
        <v>5.66</v>
      </c>
      <c r="G18">
        <v>4.9400000000000004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f t="shared" si="12"/>
        <v>10.600000000000001</v>
      </c>
      <c r="P18">
        <f t="shared" si="13"/>
        <v>0</v>
      </c>
      <c r="S18">
        <v>1914</v>
      </c>
      <c r="T18" s="23">
        <v>36.49</v>
      </c>
      <c r="U18" s="5">
        <f t="shared" si="14"/>
        <v>2.9597149904083311E-2</v>
      </c>
      <c r="V18" s="5">
        <f t="shared" si="0"/>
        <v>0.13209098383118661</v>
      </c>
      <c r="W18" s="5">
        <f t="shared" si="1"/>
        <v>0.25267196492189614</v>
      </c>
      <c r="X18" s="5">
        <f t="shared" si="2"/>
        <v>0.29350506988215952</v>
      </c>
      <c r="Y18" s="5">
        <f t="shared" si="3"/>
        <v>0.15511098931214032</v>
      </c>
      <c r="Z18" s="5">
        <f t="shared" si="4"/>
        <v>0.13537955604275145</v>
      </c>
      <c r="AA18" s="5">
        <f t="shared" si="5"/>
        <v>0</v>
      </c>
      <c r="AB18" s="5">
        <f t="shared" si="6"/>
        <v>0</v>
      </c>
      <c r="AC18" s="5">
        <f t="shared" si="7"/>
        <v>0</v>
      </c>
      <c r="AD18" s="5">
        <f t="shared" si="8"/>
        <v>0</v>
      </c>
      <c r="AE18" s="5">
        <f t="shared" si="9"/>
        <v>0</v>
      </c>
      <c r="AF18" s="5">
        <f t="shared" si="10"/>
        <v>0</v>
      </c>
      <c r="AG18" s="5">
        <f t="shared" si="11"/>
        <v>0</v>
      </c>
      <c r="AH18" s="6">
        <f t="shared" si="15"/>
        <v>0.29049054535489177</v>
      </c>
      <c r="AI18" s="6">
        <f t="shared" si="16"/>
        <v>0</v>
      </c>
      <c r="AJ18" s="6"/>
    </row>
    <row r="19" spans="1:38" x14ac:dyDescent="0.25">
      <c r="A19">
        <v>1915</v>
      </c>
      <c r="B19">
        <v>0.88</v>
      </c>
      <c r="C19">
        <v>4.6399999999999997</v>
      </c>
      <c r="D19">
        <v>6.69</v>
      </c>
      <c r="E19">
        <v>13.739999999999901</v>
      </c>
      <c r="F19">
        <v>7.53</v>
      </c>
      <c r="G19">
        <v>5.2399999999999904</v>
      </c>
      <c r="H19">
        <v>2.2999999999999998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f t="shared" si="12"/>
        <v>12.769999999999991</v>
      </c>
      <c r="P19">
        <f t="shared" si="13"/>
        <v>2.2999999999999998</v>
      </c>
      <c r="S19">
        <v>1915</v>
      </c>
      <c r="T19" s="24">
        <v>41.1</v>
      </c>
      <c r="U19" s="5">
        <f t="shared" si="14"/>
        <v>2.1411192214111922E-2</v>
      </c>
      <c r="V19" s="5">
        <f t="shared" si="0"/>
        <v>0.11289537712895376</v>
      </c>
      <c r="W19" s="5">
        <f t="shared" si="1"/>
        <v>0.16277372262773723</v>
      </c>
      <c r="X19" s="5">
        <f t="shared" si="2"/>
        <v>0.33430656934306324</v>
      </c>
      <c r="Y19" s="5">
        <f t="shared" si="3"/>
        <v>0.18321167883211678</v>
      </c>
      <c r="Z19" s="5">
        <f t="shared" si="4"/>
        <v>0.12749391727493894</v>
      </c>
      <c r="AA19" s="5">
        <f t="shared" si="5"/>
        <v>5.59610705596107E-2</v>
      </c>
      <c r="AB19" s="5">
        <f t="shared" si="6"/>
        <v>0</v>
      </c>
      <c r="AC19" s="5">
        <f t="shared" si="7"/>
        <v>0</v>
      </c>
      <c r="AD19" s="5">
        <f t="shared" si="8"/>
        <v>0</v>
      </c>
      <c r="AE19" s="5">
        <f t="shared" si="9"/>
        <v>0</v>
      </c>
      <c r="AF19" s="5">
        <f t="shared" si="10"/>
        <v>0</v>
      </c>
      <c r="AG19" s="5">
        <f t="shared" si="11"/>
        <v>0</v>
      </c>
      <c r="AH19" s="6">
        <f t="shared" si="15"/>
        <v>0.31070559610705573</v>
      </c>
      <c r="AI19" s="6">
        <f t="shared" si="16"/>
        <v>5.59610705596107E-2</v>
      </c>
      <c r="AJ19" s="6"/>
    </row>
    <row r="20" spans="1:38" x14ac:dyDescent="0.25">
      <c r="A20">
        <v>1916</v>
      </c>
      <c r="B20">
        <v>0.94</v>
      </c>
      <c r="C20">
        <v>2.61</v>
      </c>
      <c r="D20">
        <v>4.7699999999999996</v>
      </c>
      <c r="E20">
        <v>11.86</v>
      </c>
      <c r="F20">
        <v>2.14</v>
      </c>
      <c r="G20">
        <v>1.62</v>
      </c>
      <c r="H20">
        <v>2.4700000000000002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f t="shared" si="12"/>
        <v>3.7600000000000002</v>
      </c>
      <c r="P20">
        <f t="shared" si="13"/>
        <v>2.4700000000000002</v>
      </c>
      <c r="S20">
        <v>1916</v>
      </c>
      <c r="T20" s="23">
        <v>26.47</v>
      </c>
      <c r="U20" s="5">
        <f t="shared" si="14"/>
        <v>3.5511900264450322E-2</v>
      </c>
      <c r="V20" s="5">
        <f t="shared" si="0"/>
        <v>9.8602191159803551E-2</v>
      </c>
      <c r="W20" s="5">
        <f t="shared" si="1"/>
        <v>0.18020400453343408</v>
      </c>
      <c r="X20" s="5">
        <f t="shared" si="2"/>
        <v>0.44805440120891576</v>
      </c>
      <c r="Y20" s="5">
        <f t="shared" si="3"/>
        <v>8.0846241027578397E-2</v>
      </c>
      <c r="Z20" s="5">
        <f t="shared" si="4"/>
        <v>6.1201360030222904E-2</v>
      </c>
      <c r="AA20" s="5">
        <f t="shared" si="5"/>
        <v>9.3313184737438618E-2</v>
      </c>
      <c r="AB20" s="5">
        <f t="shared" si="6"/>
        <v>0</v>
      </c>
      <c r="AC20" s="5">
        <f t="shared" si="7"/>
        <v>0</v>
      </c>
      <c r="AD20" s="5">
        <f t="shared" si="8"/>
        <v>0</v>
      </c>
      <c r="AE20" s="5">
        <f t="shared" si="9"/>
        <v>0</v>
      </c>
      <c r="AF20" s="5">
        <f t="shared" si="10"/>
        <v>0</v>
      </c>
      <c r="AG20" s="5">
        <f t="shared" si="11"/>
        <v>0</v>
      </c>
      <c r="AH20" s="6">
        <f t="shared" si="15"/>
        <v>0.14204760105780129</v>
      </c>
      <c r="AI20" s="6">
        <f t="shared" si="16"/>
        <v>9.3313184737438618E-2</v>
      </c>
      <c r="AJ20" s="6"/>
    </row>
    <row r="21" spans="1:38" x14ac:dyDescent="0.25">
      <c r="A21">
        <v>1919</v>
      </c>
      <c r="B21">
        <v>0.39</v>
      </c>
      <c r="C21">
        <v>1.6</v>
      </c>
      <c r="D21">
        <v>3.3499999999999899</v>
      </c>
      <c r="E21">
        <v>9.6</v>
      </c>
      <c r="F21">
        <v>1.03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f t="shared" si="12"/>
        <v>1.03</v>
      </c>
      <c r="P21">
        <f t="shared" si="13"/>
        <v>0</v>
      </c>
      <c r="S21">
        <v>1919</v>
      </c>
      <c r="T21" s="24">
        <v>16.05</v>
      </c>
      <c r="U21" s="5">
        <f t="shared" si="14"/>
        <v>2.4299065420560748E-2</v>
      </c>
      <c r="V21" s="5">
        <f t="shared" si="0"/>
        <v>9.9688473520249218E-2</v>
      </c>
      <c r="W21" s="5">
        <f t="shared" si="1"/>
        <v>0.20872274143302116</v>
      </c>
      <c r="X21" s="5">
        <f t="shared" si="2"/>
        <v>0.59813084112149528</v>
      </c>
      <c r="Y21" s="5">
        <f t="shared" si="3"/>
        <v>6.4174454828660438E-2</v>
      </c>
      <c r="Z21" s="5">
        <f t="shared" si="4"/>
        <v>0</v>
      </c>
      <c r="AA21" s="5">
        <f t="shared" si="5"/>
        <v>0</v>
      </c>
      <c r="AB21" s="5">
        <f t="shared" si="6"/>
        <v>0</v>
      </c>
      <c r="AC21" s="5">
        <f t="shared" si="7"/>
        <v>0</v>
      </c>
      <c r="AD21" s="5">
        <f t="shared" si="8"/>
        <v>0</v>
      </c>
      <c r="AE21" s="5">
        <f t="shared" si="9"/>
        <v>0</v>
      </c>
      <c r="AF21" s="5">
        <f t="shared" si="10"/>
        <v>0</v>
      </c>
      <c r="AG21" s="5">
        <f t="shared" si="11"/>
        <v>0</v>
      </c>
      <c r="AH21" s="6">
        <f t="shared" si="15"/>
        <v>6.4174454828660438E-2</v>
      </c>
      <c r="AI21" s="6">
        <f t="shared" si="16"/>
        <v>0</v>
      </c>
      <c r="AJ21" s="6"/>
    </row>
    <row r="22" spans="1:38" x14ac:dyDescent="0.25">
      <c r="A22">
        <v>1920</v>
      </c>
      <c r="B22">
        <v>0.54</v>
      </c>
      <c r="C22">
        <v>4.0599999999999996</v>
      </c>
      <c r="D22">
        <v>4.63</v>
      </c>
      <c r="E22">
        <v>14.92</v>
      </c>
      <c r="F22">
        <v>11.84</v>
      </c>
      <c r="G22">
        <v>5.05</v>
      </c>
      <c r="H22">
        <v>4.4800000000000004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f t="shared" si="12"/>
        <v>16.89</v>
      </c>
      <c r="P22">
        <f t="shared" si="13"/>
        <v>4.4800000000000004</v>
      </c>
      <c r="S22">
        <v>1920</v>
      </c>
      <c r="T22" s="23">
        <v>45.68</v>
      </c>
      <c r="U22" s="5">
        <f t="shared" si="14"/>
        <v>1.1821366024518389E-2</v>
      </c>
      <c r="V22" s="5">
        <f t="shared" si="0"/>
        <v>8.8879159369527144E-2</v>
      </c>
      <c r="W22" s="5">
        <f t="shared" si="1"/>
        <v>0.10135726795096323</v>
      </c>
      <c r="X22" s="5">
        <f t="shared" si="2"/>
        <v>0.3266199649737303</v>
      </c>
      <c r="Y22" s="5">
        <f t="shared" si="3"/>
        <v>0.25919439579684761</v>
      </c>
      <c r="Z22" s="5">
        <f t="shared" si="4"/>
        <v>0.11055166374781085</v>
      </c>
      <c r="AA22" s="5">
        <f t="shared" si="5"/>
        <v>9.8073555166374796E-2</v>
      </c>
      <c r="AB22" s="5">
        <f t="shared" si="6"/>
        <v>0</v>
      </c>
      <c r="AC22" s="5">
        <f t="shared" si="7"/>
        <v>0</v>
      </c>
      <c r="AD22" s="5">
        <f t="shared" si="8"/>
        <v>0</v>
      </c>
      <c r="AE22" s="5">
        <f t="shared" si="9"/>
        <v>0</v>
      </c>
      <c r="AF22" s="5">
        <f t="shared" si="10"/>
        <v>0</v>
      </c>
      <c r="AG22" s="5">
        <f t="shared" si="11"/>
        <v>0</v>
      </c>
      <c r="AH22" s="6">
        <f t="shared" si="15"/>
        <v>0.36974605954465845</v>
      </c>
      <c r="AI22" s="6">
        <f t="shared" si="16"/>
        <v>9.8073555166374796E-2</v>
      </c>
      <c r="AJ22" s="6"/>
    </row>
    <row r="23" spans="1:38" x14ac:dyDescent="0.25">
      <c r="A23">
        <v>1921</v>
      </c>
      <c r="B23">
        <v>1.38</v>
      </c>
      <c r="C23">
        <v>4.45</v>
      </c>
      <c r="D23">
        <v>8.24</v>
      </c>
      <c r="E23">
        <v>11.64</v>
      </c>
      <c r="F23">
        <v>7.11</v>
      </c>
      <c r="G23">
        <v>1.92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f t="shared" si="12"/>
        <v>9.0300000000000011</v>
      </c>
      <c r="P23">
        <f t="shared" si="13"/>
        <v>0</v>
      </c>
      <c r="S23">
        <v>1921</v>
      </c>
      <c r="T23" s="24">
        <v>34.86</v>
      </c>
      <c r="U23" s="5">
        <f t="shared" si="14"/>
        <v>3.9586919104991389E-2</v>
      </c>
      <c r="V23" s="5">
        <f t="shared" si="0"/>
        <v>0.127653471026965</v>
      </c>
      <c r="W23" s="5">
        <f t="shared" si="1"/>
        <v>0.23637406769936892</v>
      </c>
      <c r="X23" s="5">
        <f t="shared" si="2"/>
        <v>0.33390705679862309</v>
      </c>
      <c r="Y23" s="5">
        <f t="shared" si="3"/>
        <v>0.20395869191049915</v>
      </c>
      <c r="Z23" s="5">
        <f t="shared" si="4"/>
        <v>5.5077452667814115E-2</v>
      </c>
      <c r="AA23" s="5">
        <f t="shared" si="5"/>
        <v>0</v>
      </c>
      <c r="AB23" s="5">
        <f t="shared" si="6"/>
        <v>0</v>
      </c>
      <c r="AC23" s="5">
        <f t="shared" si="7"/>
        <v>0</v>
      </c>
      <c r="AD23" s="5">
        <f t="shared" si="8"/>
        <v>0</v>
      </c>
      <c r="AE23" s="5">
        <f t="shared" si="9"/>
        <v>0</v>
      </c>
      <c r="AF23" s="5">
        <f t="shared" si="10"/>
        <v>0</v>
      </c>
      <c r="AG23" s="5">
        <f t="shared" si="11"/>
        <v>0</v>
      </c>
      <c r="AH23" s="6">
        <f t="shared" si="15"/>
        <v>0.25903614457831325</v>
      </c>
      <c r="AI23" s="6">
        <f t="shared" si="16"/>
        <v>0</v>
      </c>
      <c r="AJ23" s="6"/>
    </row>
    <row r="24" spans="1:38" x14ac:dyDescent="0.25">
      <c r="A24">
        <v>1922</v>
      </c>
      <c r="B24">
        <v>1.3</v>
      </c>
      <c r="C24">
        <v>3.03</v>
      </c>
      <c r="D24">
        <v>7.3999999999999897</v>
      </c>
      <c r="E24">
        <v>10.48</v>
      </c>
      <c r="F24">
        <v>9.8800000000000008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f t="shared" si="12"/>
        <v>9.8800000000000008</v>
      </c>
      <c r="P24">
        <f t="shared" si="13"/>
        <v>0</v>
      </c>
      <c r="S24">
        <v>1922</v>
      </c>
      <c r="T24" s="23">
        <v>32.22</v>
      </c>
      <c r="U24" s="5">
        <f t="shared" si="14"/>
        <v>4.0347610180012421E-2</v>
      </c>
      <c r="V24" s="5">
        <f t="shared" si="0"/>
        <v>9.4040968342644318E-2</v>
      </c>
      <c r="W24" s="5">
        <f t="shared" si="1"/>
        <v>0.2296710117939165</v>
      </c>
      <c r="X24" s="5">
        <f t="shared" si="2"/>
        <v>0.3252638112973309</v>
      </c>
      <c r="Y24" s="5">
        <f t="shared" si="3"/>
        <v>0.30664183736809436</v>
      </c>
      <c r="Z24" s="5">
        <f t="shared" si="4"/>
        <v>0</v>
      </c>
      <c r="AA24" s="5">
        <f t="shared" si="5"/>
        <v>0</v>
      </c>
      <c r="AB24" s="5">
        <f t="shared" si="6"/>
        <v>0</v>
      </c>
      <c r="AC24" s="5">
        <f t="shared" si="7"/>
        <v>0</v>
      </c>
      <c r="AD24" s="5">
        <f t="shared" si="8"/>
        <v>0</v>
      </c>
      <c r="AE24" s="5">
        <f t="shared" si="9"/>
        <v>0</v>
      </c>
      <c r="AF24" s="5">
        <f t="shared" si="10"/>
        <v>0</v>
      </c>
      <c r="AG24" s="5">
        <f t="shared" si="11"/>
        <v>0</v>
      </c>
      <c r="AH24" s="6">
        <f t="shared" si="15"/>
        <v>0.30664183736809436</v>
      </c>
      <c r="AI24" s="6">
        <f t="shared" si="16"/>
        <v>0</v>
      </c>
      <c r="AJ24" s="6"/>
    </row>
    <row r="25" spans="1:38" x14ac:dyDescent="0.25">
      <c r="A25">
        <v>1923</v>
      </c>
      <c r="B25">
        <v>0.52</v>
      </c>
      <c r="C25">
        <v>1.92</v>
      </c>
      <c r="D25">
        <v>4.3699999999999903</v>
      </c>
      <c r="E25">
        <v>2.79</v>
      </c>
      <c r="F25">
        <v>3.7699999999999898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f t="shared" si="12"/>
        <v>3.7699999999999898</v>
      </c>
      <c r="P25">
        <f t="shared" si="13"/>
        <v>0</v>
      </c>
      <c r="S25">
        <v>1923</v>
      </c>
      <c r="T25" s="24">
        <v>13.46</v>
      </c>
      <c r="U25" s="5">
        <f t="shared" si="14"/>
        <v>3.8632986627043092E-2</v>
      </c>
      <c r="V25" s="5">
        <f t="shared" si="0"/>
        <v>0.1426448736998514</v>
      </c>
      <c r="W25" s="5">
        <f t="shared" si="1"/>
        <v>0.32466567607726521</v>
      </c>
      <c r="X25" s="5">
        <f t="shared" si="2"/>
        <v>0.20728083209509657</v>
      </c>
      <c r="Y25" s="5">
        <f t="shared" si="3"/>
        <v>0.28008915304606163</v>
      </c>
      <c r="Z25" s="5">
        <f t="shared" si="4"/>
        <v>0</v>
      </c>
      <c r="AA25" s="5">
        <f t="shared" si="5"/>
        <v>0</v>
      </c>
      <c r="AB25" s="5">
        <f t="shared" si="6"/>
        <v>0</v>
      </c>
      <c r="AC25" s="5">
        <f t="shared" si="7"/>
        <v>0</v>
      </c>
      <c r="AD25" s="5">
        <f t="shared" si="8"/>
        <v>0</v>
      </c>
      <c r="AE25" s="5">
        <f t="shared" si="9"/>
        <v>0</v>
      </c>
      <c r="AF25" s="5">
        <f t="shared" si="10"/>
        <v>0</v>
      </c>
      <c r="AG25" s="5">
        <f t="shared" si="11"/>
        <v>0</v>
      </c>
      <c r="AH25" s="6">
        <f t="shared" si="15"/>
        <v>0.28008915304606163</v>
      </c>
      <c r="AI25" s="6">
        <f t="shared" si="16"/>
        <v>0</v>
      </c>
      <c r="AJ25" s="6"/>
    </row>
    <row r="26" spans="1:38" x14ac:dyDescent="0.25">
      <c r="A26">
        <v>1924</v>
      </c>
      <c r="B26">
        <v>1.44</v>
      </c>
      <c r="C26">
        <v>4.2699999999999996</v>
      </c>
      <c r="D26">
        <v>7.61</v>
      </c>
      <c r="E26">
        <v>8.24</v>
      </c>
      <c r="F26">
        <v>4.68</v>
      </c>
      <c r="G26">
        <v>3.23</v>
      </c>
      <c r="H26">
        <v>0</v>
      </c>
      <c r="I26">
        <v>2.9</v>
      </c>
      <c r="J26">
        <v>3.5</v>
      </c>
      <c r="K26">
        <v>0</v>
      </c>
      <c r="L26">
        <v>0</v>
      </c>
      <c r="M26">
        <v>0</v>
      </c>
      <c r="N26">
        <v>0</v>
      </c>
      <c r="O26">
        <f t="shared" si="12"/>
        <v>7.91</v>
      </c>
      <c r="P26">
        <f t="shared" si="13"/>
        <v>6.4</v>
      </c>
      <c r="S26">
        <v>1924</v>
      </c>
      <c r="T26" s="23">
        <v>35.979999999999997</v>
      </c>
      <c r="U26" s="5">
        <f t="shared" si="14"/>
        <v>4.0022234574763761E-2</v>
      </c>
      <c r="V26" s="5">
        <f t="shared" si="0"/>
        <v>0.11867704280155641</v>
      </c>
      <c r="W26" s="5">
        <f t="shared" si="1"/>
        <v>0.21150639244024461</v>
      </c>
      <c r="X26" s="5">
        <f t="shared" si="2"/>
        <v>0.22901612006670374</v>
      </c>
      <c r="Y26" s="5">
        <f t="shared" si="3"/>
        <v>0.13007226236798222</v>
      </c>
      <c r="Z26" s="5">
        <f t="shared" si="4"/>
        <v>8.9772095608671498E-2</v>
      </c>
      <c r="AA26" s="5">
        <f t="shared" si="5"/>
        <v>0</v>
      </c>
      <c r="AB26" s="5">
        <f t="shared" si="6"/>
        <v>8.0600333518621461E-2</v>
      </c>
      <c r="AC26" s="5">
        <f t="shared" si="7"/>
        <v>9.7276264591439704E-2</v>
      </c>
      <c r="AD26" s="5">
        <f t="shared" si="8"/>
        <v>0</v>
      </c>
      <c r="AE26" s="5">
        <f t="shared" si="9"/>
        <v>0</v>
      </c>
      <c r="AF26" s="5">
        <f t="shared" si="10"/>
        <v>0</v>
      </c>
      <c r="AG26" s="5">
        <f t="shared" si="11"/>
        <v>0</v>
      </c>
      <c r="AH26" s="6">
        <f t="shared" si="15"/>
        <v>0.21984435797665372</v>
      </c>
      <c r="AI26" s="6">
        <f t="shared" si="16"/>
        <v>0.17787659811006118</v>
      </c>
      <c r="AJ26" s="6"/>
    </row>
    <row r="27" spans="1:38" x14ac:dyDescent="0.25">
      <c r="A27">
        <v>1925</v>
      </c>
      <c r="B27">
        <v>1.66</v>
      </c>
      <c r="C27">
        <v>3.69</v>
      </c>
      <c r="D27">
        <v>7.0799999999999903</v>
      </c>
      <c r="E27">
        <v>18.079999999999998</v>
      </c>
      <c r="F27">
        <v>6.5</v>
      </c>
      <c r="G27">
        <v>5.65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f t="shared" si="12"/>
        <v>12.15</v>
      </c>
      <c r="P27">
        <f t="shared" si="13"/>
        <v>0</v>
      </c>
      <c r="S27">
        <v>1925</v>
      </c>
      <c r="T27" s="24">
        <v>42.74</v>
      </c>
      <c r="U27" s="5">
        <f t="shared" si="14"/>
        <v>3.8839494618624237E-2</v>
      </c>
      <c r="V27" s="5">
        <f t="shared" si="0"/>
        <v>8.6335985025737014E-2</v>
      </c>
      <c r="W27" s="5">
        <f t="shared" si="1"/>
        <v>0.16565278427702362</v>
      </c>
      <c r="X27" s="5">
        <f t="shared" si="2"/>
        <v>0.42302292934019647</v>
      </c>
      <c r="Y27" s="5">
        <f t="shared" si="3"/>
        <v>0.15208235844642021</v>
      </c>
      <c r="Z27" s="5">
        <f t="shared" si="4"/>
        <v>0.13219466541881142</v>
      </c>
      <c r="AA27" s="5">
        <f t="shared" si="5"/>
        <v>0</v>
      </c>
      <c r="AB27" s="5">
        <f t="shared" si="6"/>
        <v>0</v>
      </c>
      <c r="AC27" s="5">
        <f t="shared" si="7"/>
        <v>0</v>
      </c>
      <c r="AD27" s="5">
        <f t="shared" si="8"/>
        <v>0</v>
      </c>
      <c r="AE27" s="5">
        <f t="shared" si="9"/>
        <v>0</v>
      </c>
      <c r="AF27" s="5">
        <f t="shared" si="10"/>
        <v>0</v>
      </c>
      <c r="AG27" s="5">
        <f t="shared" si="11"/>
        <v>0</v>
      </c>
      <c r="AH27" s="6">
        <f t="shared" si="15"/>
        <v>0.28427702386523163</v>
      </c>
      <c r="AI27" s="6">
        <f t="shared" si="16"/>
        <v>0</v>
      </c>
      <c r="AJ27" s="6"/>
    </row>
    <row r="28" spans="1:38" x14ac:dyDescent="0.25">
      <c r="A28">
        <v>1926</v>
      </c>
      <c r="B28">
        <v>1.1399999999999999</v>
      </c>
      <c r="C28">
        <v>4.46</v>
      </c>
      <c r="D28">
        <v>11.4599999999999</v>
      </c>
      <c r="E28">
        <v>7.43</v>
      </c>
      <c r="F28">
        <v>3.78</v>
      </c>
      <c r="G28">
        <v>1.96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f t="shared" si="12"/>
        <v>5.74</v>
      </c>
      <c r="P28">
        <f t="shared" si="13"/>
        <v>0</v>
      </c>
      <c r="S28">
        <v>1926</v>
      </c>
      <c r="T28" s="23">
        <v>30.35</v>
      </c>
      <c r="U28" s="5">
        <f t="shared" si="14"/>
        <v>3.7561779242174624E-2</v>
      </c>
      <c r="V28" s="5">
        <f t="shared" si="0"/>
        <v>0.14695222405271827</v>
      </c>
      <c r="W28" s="5">
        <f t="shared" si="1"/>
        <v>0.37759472817133111</v>
      </c>
      <c r="X28" s="5">
        <f t="shared" si="2"/>
        <v>0.24481054365733113</v>
      </c>
      <c r="Y28" s="5">
        <f t="shared" si="3"/>
        <v>0.12454695222405271</v>
      </c>
      <c r="Z28" s="5">
        <f t="shared" si="4"/>
        <v>6.4579901153212521E-2</v>
      </c>
      <c r="AA28" s="5">
        <f t="shared" si="5"/>
        <v>0</v>
      </c>
      <c r="AB28" s="5">
        <f t="shared" si="6"/>
        <v>0</v>
      </c>
      <c r="AC28" s="5">
        <f t="shared" si="7"/>
        <v>0</v>
      </c>
      <c r="AD28" s="5">
        <f t="shared" si="8"/>
        <v>0</v>
      </c>
      <c r="AE28" s="5">
        <f t="shared" si="9"/>
        <v>0</v>
      </c>
      <c r="AF28" s="5">
        <f t="shared" si="10"/>
        <v>0</v>
      </c>
      <c r="AG28" s="5">
        <f t="shared" si="11"/>
        <v>0</v>
      </c>
      <c r="AH28" s="6">
        <f t="shared" si="15"/>
        <v>0.18912685337726523</v>
      </c>
      <c r="AI28" s="6">
        <f t="shared" si="16"/>
        <v>0</v>
      </c>
      <c r="AJ28" s="6"/>
    </row>
    <row r="29" spans="1:38" x14ac:dyDescent="0.25">
      <c r="A29">
        <v>1927</v>
      </c>
      <c r="B29">
        <v>1.87</v>
      </c>
      <c r="C29">
        <v>4.78</v>
      </c>
      <c r="D29">
        <v>8.08</v>
      </c>
      <c r="E29">
        <v>15.079999999999901</v>
      </c>
      <c r="F29">
        <v>7.33</v>
      </c>
      <c r="G29">
        <v>3.5599999999999898</v>
      </c>
      <c r="H29">
        <v>2.23</v>
      </c>
      <c r="I29">
        <v>2.9</v>
      </c>
      <c r="J29">
        <v>3.26</v>
      </c>
      <c r="K29">
        <v>0</v>
      </c>
      <c r="L29">
        <v>0</v>
      </c>
      <c r="M29">
        <v>0</v>
      </c>
      <c r="N29">
        <v>0</v>
      </c>
      <c r="O29">
        <f t="shared" si="12"/>
        <v>10.88999999999999</v>
      </c>
      <c r="P29">
        <f t="shared" si="13"/>
        <v>8.39</v>
      </c>
      <c r="S29">
        <v>1927</v>
      </c>
      <c r="T29" s="24">
        <v>49.14</v>
      </c>
      <c r="U29" s="5">
        <f t="shared" si="14"/>
        <v>3.8054538054538053E-2</v>
      </c>
      <c r="V29" s="5">
        <f t="shared" si="0"/>
        <v>9.7273097273097284E-2</v>
      </c>
      <c r="W29" s="5">
        <f t="shared" si="1"/>
        <v>0.16442816442816444</v>
      </c>
      <c r="X29" s="5">
        <f t="shared" si="2"/>
        <v>0.30687830687830486</v>
      </c>
      <c r="Y29" s="5">
        <f t="shared" si="3"/>
        <v>0.14916564916564917</v>
      </c>
      <c r="Z29" s="5">
        <f t="shared" si="4"/>
        <v>7.2446072446072235E-2</v>
      </c>
      <c r="AA29" s="5">
        <f t="shared" si="5"/>
        <v>4.5380545380545381E-2</v>
      </c>
      <c r="AB29" s="5">
        <f t="shared" si="6"/>
        <v>5.9015059015059011E-2</v>
      </c>
      <c r="AC29" s="5">
        <f t="shared" si="7"/>
        <v>6.6341066341066332E-2</v>
      </c>
      <c r="AD29" s="5">
        <f t="shared" si="8"/>
        <v>0</v>
      </c>
      <c r="AE29" s="5">
        <f t="shared" si="9"/>
        <v>0</v>
      </c>
      <c r="AF29" s="5">
        <f t="shared" si="10"/>
        <v>0</v>
      </c>
      <c r="AG29" s="5">
        <f t="shared" si="11"/>
        <v>0</v>
      </c>
      <c r="AH29" s="6">
        <f t="shared" si="15"/>
        <v>0.22161172161172141</v>
      </c>
      <c r="AI29" s="6">
        <f t="shared" si="16"/>
        <v>0.1707366707366707</v>
      </c>
      <c r="AJ29" s="6"/>
    </row>
    <row r="30" spans="1:38" x14ac:dyDescent="0.25">
      <c r="A30">
        <v>1928</v>
      </c>
      <c r="B30">
        <v>1.51</v>
      </c>
      <c r="C30">
        <v>5</v>
      </c>
      <c r="D30">
        <v>6.58</v>
      </c>
      <c r="E30">
        <v>14.6299999999999</v>
      </c>
      <c r="F30">
        <v>9.49</v>
      </c>
      <c r="G30">
        <v>3.47</v>
      </c>
      <c r="H30">
        <v>2.0499999999999998</v>
      </c>
      <c r="I30">
        <v>0</v>
      </c>
      <c r="J30">
        <v>3.04</v>
      </c>
      <c r="K30">
        <v>0</v>
      </c>
      <c r="L30">
        <v>0</v>
      </c>
      <c r="M30">
        <v>0</v>
      </c>
      <c r="N30">
        <v>0</v>
      </c>
      <c r="O30">
        <f t="shared" si="12"/>
        <v>12.96</v>
      </c>
      <c r="P30">
        <f t="shared" si="13"/>
        <v>5.09</v>
      </c>
      <c r="S30">
        <v>1928</v>
      </c>
      <c r="T30" s="23">
        <v>45.9</v>
      </c>
      <c r="U30" s="5">
        <f t="shared" si="14"/>
        <v>3.2897603485838783E-2</v>
      </c>
      <c r="V30" s="5">
        <f t="shared" si="0"/>
        <v>0.10893246187363835</v>
      </c>
      <c r="W30" s="5">
        <f t="shared" si="1"/>
        <v>0.14335511982570806</v>
      </c>
      <c r="X30" s="5">
        <f t="shared" si="2"/>
        <v>0.31873638344226363</v>
      </c>
      <c r="Y30" s="5">
        <f t="shared" si="3"/>
        <v>0.2067538126361656</v>
      </c>
      <c r="Z30" s="5">
        <f t="shared" si="4"/>
        <v>7.5599128540305011E-2</v>
      </c>
      <c r="AA30" s="5">
        <f t="shared" si="5"/>
        <v>4.4662309368191717E-2</v>
      </c>
      <c r="AB30" s="5">
        <f t="shared" si="6"/>
        <v>0</v>
      </c>
      <c r="AC30" s="5">
        <f t="shared" si="7"/>
        <v>6.6230936819172109E-2</v>
      </c>
      <c r="AD30" s="5">
        <f t="shared" si="8"/>
        <v>0</v>
      </c>
      <c r="AE30" s="5">
        <f t="shared" si="9"/>
        <v>0</v>
      </c>
      <c r="AF30" s="5">
        <f t="shared" si="10"/>
        <v>0</v>
      </c>
      <c r="AG30" s="5">
        <f t="shared" si="11"/>
        <v>0</v>
      </c>
      <c r="AH30" s="6">
        <f t="shared" si="15"/>
        <v>0.28235294117647058</v>
      </c>
      <c r="AI30" s="6">
        <f t="shared" si="16"/>
        <v>0.11089324618736382</v>
      </c>
      <c r="AJ30" s="6"/>
    </row>
    <row r="31" spans="1:38" x14ac:dyDescent="0.25">
      <c r="A31">
        <v>1929</v>
      </c>
      <c r="B31">
        <v>2.04</v>
      </c>
      <c r="C31">
        <v>3.8</v>
      </c>
      <c r="D31">
        <v>11.45</v>
      </c>
      <c r="E31">
        <v>12.91</v>
      </c>
      <c r="F31">
        <v>3.87</v>
      </c>
      <c r="G31">
        <v>6.59</v>
      </c>
      <c r="H31">
        <v>2.0099999999999998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f t="shared" si="12"/>
        <v>10.46</v>
      </c>
      <c r="P31">
        <f t="shared" si="13"/>
        <v>2.0099999999999998</v>
      </c>
      <c r="S31">
        <v>1929</v>
      </c>
      <c r="T31" s="24">
        <v>42.78</v>
      </c>
      <c r="U31" s="5">
        <f t="shared" si="14"/>
        <v>4.7685834502103785E-2</v>
      </c>
      <c r="V31" s="5">
        <f t="shared" si="0"/>
        <v>8.8826554464703125E-2</v>
      </c>
      <c r="W31" s="5">
        <f t="shared" si="1"/>
        <v>0.26764843384759229</v>
      </c>
      <c r="X31" s="5">
        <f t="shared" si="2"/>
        <v>0.30177653108929403</v>
      </c>
      <c r="Y31" s="5">
        <f t="shared" si="3"/>
        <v>9.046283309957924E-2</v>
      </c>
      <c r="Z31" s="5">
        <f t="shared" si="4"/>
        <v>0.15404394576905095</v>
      </c>
      <c r="AA31" s="5">
        <f t="shared" si="5"/>
        <v>4.6984572230014017E-2</v>
      </c>
      <c r="AB31" s="5">
        <f t="shared" si="6"/>
        <v>0</v>
      </c>
      <c r="AC31" s="5">
        <f t="shared" si="7"/>
        <v>0</v>
      </c>
      <c r="AD31" s="5">
        <f t="shared" si="8"/>
        <v>0</v>
      </c>
      <c r="AE31" s="5">
        <f t="shared" si="9"/>
        <v>0</v>
      </c>
      <c r="AF31" s="5">
        <f t="shared" si="10"/>
        <v>0</v>
      </c>
      <c r="AG31" s="5">
        <f t="shared" si="11"/>
        <v>0</v>
      </c>
      <c r="AH31" s="6">
        <f t="shared" si="15"/>
        <v>0.2445067788686302</v>
      </c>
      <c r="AI31" s="6">
        <f t="shared" si="16"/>
        <v>4.6984572230014017E-2</v>
      </c>
      <c r="AJ31" s="6"/>
    </row>
    <row r="32" spans="1:38" ht="18.75" x14ac:dyDescent="0.3">
      <c r="A32">
        <v>1930</v>
      </c>
      <c r="B32">
        <v>0.81</v>
      </c>
      <c r="C32">
        <v>4.51</v>
      </c>
      <c r="D32">
        <v>10.82</v>
      </c>
      <c r="E32">
        <v>7.7299999999999898</v>
      </c>
      <c r="F32">
        <v>3.66</v>
      </c>
      <c r="G32">
        <v>0</v>
      </c>
      <c r="H32">
        <v>2.02</v>
      </c>
      <c r="I32">
        <v>5.51</v>
      </c>
      <c r="J32">
        <v>0</v>
      </c>
      <c r="K32">
        <v>0</v>
      </c>
      <c r="L32">
        <v>0</v>
      </c>
      <c r="M32">
        <v>0</v>
      </c>
      <c r="N32">
        <v>0</v>
      </c>
      <c r="O32">
        <f t="shared" si="12"/>
        <v>3.66</v>
      </c>
      <c r="P32">
        <f t="shared" si="13"/>
        <v>7.5299999999999994</v>
      </c>
      <c r="S32">
        <v>1930</v>
      </c>
      <c r="T32" s="23">
        <v>35.130000000000003</v>
      </c>
      <c r="U32" s="5">
        <f t="shared" si="14"/>
        <v>2.3057216054654141E-2</v>
      </c>
      <c r="V32" s="5">
        <f t="shared" si="0"/>
        <v>0.1283803017364076</v>
      </c>
      <c r="W32" s="5">
        <f t="shared" si="1"/>
        <v>0.30799886137204668</v>
      </c>
      <c r="X32" s="5">
        <f t="shared" si="2"/>
        <v>0.22003985197836576</v>
      </c>
      <c r="Y32" s="5">
        <f t="shared" si="3"/>
        <v>0.10418445772843724</v>
      </c>
      <c r="Z32" s="5">
        <f t="shared" si="4"/>
        <v>0</v>
      </c>
      <c r="AA32" s="5">
        <f t="shared" si="5"/>
        <v>5.7500711642470816E-2</v>
      </c>
      <c r="AB32" s="5">
        <f t="shared" si="6"/>
        <v>0.15684600056931397</v>
      </c>
      <c r="AC32" s="5">
        <f t="shared" si="7"/>
        <v>0</v>
      </c>
      <c r="AD32" s="5">
        <f t="shared" si="8"/>
        <v>0</v>
      </c>
      <c r="AE32" s="5">
        <f t="shared" si="9"/>
        <v>0</v>
      </c>
      <c r="AF32" s="5">
        <f t="shared" si="10"/>
        <v>0</v>
      </c>
      <c r="AG32" s="5">
        <f t="shared" si="11"/>
        <v>0</v>
      </c>
      <c r="AH32" s="6">
        <f t="shared" si="15"/>
        <v>0.10418445772843724</v>
      </c>
      <c r="AI32" s="6">
        <f t="shared" si="16"/>
        <v>0.21434671221178478</v>
      </c>
      <c r="AJ32" s="6"/>
      <c r="AK32" s="7" t="s">
        <v>15</v>
      </c>
      <c r="AL32" s="7"/>
    </row>
    <row r="33" spans="1:38" ht="18.75" x14ac:dyDescent="0.3">
      <c r="A33">
        <v>1931</v>
      </c>
      <c r="B33">
        <v>1.82</v>
      </c>
      <c r="C33">
        <v>3</v>
      </c>
      <c r="D33">
        <v>10.83</v>
      </c>
      <c r="E33">
        <v>9.69</v>
      </c>
      <c r="F33">
        <v>5.6899999999999897</v>
      </c>
      <c r="G33">
        <v>3.36</v>
      </c>
      <c r="H33">
        <v>2.0099999999999998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f t="shared" si="12"/>
        <v>9.0499999999999901</v>
      </c>
      <c r="P33">
        <f t="shared" si="13"/>
        <v>2.0099999999999998</v>
      </c>
      <c r="S33">
        <v>1931</v>
      </c>
      <c r="T33" s="24">
        <v>36.49</v>
      </c>
      <c r="U33" s="5">
        <f t="shared" si="14"/>
        <v>4.9876678542066316E-2</v>
      </c>
      <c r="V33" s="5">
        <f t="shared" si="0"/>
        <v>8.2214305289120299E-2</v>
      </c>
      <c r="W33" s="5">
        <f t="shared" si="1"/>
        <v>0.29679364209372427</v>
      </c>
      <c r="X33" s="5">
        <f t="shared" si="2"/>
        <v>0.26555220608385854</v>
      </c>
      <c r="Y33" s="5">
        <f t="shared" si="3"/>
        <v>0.15593313236503123</v>
      </c>
      <c r="Z33" s="5">
        <f t="shared" si="4"/>
        <v>9.2080021923814731E-2</v>
      </c>
      <c r="AA33" s="5">
        <f t="shared" si="5"/>
        <v>5.5083584543710595E-2</v>
      </c>
      <c r="AB33" s="5">
        <f t="shared" si="6"/>
        <v>0</v>
      </c>
      <c r="AC33" s="5">
        <f t="shared" si="7"/>
        <v>0</v>
      </c>
      <c r="AD33" s="5">
        <f t="shared" si="8"/>
        <v>0</v>
      </c>
      <c r="AE33" s="5">
        <f t="shared" si="9"/>
        <v>0</v>
      </c>
      <c r="AF33" s="5">
        <f t="shared" si="10"/>
        <v>0</v>
      </c>
      <c r="AG33" s="5">
        <f t="shared" si="11"/>
        <v>0</v>
      </c>
      <c r="AH33" s="6">
        <f t="shared" si="15"/>
        <v>0.24801315428884596</v>
      </c>
      <c r="AI33" s="6">
        <f t="shared" si="16"/>
        <v>5.5083584543710595E-2</v>
      </c>
      <c r="AJ33" s="6"/>
      <c r="AK33" s="7" t="s">
        <v>16</v>
      </c>
      <c r="AL33" s="7" t="s">
        <v>17</v>
      </c>
    </row>
    <row r="34" spans="1:38" ht="18.75" x14ac:dyDescent="0.3">
      <c r="A34">
        <v>1932</v>
      </c>
      <c r="B34">
        <v>1.64</v>
      </c>
      <c r="C34">
        <v>3.37</v>
      </c>
      <c r="D34">
        <v>6.49</v>
      </c>
      <c r="E34">
        <v>11.39</v>
      </c>
      <c r="F34">
        <v>9.36</v>
      </c>
      <c r="G34">
        <v>6.84</v>
      </c>
      <c r="H34">
        <v>8.6899999999999906</v>
      </c>
      <c r="I34">
        <v>0</v>
      </c>
      <c r="J34">
        <v>3.11</v>
      </c>
      <c r="K34">
        <v>0</v>
      </c>
      <c r="L34">
        <v>0</v>
      </c>
      <c r="M34">
        <v>0</v>
      </c>
      <c r="N34">
        <v>0</v>
      </c>
      <c r="O34">
        <f t="shared" si="12"/>
        <v>16.2</v>
      </c>
      <c r="P34">
        <f t="shared" si="13"/>
        <v>11.79999999999999</v>
      </c>
      <c r="S34">
        <v>1932</v>
      </c>
      <c r="T34" s="23">
        <v>51</v>
      </c>
      <c r="U34" s="5">
        <f t="shared" ref="U34:U65" si="17">B34/$T34</f>
        <v>3.215686274509804E-2</v>
      </c>
      <c r="V34" s="5">
        <f t="shared" ref="V34:V65" si="18">C34/$T34</f>
        <v>6.6078431372549026E-2</v>
      </c>
      <c r="W34" s="5">
        <f t="shared" ref="W34:W65" si="19">D34/$T34</f>
        <v>0.12725490196078432</v>
      </c>
      <c r="X34" s="5">
        <f t="shared" ref="X34:X65" si="20">E34/$T34</f>
        <v>0.22333333333333336</v>
      </c>
      <c r="Y34" s="5">
        <f t="shared" ref="Y34:Y65" si="21">F34/$T34</f>
        <v>0.18352941176470586</v>
      </c>
      <c r="Z34" s="5">
        <f t="shared" ref="Z34:Z65" si="22">G34/$T34</f>
        <v>0.13411764705882354</v>
      </c>
      <c r="AA34" s="5">
        <f t="shared" ref="AA34:AA65" si="23">H34/$T34</f>
        <v>0.17039215686274492</v>
      </c>
      <c r="AB34" s="5">
        <f t="shared" ref="AB34:AB65" si="24">I34/$T34</f>
        <v>0</v>
      </c>
      <c r="AC34" s="5">
        <f t="shared" ref="AC34:AC65" si="25">J34/$T34</f>
        <v>6.0980392156862739E-2</v>
      </c>
      <c r="AD34" s="5">
        <f t="shared" ref="AD34:AD65" si="26">K34/$T34</f>
        <v>0</v>
      </c>
      <c r="AE34" s="5">
        <f t="shared" ref="AE34:AE65" si="27">L34/$T34</f>
        <v>0</v>
      </c>
      <c r="AF34" s="5">
        <f t="shared" ref="AF34:AF65" si="28">M34/$T34</f>
        <v>0</v>
      </c>
      <c r="AG34" s="5">
        <f t="shared" ref="AG34:AG65" si="29">N34/$T34</f>
        <v>0</v>
      </c>
      <c r="AH34" s="6">
        <f t="shared" si="15"/>
        <v>0.31764705882352939</v>
      </c>
      <c r="AI34" s="6">
        <f t="shared" si="16"/>
        <v>0.23137254901960766</v>
      </c>
      <c r="AJ34" s="6"/>
      <c r="AK34" s="7" t="s">
        <v>0</v>
      </c>
      <c r="AL34" s="7" t="s">
        <v>18</v>
      </c>
    </row>
    <row r="35" spans="1:38" ht="18.75" x14ac:dyDescent="0.3">
      <c r="A35">
        <v>1933</v>
      </c>
      <c r="B35">
        <v>2.14</v>
      </c>
      <c r="C35">
        <v>2.76</v>
      </c>
      <c r="D35">
        <v>6.7</v>
      </c>
      <c r="E35">
        <v>11.9</v>
      </c>
      <c r="F35">
        <v>14.51</v>
      </c>
      <c r="G35">
        <v>1.9</v>
      </c>
      <c r="H35">
        <v>2.1</v>
      </c>
      <c r="I35">
        <v>0</v>
      </c>
      <c r="J35">
        <v>3.11</v>
      </c>
      <c r="K35">
        <v>0</v>
      </c>
      <c r="L35">
        <v>0</v>
      </c>
      <c r="M35">
        <v>0</v>
      </c>
      <c r="N35">
        <v>0</v>
      </c>
      <c r="O35">
        <f t="shared" si="12"/>
        <v>16.41</v>
      </c>
      <c r="P35">
        <f t="shared" si="13"/>
        <v>5.21</v>
      </c>
      <c r="S35">
        <v>1933</v>
      </c>
      <c r="T35" s="24">
        <v>45.25</v>
      </c>
      <c r="U35" s="5">
        <f t="shared" si="17"/>
        <v>4.7292817679558015E-2</v>
      </c>
      <c r="V35" s="5">
        <f t="shared" si="18"/>
        <v>6.0994475138121541E-2</v>
      </c>
      <c r="W35" s="5">
        <f t="shared" si="19"/>
        <v>0.14806629834254145</v>
      </c>
      <c r="X35" s="5">
        <f t="shared" si="20"/>
        <v>0.26298342541436465</v>
      </c>
      <c r="Y35" s="5">
        <f t="shared" si="21"/>
        <v>0.32066298342541438</v>
      </c>
      <c r="Z35" s="5">
        <f t="shared" si="22"/>
        <v>4.1988950276243095E-2</v>
      </c>
      <c r="AA35" s="5">
        <f t="shared" si="23"/>
        <v>4.6408839779005527E-2</v>
      </c>
      <c r="AB35" s="5">
        <f t="shared" si="24"/>
        <v>0</v>
      </c>
      <c r="AC35" s="5">
        <f t="shared" si="25"/>
        <v>6.8729281767955799E-2</v>
      </c>
      <c r="AD35" s="5">
        <f t="shared" si="26"/>
        <v>0</v>
      </c>
      <c r="AE35" s="5">
        <f t="shared" si="27"/>
        <v>0</v>
      </c>
      <c r="AF35" s="5">
        <f t="shared" si="28"/>
        <v>0</v>
      </c>
      <c r="AG35" s="5">
        <f t="shared" si="29"/>
        <v>0</v>
      </c>
      <c r="AH35" s="6">
        <f t="shared" si="15"/>
        <v>0.36265193370165749</v>
      </c>
      <c r="AI35" s="6">
        <f t="shared" si="16"/>
        <v>0.11513812154696132</v>
      </c>
      <c r="AJ35" s="6"/>
      <c r="AK35" s="7" t="s">
        <v>1</v>
      </c>
      <c r="AL35" s="7" t="s">
        <v>19</v>
      </c>
    </row>
    <row r="36" spans="1:38" ht="18.75" x14ac:dyDescent="0.3">
      <c r="A36">
        <v>1934</v>
      </c>
      <c r="B36">
        <v>0.99</v>
      </c>
      <c r="C36">
        <v>3.94</v>
      </c>
      <c r="D36">
        <v>5.0199999999999996</v>
      </c>
      <c r="E36">
        <v>11.7</v>
      </c>
      <c r="F36">
        <v>7.54</v>
      </c>
      <c r="G36">
        <v>11.28</v>
      </c>
      <c r="H36">
        <v>6.31</v>
      </c>
      <c r="I36">
        <v>2.8</v>
      </c>
      <c r="J36">
        <v>0</v>
      </c>
      <c r="K36">
        <v>0</v>
      </c>
      <c r="L36">
        <v>0</v>
      </c>
      <c r="M36">
        <v>0</v>
      </c>
      <c r="N36">
        <v>0</v>
      </c>
      <c r="O36">
        <f t="shared" si="12"/>
        <v>18.82</v>
      </c>
      <c r="P36">
        <f t="shared" si="13"/>
        <v>9.11</v>
      </c>
      <c r="S36">
        <v>1934</v>
      </c>
      <c r="T36" s="23">
        <v>49.74</v>
      </c>
      <c r="U36" s="5">
        <f t="shared" si="17"/>
        <v>1.9903498190591073E-2</v>
      </c>
      <c r="V36" s="5">
        <f t="shared" si="18"/>
        <v>7.9211901889827102E-2</v>
      </c>
      <c r="W36" s="5">
        <f t="shared" si="19"/>
        <v>0.10092480900683554</v>
      </c>
      <c r="X36" s="5">
        <f t="shared" si="20"/>
        <v>0.23522316043425812</v>
      </c>
      <c r="Y36" s="5">
        <f t="shared" si="21"/>
        <v>0.15158825894652192</v>
      </c>
      <c r="Z36" s="5">
        <f t="shared" si="22"/>
        <v>0.22677925211097705</v>
      </c>
      <c r="AA36" s="5">
        <f t="shared" si="23"/>
        <v>0.1268596702854845</v>
      </c>
      <c r="AB36" s="5">
        <f t="shared" si="24"/>
        <v>5.6292722155207073E-2</v>
      </c>
      <c r="AC36" s="5">
        <f t="shared" si="25"/>
        <v>0</v>
      </c>
      <c r="AD36" s="5">
        <f t="shared" si="26"/>
        <v>0</v>
      </c>
      <c r="AE36" s="5">
        <f t="shared" si="27"/>
        <v>0</v>
      </c>
      <c r="AF36" s="5">
        <f t="shared" si="28"/>
        <v>0</v>
      </c>
      <c r="AG36" s="5">
        <f t="shared" si="29"/>
        <v>0</v>
      </c>
      <c r="AH36" s="6">
        <f t="shared" si="15"/>
        <v>0.378367511057499</v>
      </c>
      <c r="AI36" s="6">
        <f t="shared" si="16"/>
        <v>0.18315239244069159</v>
      </c>
      <c r="AJ36" s="6"/>
      <c r="AK36" s="7" t="s">
        <v>2</v>
      </c>
      <c r="AL36" s="7" t="s">
        <v>20</v>
      </c>
    </row>
    <row r="37" spans="1:38" ht="18.75" x14ac:dyDescent="0.3">
      <c r="A37">
        <v>1935</v>
      </c>
      <c r="B37">
        <v>1.1000000000000001</v>
      </c>
      <c r="C37">
        <v>4.5199999999999996</v>
      </c>
      <c r="D37">
        <v>7.85</v>
      </c>
      <c r="E37">
        <v>11.05</v>
      </c>
      <c r="F37">
        <v>1.05</v>
      </c>
      <c r="G37">
        <v>9.21999999999999</v>
      </c>
      <c r="H37">
        <v>6.71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f t="shared" si="12"/>
        <v>10.269999999999991</v>
      </c>
      <c r="P37">
        <f t="shared" si="13"/>
        <v>6.71</v>
      </c>
      <c r="S37">
        <v>1935</v>
      </c>
      <c r="T37" s="24">
        <v>41.59</v>
      </c>
      <c r="U37" s="5">
        <f t="shared" si="17"/>
        <v>2.6448665544602068E-2</v>
      </c>
      <c r="V37" s="5">
        <f t="shared" si="18"/>
        <v>0.10867997114691029</v>
      </c>
      <c r="W37" s="5">
        <f t="shared" si="19"/>
        <v>0.18874729502284202</v>
      </c>
      <c r="X37" s="5">
        <f t="shared" si="20"/>
        <v>0.26568886751622983</v>
      </c>
      <c r="Y37" s="5">
        <f t="shared" si="21"/>
        <v>2.5246453474392881E-2</v>
      </c>
      <c r="Z37" s="5">
        <f t="shared" si="22"/>
        <v>0.22168790574657343</v>
      </c>
      <c r="AA37" s="5">
        <f t="shared" si="23"/>
        <v>0.1613368598220726</v>
      </c>
      <c r="AB37" s="5">
        <f t="shared" si="24"/>
        <v>0</v>
      </c>
      <c r="AC37" s="5">
        <f t="shared" si="25"/>
        <v>0</v>
      </c>
      <c r="AD37" s="5">
        <f t="shared" si="26"/>
        <v>0</v>
      </c>
      <c r="AE37" s="5">
        <f t="shared" si="27"/>
        <v>0</v>
      </c>
      <c r="AF37" s="5">
        <f t="shared" si="28"/>
        <v>0</v>
      </c>
      <c r="AG37" s="5">
        <f t="shared" si="29"/>
        <v>0</v>
      </c>
      <c r="AH37" s="6">
        <f t="shared" si="15"/>
        <v>0.24693435922096632</v>
      </c>
      <c r="AI37" s="6">
        <f t="shared" si="16"/>
        <v>0.1613368598220726</v>
      </c>
      <c r="AJ37" s="6"/>
      <c r="AK37" s="7" t="s">
        <v>3</v>
      </c>
      <c r="AL37" s="7" t="s">
        <v>21</v>
      </c>
    </row>
    <row r="38" spans="1:38" ht="18.75" x14ac:dyDescent="0.3">
      <c r="A38">
        <v>1936</v>
      </c>
      <c r="B38">
        <v>1.57</v>
      </c>
      <c r="C38">
        <v>5.29</v>
      </c>
      <c r="D38">
        <v>8.69</v>
      </c>
      <c r="E38">
        <v>13.3399999999999</v>
      </c>
      <c r="F38">
        <v>7.77</v>
      </c>
      <c r="G38">
        <v>7.25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f t="shared" si="12"/>
        <v>15.02</v>
      </c>
      <c r="P38">
        <f t="shared" si="13"/>
        <v>0</v>
      </c>
      <c r="S38">
        <v>1936</v>
      </c>
      <c r="T38" s="23">
        <v>44.02</v>
      </c>
      <c r="U38" s="5">
        <f t="shared" si="17"/>
        <v>3.5665606542480688E-2</v>
      </c>
      <c r="V38" s="5">
        <f t="shared" si="18"/>
        <v>0.12017264879600181</v>
      </c>
      <c r="W38" s="5">
        <f t="shared" si="19"/>
        <v>0.19741026805997272</v>
      </c>
      <c r="X38" s="5">
        <f t="shared" si="20"/>
        <v>0.30304407087687185</v>
      </c>
      <c r="Y38" s="5">
        <f t="shared" si="21"/>
        <v>0.17651067696501588</v>
      </c>
      <c r="Z38" s="5">
        <f t="shared" si="22"/>
        <v>0.16469786460699681</v>
      </c>
      <c r="AA38" s="5">
        <f t="shared" si="23"/>
        <v>0</v>
      </c>
      <c r="AB38" s="5">
        <f t="shared" si="24"/>
        <v>0</v>
      </c>
      <c r="AC38" s="5">
        <f t="shared" si="25"/>
        <v>0</v>
      </c>
      <c r="AD38" s="5">
        <f t="shared" si="26"/>
        <v>0</v>
      </c>
      <c r="AE38" s="5">
        <f t="shared" si="27"/>
        <v>0</v>
      </c>
      <c r="AF38" s="5">
        <f t="shared" si="28"/>
        <v>0</v>
      </c>
      <c r="AG38" s="5">
        <f t="shared" si="29"/>
        <v>0</v>
      </c>
      <c r="AH38" s="6">
        <f t="shared" si="15"/>
        <v>0.34120854157201269</v>
      </c>
      <c r="AI38" s="6">
        <f t="shared" si="16"/>
        <v>0</v>
      </c>
      <c r="AJ38" s="6"/>
      <c r="AK38" s="7" t="s">
        <v>4</v>
      </c>
      <c r="AL38" s="7" t="s">
        <v>22</v>
      </c>
    </row>
    <row r="39" spans="1:38" ht="18.75" x14ac:dyDescent="0.3">
      <c r="A39">
        <v>1937</v>
      </c>
      <c r="B39">
        <v>1.42</v>
      </c>
      <c r="C39">
        <v>4.38</v>
      </c>
      <c r="D39">
        <v>6.15</v>
      </c>
      <c r="E39">
        <v>11.559999999999899</v>
      </c>
      <c r="F39">
        <v>11.6299999999999</v>
      </c>
      <c r="G39">
        <v>8.3800000000000008</v>
      </c>
      <c r="H39">
        <v>2.0499999999999998</v>
      </c>
      <c r="I39">
        <v>2.6</v>
      </c>
      <c r="J39">
        <v>0</v>
      </c>
      <c r="K39">
        <v>0</v>
      </c>
      <c r="L39">
        <v>0</v>
      </c>
      <c r="M39">
        <v>0</v>
      </c>
      <c r="N39">
        <v>0</v>
      </c>
      <c r="O39">
        <f t="shared" si="12"/>
        <v>20.009999999999899</v>
      </c>
      <c r="P39">
        <f t="shared" si="13"/>
        <v>4.6500000000000004</v>
      </c>
      <c r="S39">
        <v>1937</v>
      </c>
      <c r="T39" s="24">
        <v>48.21</v>
      </c>
      <c r="U39" s="5">
        <f t="shared" si="17"/>
        <v>2.9454470026965357E-2</v>
      </c>
      <c r="V39" s="5">
        <f t="shared" si="18"/>
        <v>9.0852520224019906E-2</v>
      </c>
      <c r="W39" s="5">
        <f t="shared" si="19"/>
        <v>0.12756689483509645</v>
      </c>
      <c r="X39" s="5">
        <f t="shared" si="20"/>
        <v>0.23978427712092718</v>
      </c>
      <c r="Y39" s="5">
        <f t="shared" si="21"/>
        <v>0.24123625803774942</v>
      </c>
      <c r="Z39" s="5">
        <f t="shared" si="22"/>
        <v>0.1738228583281477</v>
      </c>
      <c r="AA39" s="5">
        <f t="shared" si="23"/>
        <v>4.2522298278365477E-2</v>
      </c>
      <c r="AB39" s="5">
        <f t="shared" si="24"/>
        <v>5.3930719767683051E-2</v>
      </c>
      <c r="AC39" s="5">
        <f t="shared" si="25"/>
        <v>0</v>
      </c>
      <c r="AD39" s="5">
        <f t="shared" si="26"/>
        <v>0</v>
      </c>
      <c r="AE39" s="5">
        <f t="shared" si="27"/>
        <v>0</v>
      </c>
      <c r="AF39" s="5">
        <f t="shared" si="28"/>
        <v>0</v>
      </c>
      <c r="AG39" s="5">
        <f t="shared" si="29"/>
        <v>0</v>
      </c>
      <c r="AH39" s="6">
        <f t="shared" si="15"/>
        <v>0.4150591163658971</v>
      </c>
      <c r="AI39" s="6">
        <f t="shared" si="16"/>
        <v>9.6453018046048528E-2</v>
      </c>
      <c r="AJ39" s="6"/>
      <c r="AK39" s="7" t="s">
        <v>23</v>
      </c>
      <c r="AL39" s="7" t="s">
        <v>37</v>
      </c>
    </row>
    <row r="40" spans="1:38" ht="18.75" x14ac:dyDescent="0.3">
      <c r="A40">
        <v>1938</v>
      </c>
      <c r="B40">
        <v>1.31</v>
      </c>
      <c r="C40">
        <v>4.18</v>
      </c>
      <c r="D40">
        <v>8.5399999999999991</v>
      </c>
      <c r="E40">
        <v>13.01</v>
      </c>
      <c r="F40">
        <v>11.51</v>
      </c>
      <c r="G40">
        <v>5.33</v>
      </c>
      <c r="H40">
        <v>4.67</v>
      </c>
      <c r="I40">
        <v>0</v>
      </c>
      <c r="J40">
        <v>3.26</v>
      </c>
      <c r="K40">
        <v>0</v>
      </c>
      <c r="L40">
        <v>0</v>
      </c>
      <c r="M40">
        <v>0</v>
      </c>
      <c r="N40">
        <v>0</v>
      </c>
      <c r="O40">
        <f t="shared" si="12"/>
        <v>16.84</v>
      </c>
      <c r="P40">
        <f t="shared" si="13"/>
        <v>7.93</v>
      </c>
      <c r="S40">
        <v>1938</v>
      </c>
      <c r="T40" s="23">
        <v>44</v>
      </c>
      <c r="U40" s="5">
        <f t="shared" si="17"/>
        <v>2.9772727272727274E-2</v>
      </c>
      <c r="V40" s="5">
        <f t="shared" si="18"/>
        <v>9.4999999999999987E-2</v>
      </c>
      <c r="W40" s="5">
        <f t="shared" si="19"/>
        <v>0.19409090909090906</v>
      </c>
      <c r="X40" s="5">
        <f t="shared" si="20"/>
        <v>0.29568181818181816</v>
      </c>
      <c r="Y40" s="5">
        <f t="shared" si="21"/>
        <v>0.2615909090909091</v>
      </c>
      <c r="Z40" s="5">
        <f t="shared" si="22"/>
        <v>0.12113636363636364</v>
      </c>
      <c r="AA40" s="5">
        <f t="shared" si="23"/>
        <v>0.10613636363636364</v>
      </c>
      <c r="AB40" s="5">
        <f t="shared" si="24"/>
        <v>0</v>
      </c>
      <c r="AC40" s="5">
        <f t="shared" si="25"/>
        <v>7.4090909090909082E-2</v>
      </c>
      <c r="AD40" s="5">
        <f t="shared" si="26"/>
        <v>0</v>
      </c>
      <c r="AE40" s="5">
        <f t="shared" si="27"/>
        <v>0</v>
      </c>
      <c r="AF40" s="5">
        <f t="shared" si="28"/>
        <v>0</v>
      </c>
      <c r="AG40" s="5">
        <f t="shared" si="29"/>
        <v>0</v>
      </c>
      <c r="AH40" s="6">
        <f t="shared" si="15"/>
        <v>0.38272727272727275</v>
      </c>
      <c r="AI40" s="6">
        <f t="shared" si="16"/>
        <v>0.18022727272727274</v>
      </c>
      <c r="AJ40" s="6"/>
      <c r="AK40" s="7" t="s">
        <v>25</v>
      </c>
      <c r="AL40" s="7" t="s">
        <v>38</v>
      </c>
    </row>
    <row r="41" spans="1:38" x14ac:dyDescent="0.25">
      <c r="A41">
        <v>1939</v>
      </c>
      <c r="B41">
        <v>0.68</v>
      </c>
      <c r="C41">
        <v>1.45</v>
      </c>
      <c r="D41">
        <v>3.3199999999999901</v>
      </c>
      <c r="E41">
        <v>7.36</v>
      </c>
      <c r="F41">
        <v>6.7399999999999904</v>
      </c>
      <c r="G41">
        <v>0</v>
      </c>
      <c r="H41">
        <v>2.3199999999999998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f t="shared" si="12"/>
        <v>6.7399999999999904</v>
      </c>
      <c r="P41">
        <f t="shared" si="13"/>
        <v>2.3199999999999998</v>
      </c>
      <c r="S41">
        <v>1939</v>
      </c>
      <c r="T41" s="24">
        <v>22.09</v>
      </c>
      <c r="U41" s="5">
        <f t="shared" si="17"/>
        <v>3.0783159800814849E-2</v>
      </c>
      <c r="V41" s="5">
        <f t="shared" si="18"/>
        <v>6.5640561339972842E-2</v>
      </c>
      <c r="W41" s="5">
        <f t="shared" si="19"/>
        <v>0.15029425079221323</v>
      </c>
      <c r="X41" s="5">
        <f t="shared" si="20"/>
        <v>0.33318243549117249</v>
      </c>
      <c r="Y41" s="5">
        <f t="shared" si="21"/>
        <v>0.30511543684925263</v>
      </c>
      <c r="Z41" s="5">
        <f t="shared" si="22"/>
        <v>0</v>
      </c>
      <c r="AA41" s="5">
        <f t="shared" si="23"/>
        <v>0.10502489814395653</v>
      </c>
      <c r="AB41" s="5">
        <f t="shared" si="24"/>
        <v>0</v>
      </c>
      <c r="AC41" s="5">
        <f t="shared" si="25"/>
        <v>0</v>
      </c>
      <c r="AD41" s="5">
        <f t="shared" si="26"/>
        <v>0</v>
      </c>
      <c r="AE41" s="5">
        <f t="shared" si="27"/>
        <v>0</v>
      </c>
      <c r="AF41" s="5">
        <f t="shared" si="28"/>
        <v>0</v>
      </c>
      <c r="AG41" s="5">
        <f t="shared" si="29"/>
        <v>0</v>
      </c>
      <c r="AH41" s="6">
        <f t="shared" si="15"/>
        <v>0.30511543684925263</v>
      </c>
      <c r="AI41" s="6">
        <f t="shared" si="16"/>
        <v>0.10502489814395653</v>
      </c>
      <c r="AJ41" s="6"/>
    </row>
    <row r="42" spans="1:38" x14ac:dyDescent="0.25">
      <c r="A42">
        <v>1940</v>
      </c>
      <c r="B42">
        <v>2.0299999999999998</v>
      </c>
      <c r="C42">
        <v>4.8</v>
      </c>
      <c r="D42">
        <v>6.89</v>
      </c>
      <c r="E42">
        <v>19.749999999999901</v>
      </c>
      <c r="F42">
        <v>10.0999999999999</v>
      </c>
      <c r="G42">
        <v>3.13</v>
      </c>
      <c r="H42">
        <v>2.33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f t="shared" si="12"/>
        <v>13.229999999999901</v>
      </c>
      <c r="P42">
        <f t="shared" si="13"/>
        <v>2.33</v>
      </c>
      <c r="S42">
        <v>1940</v>
      </c>
      <c r="T42" s="23">
        <v>49.34</v>
      </c>
      <c r="U42" s="5">
        <f t="shared" si="17"/>
        <v>4.1143088771787586E-2</v>
      </c>
      <c r="V42" s="5">
        <f t="shared" si="18"/>
        <v>9.7284150790433718E-2</v>
      </c>
      <c r="W42" s="5">
        <f t="shared" si="19"/>
        <v>0.13964329144710172</v>
      </c>
      <c r="X42" s="5">
        <f t="shared" si="20"/>
        <v>0.40028374543980338</v>
      </c>
      <c r="Y42" s="5">
        <f t="shared" si="21"/>
        <v>0.20470206728820226</v>
      </c>
      <c r="Z42" s="5">
        <f t="shared" si="22"/>
        <v>6.3437373327928648E-2</v>
      </c>
      <c r="AA42" s="5">
        <f t="shared" si="23"/>
        <v>4.7223348196189702E-2</v>
      </c>
      <c r="AB42" s="5">
        <f t="shared" si="24"/>
        <v>0</v>
      </c>
      <c r="AC42" s="5">
        <f t="shared" si="25"/>
        <v>0</v>
      </c>
      <c r="AD42" s="5">
        <f t="shared" si="26"/>
        <v>0</v>
      </c>
      <c r="AE42" s="5">
        <f t="shared" si="27"/>
        <v>0</v>
      </c>
      <c r="AF42" s="5">
        <f t="shared" si="28"/>
        <v>0</v>
      </c>
      <c r="AG42" s="5">
        <f t="shared" si="29"/>
        <v>0</v>
      </c>
      <c r="AH42" s="6">
        <f t="shared" si="15"/>
        <v>0.26813944061613093</v>
      </c>
      <c r="AI42" s="6">
        <f t="shared" si="16"/>
        <v>4.7223348196189702E-2</v>
      </c>
      <c r="AJ42" s="6"/>
    </row>
    <row r="43" spans="1:38" x14ac:dyDescent="0.25">
      <c r="A43">
        <v>1941</v>
      </c>
      <c r="B43">
        <v>0.93</v>
      </c>
      <c r="C43">
        <v>5.53</v>
      </c>
      <c r="D43">
        <v>8.52</v>
      </c>
      <c r="E43">
        <v>9.9499999999999993</v>
      </c>
      <c r="F43">
        <v>5.35</v>
      </c>
      <c r="G43">
        <v>4.72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f t="shared" si="12"/>
        <v>10.07</v>
      </c>
      <c r="P43">
        <f t="shared" si="13"/>
        <v>0</v>
      </c>
      <c r="S43">
        <v>1941</v>
      </c>
      <c r="T43" s="24">
        <v>35.24</v>
      </c>
      <c r="U43" s="5">
        <f t="shared" si="17"/>
        <v>2.6390465380249715E-2</v>
      </c>
      <c r="V43" s="5">
        <f t="shared" si="18"/>
        <v>0.15692395005675369</v>
      </c>
      <c r="W43" s="5">
        <f t="shared" si="19"/>
        <v>0.24177071509648124</v>
      </c>
      <c r="X43" s="5">
        <f t="shared" si="20"/>
        <v>0.28234960272417703</v>
      </c>
      <c r="Y43" s="5">
        <f t="shared" si="21"/>
        <v>0.15181611804767309</v>
      </c>
      <c r="Z43" s="5">
        <f t="shared" si="22"/>
        <v>0.13393870601589103</v>
      </c>
      <c r="AA43" s="5">
        <f t="shared" si="23"/>
        <v>0</v>
      </c>
      <c r="AB43" s="5">
        <f t="shared" si="24"/>
        <v>0</v>
      </c>
      <c r="AC43" s="5">
        <f t="shared" si="25"/>
        <v>0</v>
      </c>
      <c r="AD43" s="5">
        <f t="shared" si="26"/>
        <v>0</v>
      </c>
      <c r="AE43" s="5">
        <f t="shared" si="27"/>
        <v>0</v>
      </c>
      <c r="AF43" s="5">
        <f t="shared" si="28"/>
        <v>0</v>
      </c>
      <c r="AG43" s="5">
        <f t="shared" si="29"/>
        <v>0</v>
      </c>
      <c r="AH43" s="6">
        <f t="shared" si="15"/>
        <v>0.28575482406356412</v>
      </c>
      <c r="AI43" s="6">
        <f t="shared" si="16"/>
        <v>0</v>
      </c>
      <c r="AJ43" s="6"/>
    </row>
    <row r="44" spans="1:38" x14ac:dyDescent="0.25">
      <c r="A44">
        <v>1942</v>
      </c>
      <c r="B44">
        <v>2.06</v>
      </c>
      <c r="C44">
        <v>3.8</v>
      </c>
      <c r="D44">
        <v>8.32</v>
      </c>
      <c r="E44">
        <v>22.8</v>
      </c>
      <c r="F44">
        <v>9.01</v>
      </c>
      <c r="G44">
        <v>7.23</v>
      </c>
      <c r="H44">
        <v>2.21</v>
      </c>
      <c r="I44">
        <v>0</v>
      </c>
      <c r="J44">
        <v>7.64</v>
      </c>
      <c r="K44">
        <v>0</v>
      </c>
      <c r="L44">
        <v>0</v>
      </c>
      <c r="M44">
        <v>0</v>
      </c>
      <c r="N44">
        <v>0</v>
      </c>
      <c r="O44">
        <f t="shared" si="12"/>
        <v>16.240000000000002</v>
      </c>
      <c r="P44">
        <f t="shared" si="13"/>
        <v>9.85</v>
      </c>
      <c r="S44">
        <v>1942</v>
      </c>
      <c r="T44" s="23">
        <v>63.25</v>
      </c>
      <c r="U44" s="5">
        <f t="shared" si="17"/>
        <v>3.2569169960474306E-2</v>
      </c>
      <c r="V44" s="5">
        <f t="shared" si="18"/>
        <v>6.007905138339921E-2</v>
      </c>
      <c r="W44" s="5">
        <f t="shared" si="19"/>
        <v>0.13154150197628459</v>
      </c>
      <c r="X44" s="5">
        <f t="shared" si="20"/>
        <v>0.36047430830039529</v>
      </c>
      <c r="Y44" s="5">
        <f t="shared" si="21"/>
        <v>0.14245059288537548</v>
      </c>
      <c r="Z44" s="5">
        <f t="shared" si="22"/>
        <v>0.11430830039525693</v>
      </c>
      <c r="AA44" s="5">
        <f t="shared" si="23"/>
        <v>3.4940711462450591E-2</v>
      </c>
      <c r="AB44" s="5">
        <f t="shared" si="24"/>
        <v>0</v>
      </c>
      <c r="AC44" s="5">
        <f t="shared" si="25"/>
        <v>0.12079051383399209</v>
      </c>
      <c r="AD44" s="5">
        <f t="shared" si="26"/>
        <v>0</v>
      </c>
      <c r="AE44" s="5">
        <f t="shared" si="27"/>
        <v>0</v>
      </c>
      <c r="AF44" s="5">
        <f t="shared" si="28"/>
        <v>0</v>
      </c>
      <c r="AG44" s="5">
        <f t="shared" si="29"/>
        <v>0</v>
      </c>
      <c r="AH44" s="6">
        <f t="shared" si="15"/>
        <v>0.25675889328063239</v>
      </c>
      <c r="AI44" s="6">
        <f t="shared" si="16"/>
        <v>0.15573122529644268</v>
      </c>
      <c r="AJ44" s="6"/>
    </row>
    <row r="45" spans="1:38" x14ac:dyDescent="0.25">
      <c r="A45">
        <v>1943</v>
      </c>
      <c r="B45">
        <v>1.95</v>
      </c>
      <c r="C45">
        <v>5.64</v>
      </c>
      <c r="D45">
        <v>6.8</v>
      </c>
      <c r="E45">
        <v>11.3799999999999</v>
      </c>
      <c r="F45">
        <v>5.18</v>
      </c>
      <c r="G45">
        <v>3.85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f t="shared" si="12"/>
        <v>9.0299999999999994</v>
      </c>
      <c r="P45">
        <f t="shared" si="13"/>
        <v>0</v>
      </c>
      <c r="S45">
        <v>1943</v>
      </c>
      <c r="T45" s="24">
        <v>35.11</v>
      </c>
      <c r="U45" s="5">
        <f t="shared" si="17"/>
        <v>5.5539732270008545E-2</v>
      </c>
      <c r="V45" s="5">
        <f t="shared" si="18"/>
        <v>0.16063799487325547</v>
      </c>
      <c r="W45" s="5">
        <f t="shared" si="19"/>
        <v>0.19367701509541441</v>
      </c>
      <c r="X45" s="5">
        <f t="shared" si="20"/>
        <v>0.3241241811449701</v>
      </c>
      <c r="Y45" s="5">
        <f t="shared" si="21"/>
        <v>0.14753631444033039</v>
      </c>
      <c r="Z45" s="5">
        <f t="shared" si="22"/>
        <v>0.10965536884078611</v>
      </c>
      <c r="AA45" s="5">
        <f t="shared" si="23"/>
        <v>0</v>
      </c>
      <c r="AB45" s="5">
        <f t="shared" si="24"/>
        <v>0</v>
      </c>
      <c r="AC45" s="5">
        <f t="shared" si="25"/>
        <v>0</v>
      </c>
      <c r="AD45" s="5">
        <f t="shared" si="26"/>
        <v>0</v>
      </c>
      <c r="AE45" s="5">
        <f t="shared" si="27"/>
        <v>0</v>
      </c>
      <c r="AF45" s="5">
        <f t="shared" si="28"/>
        <v>0</v>
      </c>
      <c r="AG45" s="5">
        <f t="shared" si="29"/>
        <v>0</v>
      </c>
      <c r="AH45" s="6">
        <f t="shared" si="15"/>
        <v>0.25719168328111652</v>
      </c>
      <c r="AI45" s="6">
        <f t="shared" si="16"/>
        <v>0</v>
      </c>
      <c r="AJ45" s="6"/>
    </row>
    <row r="46" spans="1:38" x14ac:dyDescent="0.25">
      <c r="A46">
        <v>1944</v>
      </c>
      <c r="B46">
        <v>2.35</v>
      </c>
      <c r="C46">
        <v>4.0599999999999996</v>
      </c>
      <c r="D46">
        <v>5.65</v>
      </c>
      <c r="E46">
        <v>16.62</v>
      </c>
      <c r="F46">
        <v>7.51</v>
      </c>
      <c r="G46">
        <v>3.11</v>
      </c>
      <c r="H46">
        <v>2.1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f t="shared" si="12"/>
        <v>10.62</v>
      </c>
      <c r="P46">
        <f t="shared" si="13"/>
        <v>2.1</v>
      </c>
      <c r="S46">
        <v>1944</v>
      </c>
      <c r="T46" s="23">
        <v>41.54</v>
      </c>
      <c r="U46" s="5">
        <f t="shared" si="17"/>
        <v>5.6571978815599423E-2</v>
      </c>
      <c r="V46" s="5">
        <f t="shared" si="18"/>
        <v>9.7737120847376013E-2</v>
      </c>
      <c r="W46" s="5">
        <f t="shared" si="19"/>
        <v>0.13601348098218585</v>
      </c>
      <c r="X46" s="5">
        <f t="shared" si="20"/>
        <v>0.40009629272989894</v>
      </c>
      <c r="Y46" s="5">
        <f t="shared" si="21"/>
        <v>0.18078960038517092</v>
      </c>
      <c r="Z46" s="5">
        <f t="shared" si="22"/>
        <v>7.4867597496389021E-2</v>
      </c>
      <c r="AA46" s="5">
        <f t="shared" si="23"/>
        <v>5.0553683196918636E-2</v>
      </c>
      <c r="AB46" s="5">
        <f t="shared" si="24"/>
        <v>0</v>
      </c>
      <c r="AC46" s="5">
        <f t="shared" si="25"/>
        <v>0</v>
      </c>
      <c r="AD46" s="5">
        <f t="shared" si="26"/>
        <v>0</v>
      </c>
      <c r="AE46" s="5">
        <f t="shared" si="27"/>
        <v>0</v>
      </c>
      <c r="AF46" s="5">
        <f t="shared" si="28"/>
        <v>0</v>
      </c>
      <c r="AG46" s="5">
        <f t="shared" si="29"/>
        <v>0</v>
      </c>
      <c r="AH46" s="6">
        <f t="shared" si="15"/>
        <v>0.25565719788155994</v>
      </c>
      <c r="AI46" s="6">
        <f t="shared" si="16"/>
        <v>5.0553683196918636E-2</v>
      </c>
      <c r="AJ46" s="6"/>
    </row>
    <row r="47" spans="1:38" x14ac:dyDescent="0.25">
      <c r="A47">
        <v>1945</v>
      </c>
      <c r="B47">
        <v>2.7</v>
      </c>
      <c r="C47">
        <v>5.0599999999999996</v>
      </c>
      <c r="D47">
        <v>12.66</v>
      </c>
      <c r="E47">
        <v>13.1</v>
      </c>
      <c r="F47">
        <v>10.95</v>
      </c>
      <c r="G47">
        <v>5.68</v>
      </c>
      <c r="H47">
        <v>9.43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f t="shared" si="12"/>
        <v>16.63</v>
      </c>
      <c r="P47">
        <f t="shared" si="13"/>
        <v>9.43</v>
      </c>
      <c r="S47">
        <v>1945</v>
      </c>
      <c r="T47" s="24">
        <v>59.92</v>
      </c>
      <c r="U47" s="5">
        <f t="shared" si="17"/>
        <v>4.5060080106809078E-2</v>
      </c>
      <c r="V47" s="5">
        <f t="shared" si="18"/>
        <v>8.4445927903871815E-2</v>
      </c>
      <c r="W47" s="5">
        <f t="shared" si="19"/>
        <v>0.21128170894526035</v>
      </c>
      <c r="X47" s="5">
        <f t="shared" si="20"/>
        <v>0.2186248331108144</v>
      </c>
      <c r="Y47" s="5">
        <f t="shared" si="21"/>
        <v>0.1827436582109479</v>
      </c>
      <c r="Z47" s="5">
        <f t="shared" si="22"/>
        <v>9.4793057409879838E-2</v>
      </c>
      <c r="AA47" s="5">
        <f t="shared" si="23"/>
        <v>0.15737650200267023</v>
      </c>
      <c r="AB47" s="5">
        <f t="shared" si="24"/>
        <v>0</v>
      </c>
      <c r="AC47" s="5">
        <f t="shared" si="25"/>
        <v>0</v>
      </c>
      <c r="AD47" s="5">
        <f t="shared" si="26"/>
        <v>0</v>
      </c>
      <c r="AE47" s="5">
        <f t="shared" si="27"/>
        <v>0</v>
      </c>
      <c r="AF47" s="5">
        <f t="shared" si="28"/>
        <v>0</v>
      </c>
      <c r="AG47" s="5">
        <f t="shared" si="29"/>
        <v>0</v>
      </c>
      <c r="AH47" s="6">
        <f t="shared" si="15"/>
        <v>0.27753671562082771</v>
      </c>
      <c r="AI47" s="6">
        <f t="shared" si="16"/>
        <v>0.15737650200267023</v>
      </c>
      <c r="AJ47" s="6"/>
    </row>
    <row r="48" spans="1:38" x14ac:dyDescent="0.25">
      <c r="A48">
        <v>1946</v>
      </c>
      <c r="B48">
        <v>1.98</v>
      </c>
      <c r="C48">
        <v>5.31</v>
      </c>
      <c r="D48">
        <v>7.39</v>
      </c>
      <c r="E48">
        <v>10.6299999999999</v>
      </c>
      <c r="F48">
        <v>2.61</v>
      </c>
      <c r="G48">
        <v>3.26</v>
      </c>
      <c r="H48">
        <v>0</v>
      </c>
      <c r="I48">
        <v>2.6</v>
      </c>
      <c r="J48">
        <v>0</v>
      </c>
      <c r="K48">
        <v>0</v>
      </c>
      <c r="L48">
        <v>0</v>
      </c>
      <c r="M48">
        <v>0</v>
      </c>
      <c r="N48">
        <v>0</v>
      </c>
      <c r="O48">
        <f t="shared" si="12"/>
        <v>5.8699999999999992</v>
      </c>
      <c r="P48">
        <f t="shared" si="13"/>
        <v>2.6</v>
      </c>
      <c r="S48">
        <v>1946</v>
      </c>
      <c r="T48" s="23">
        <v>34.01</v>
      </c>
      <c r="U48" s="5">
        <f t="shared" si="17"/>
        <v>5.8218171126139376E-2</v>
      </c>
      <c r="V48" s="5">
        <f t="shared" si="18"/>
        <v>0.15613054983828287</v>
      </c>
      <c r="W48" s="5">
        <f t="shared" si="19"/>
        <v>0.21728903263745958</v>
      </c>
      <c r="X48" s="5">
        <f t="shared" si="20"/>
        <v>0.31255513084386649</v>
      </c>
      <c r="Y48" s="5">
        <f t="shared" si="21"/>
        <v>7.6742134666274622E-2</v>
      </c>
      <c r="Z48" s="5">
        <f t="shared" si="22"/>
        <v>9.585416054101735E-2</v>
      </c>
      <c r="AA48" s="5">
        <f t="shared" si="23"/>
        <v>0</v>
      </c>
      <c r="AB48" s="5">
        <f t="shared" si="24"/>
        <v>7.6448103498970896E-2</v>
      </c>
      <c r="AC48" s="5">
        <f t="shared" si="25"/>
        <v>0</v>
      </c>
      <c r="AD48" s="5">
        <f t="shared" si="26"/>
        <v>0</v>
      </c>
      <c r="AE48" s="5">
        <f t="shared" si="27"/>
        <v>0</v>
      </c>
      <c r="AF48" s="5">
        <f t="shared" si="28"/>
        <v>0</v>
      </c>
      <c r="AG48" s="5">
        <f t="shared" si="29"/>
        <v>0</v>
      </c>
      <c r="AH48" s="6">
        <f t="shared" si="15"/>
        <v>0.17259629520729197</v>
      </c>
      <c r="AI48" s="6">
        <f t="shared" si="16"/>
        <v>7.6448103498970896E-2</v>
      </c>
      <c r="AJ48" s="6"/>
    </row>
    <row r="49" spans="1:36" x14ac:dyDescent="0.25">
      <c r="A49">
        <v>1947</v>
      </c>
      <c r="B49">
        <v>1.46</v>
      </c>
      <c r="C49">
        <v>4.45</v>
      </c>
      <c r="D49">
        <v>10.989999999999901</v>
      </c>
      <c r="E49">
        <v>11.7</v>
      </c>
      <c r="F49">
        <v>15.52</v>
      </c>
      <c r="G49">
        <v>5.08</v>
      </c>
      <c r="H49">
        <v>0</v>
      </c>
      <c r="I49">
        <v>5.4</v>
      </c>
      <c r="J49">
        <v>0</v>
      </c>
      <c r="K49">
        <v>0</v>
      </c>
      <c r="L49">
        <v>0</v>
      </c>
      <c r="M49">
        <v>0</v>
      </c>
      <c r="N49">
        <v>0</v>
      </c>
      <c r="O49">
        <f t="shared" si="12"/>
        <v>20.6</v>
      </c>
      <c r="P49">
        <f t="shared" si="13"/>
        <v>5.4</v>
      </c>
      <c r="S49">
        <v>1947</v>
      </c>
      <c r="T49" s="24">
        <v>54.75</v>
      </c>
      <c r="U49" s="5">
        <f t="shared" si="17"/>
        <v>2.6666666666666665E-2</v>
      </c>
      <c r="V49" s="5">
        <f t="shared" si="18"/>
        <v>8.1278538812785392E-2</v>
      </c>
      <c r="W49" s="5">
        <f t="shared" si="19"/>
        <v>0.20073059360730414</v>
      </c>
      <c r="X49" s="5">
        <f t="shared" si="20"/>
        <v>0.21369863013698628</v>
      </c>
      <c r="Y49" s="5">
        <f t="shared" si="21"/>
        <v>0.28347031963470321</v>
      </c>
      <c r="Z49" s="5">
        <f t="shared" si="22"/>
        <v>9.2785388127853877E-2</v>
      </c>
      <c r="AA49" s="5">
        <f t="shared" si="23"/>
        <v>0</v>
      </c>
      <c r="AB49" s="5">
        <f t="shared" si="24"/>
        <v>9.8630136986301381E-2</v>
      </c>
      <c r="AC49" s="5">
        <f t="shared" si="25"/>
        <v>0</v>
      </c>
      <c r="AD49" s="5">
        <f t="shared" si="26"/>
        <v>0</v>
      </c>
      <c r="AE49" s="5">
        <f t="shared" si="27"/>
        <v>0</v>
      </c>
      <c r="AF49" s="5">
        <f t="shared" si="28"/>
        <v>0</v>
      </c>
      <c r="AG49" s="5">
        <f t="shared" si="29"/>
        <v>0</v>
      </c>
      <c r="AH49" s="6">
        <f t="shared" si="15"/>
        <v>0.37625570776255707</v>
      </c>
      <c r="AI49" s="6">
        <f t="shared" si="16"/>
        <v>9.8630136986301381E-2</v>
      </c>
      <c r="AJ49" s="6"/>
    </row>
    <row r="50" spans="1:36" x14ac:dyDescent="0.25">
      <c r="A50">
        <v>1948</v>
      </c>
      <c r="B50">
        <v>2.67</v>
      </c>
      <c r="C50">
        <v>5.84</v>
      </c>
      <c r="D50">
        <v>9.6199999999999992</v>
      </c>
      <c r="E50">
        <v>17.89</v>
      </c>
      <c r="F50">
        <v>6.99</v>
      </c>
      <c r="G50">
        <v>0</v>
      </c>
      <c r="H50">
        <v>0</v>
      </c>
      <c r="I50">
        <v>3</v>
      </c>
      <c r="J50">
        <v>0</v>
      </c>
      <c r="K50">
        <v>0</v>
      </c>
      <c r="L50">
        <v>0</v>
      </c>
      <c r="M50">
        <v>0</v>
      </c>
      <c r="N50">
        <v>0</v>
      </c>
      <c r="O50">
        <f t="shared" si="12"/>
        <v>6.99</v>
      </c>
      <c r="P50">
        <f t="shared" si="13"/>
        <v>3</v>
      </c>
      <c r="S50">
        <v>1948</v>
      </c>
      <c r="T50" s="23">
        <v>46.28</v>
      </c>
      <c r="U50" s="5">
        <f t="shared" si="17"/>
        <v>5.7692307692307689E-2</v>
      </c>
      <c r="V50" s="5">
        <f t="shared" si="18"/>
        <v>0.12618841832324978</v>
      </c>
      <c r="W50" s="5">
        <f t="shared" si="19"/>
        <v>0.20786516853932582</v>
      </c>
      <c r="X50" s="5">
        <f t="shared" si="20"/>
        <v>0.38656006914433882</v>
      </c>
      <c r="Y50" s="5">
        <f t="shared" si="21"/>
        <v>0.1510371650821089</v>
      </c>
      <c r="Z50" s="5">
        <f t="shared" si="22"/>
        <v>0</v>
      </c>
      <c r="AA50" s="5">
        <f t="shared" si="23"/>
        <v>0</v>
      </c>
      <c r="AB50" s="5">
        <f t="shared" si="24"/>
        <v>6.482281763180639E-2</v>
      </c>
      <c r="AC50" s="5">
        <f t="shared" si="25"/>
        <v>0</v>
      </c>
      <c r="AD50" s="5">
        <f t="shared" si="26"/>
        <v>0</v>
      </c>
      <c r="AE50" s="5">
        <f t="shared" si="27"/>
        <v>0</v>
      </c>
      <c r="AF50" s="5">
        <f t="shared" si="28"/>
        <v>0</v>
      </c>
      <c r="AG50" s="5">
        <f t="shared" si="29"/>
        <v>0</v>
      </c>
      <c r="AH50" s="6">
        <f t="shared" si="15"/>
        <v>0.1510371650821089</v>
      </c>
      <c r="AI50" s="6">
        <f t="shared" si="16"/>
        <v>6.482281763180639E-2</v>
      </c>
      <c r="AJ50" s="6"/>
    </row>
    <row r="51" spans="1:36" x14ac:dyDescent="0.25">
      <c r="A51">
        <v>1949</v>
      </c>
      <c r="B51">
        <v>1.91</v>
      </c>
      <c r="C51">
        <v>6.54</v>
      </c>
      <c r="D51">
        <v>11.04</v>
      </c>
      <c r="E51">
        <v>14.7699999999999</v>
      </c>
      <c r="F51">
        <v>4.68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f t="shared" si="12"/>
        <v>4.68</v>
      </c>
      <c r="P51">
        <f t="shared" si="13"/>
        <v>0</v>
      </c>
      <c r="S51">
        <v>1949</v>
      </c>
      <c r="T51" s="24">
        <v>39.119999999999997</v>
      </c>
      <c r="U51" s="5">
        <f t="shared" si="17"/>
        <v>4.8824130879345604E-2</v>
      </c>
      <c r="V51" s="5">
        <f t="shared" si="18"/>
        <v>0.16717791411042945</v>
      </c>
      <c r="W51" s="5">
        <f t="shared" si="19"/>
        <v>0.2822085889570552</v>
      </c>
      <c r="X51" s="5">
        <f t="shared" si="20"/>
        <v>0.37755623721881137</v>
      </c>
      <c r="Y51" s="5">
        <f t="shared" si="21"/>
        <v>0.1196319018404908</v>
      </c>
      <c r="Z51" s="5">
        <f t="shared" si="22"/>
        <v>0</v>
      </c>
      <c r="AA51" s="5">
        <f t="shared" si="23"/>
        <v>0</v>
      </c>
      <c r="AB51" s="5">
        <f t="shared" si="24"/>
        <v>0</v>
      </c>
      <c r="AC51" s="5">
        <f t="shared" si="25"/>
        <v>0</v>
      </c>
      <c r="AD51" s="5">
        <f t="shared" si="26"/>
        <v>0</v>
      </c>
      <c r="AE51" s="5">
        <f t="shared" si="27"/>
        <v>0</v>
      </c>
      <c r="AF51" s="5">
        <f t="shared" si="28"/>
        <v>0</v>
      </c>
      <c r="AG51" s="5">
        <f t="shared" si="29"/>
        <v>0</v>
      </c>
      <c r="AH51" s="6">
        <f t="shared" si="15"/>
        <v>0.1196319018404908</v>
      </c>
      <c r="AI51" s="6">
        <f t="shared" si="16"/>
        <v>0</v>
      </c>
      <c r="AJ51" s="6"/>
    </row>
    <row r="52" spans="1:36" x14ac:dyDescent="0.25">
      <c r="A52">
        <v>1950</v>
      </c>
      <c r="B52">
        <v>2.65</v>
      </c>
      <c r="C52">
        <v>6.43</v>
      </c>
      <c r="D52">
        <v>12.2</v>
      </c>
      <c r="E52">
        <v>17.309999999999999</v>
      </c>
      <c r="F52">
        <v>4.93</v>
      </c>
      <c r="G52">
        <v>0</v>
      </c>
      <c r="H52">
        <v>2.25</v>
      </c>
      <c r="I52">
        <v>0</v>
      </c>
      <c r="J52">
        <v>4</v>
      </c>
      <c r="K52">
        <v>0</v>
      </c>
      <c r="L52">
        <v>0</v>
      </c>
      <c r="M52">
        <v>0</v>
      </c>
      <c r="N52">
        <v>0</v>
      </c>
      <c r="O52">
        <f t="shared" si="12"/>
        <v>4.93</v>
      </c>
      <c r="P52">
        <f t="shared" si="13"/>
        <v>6.25</v>
      </c>
      <c r="S52">
        <v>1950</v>
      </c>
      <c r="T52" s="23">
        <v>49.92</v>
      </c>
      <c r="U52" s="5">
        <f t="shared" si="17"/>
        <v>5.3084935897435896E-2</v>
      </c>
      <c r="V52" s="5">
        <f t="shared" si="18"/>
        <v>0.12880608974358973</v>
      </c>
      <c r="W52" s="5">
        <f t="shared" si="19"/>
        <v>0.24439102564102561</v>
      </c>
      <c r="X52" s="5">
        <f t="shared" si="20"/>
        <v>0.34675480769230765</v>
      </c>
      <c r="Y52" s="5">
        <f t="shared" si="21"/>
        <v>9.8758012820512817E-2</v>
      </c>
      <c r="Z52" s="5">
        <f t="shared" si="22"/>
        <v>0</v>
      </c>
      <c r="AA52" s="5">
        <f t="shared" si="23"/>
        <v>4.5072115384615384E-2</v>
      </c>
      <c r="AB52" s="5">
        <f t="shared" si="24"/>
        <v>0</v>
      </c>
      <c r="AC52" s="5">
        <f t="shared" si="25"/>
        <v>8.0128205128205121E-2</v>
      </c>
      <c r="AD52" s="5">
        <f t="shared" si="26"/>
        <v>0</v>
      </c>
      <c r="AE52" s="5">
        <f t="shared" si="27"/>
        <v>0</v>
      </c>
      <c r="AF52" s="5">
        <f t="shared" si="28"/>
        <v>0</v>
      </c>
      <c r="AG52" s="5">
        <f t="shared" si="29"/>
        <v>0</v>
      </c>
      <c r="AH52" s="6">
        <f t="shared" si="15"/>
        <v>9.8758012820512817E-2</v>
      </c>
      <c r="AI52" s="6">
        <f t="shared" si="16"/>
        <v>0.12520032051282051</v>
      </c>
      <c r="AJ52" s="6"/>
    </row>
    <row r="53" spans="1:36" x14ac:dyDescent="0.25">
      <c r="A53">
        <v>1951</v>
      </c>
      <c r="B53">
        <v>1.72</v>
      </c>
      <c r="C53">
        <v>3.51</v>
      </c>
      <c r="D53">
        <v>11.7899999999999</v>
      </c>
      <c r="E53">
        <v>13.639999999999899</v>
      </c>
      <c r="F53">
        <v>11.45</v>
      </c>
      <c r="G53">
        <v>1.9</v>
      </c>
      <c r="H53">
        <v>0</v>
      </c>
      <c r="I53">
        <v>0</v>
      </c>
      <c r="J53">
        <v>3.8</v>
      </c>
      <c r="K53">
        <v>0</v>
      </c>
      <c r="L53">
        <v>0</v>
      </c>
      <c r="M53">
        <v>0</v>
      </c>
      <c r="N53">
        <v>0</v>
      </c>
      <c r="O53">
        <f t="shared" si="12"/>
        <v>13.35</v>
      </c>
      <c r="P53">
        <f t="shared" si="13"/>
        <v>3.8</v>
      </c>
      <c r="S53">
        <v>1951</v>
      </c>
      <c r="T53" s="24">
        <v>47.91</v>
      </c>
      <c r="U53" s="5">
        <f t="shared" si="17"/>
        <v>3.5900647046545608E-2</v>
      </c>
      <c r="V53" s="5">
        <f t="shared" si="18"/>
        <v>7.3262366938008763E-2</v>
      </c>
      <c r="W53" s="5">
        <f t="shared" si="19"/>
        <v>0.2460864120225402</v>
      </c>
      <c r="X53" s="5">
        <f t="shared" si="20"/>
        <v>0.28470048006678983</v>
      </c>
      <c r="Y53" s="5">
        <f t="shared" si="21"/>
        <v>0.23898977249008557</v>
      </c>
      <c r="Z53" s="5">
        <f t="shared" si="22"/>
        <v>3.9657691504905029E-2</v>
      </c>
      <c r="AA53" s="5">
        <f t="shared" si="23"/>
        <v>0</v>
      </c>
      <c r="AB53" s="5">
        <f t="shared" si="24"/>
        <v>0</v>
      </c>
      <c r="AC53" s="5">
        <f t="shared" si="25"/>
        <v>7.9315383009810059E-2</v>
      </c>
      <c r="AD53" s="5">
        <f t="shared" si="26"/>
        <v>0</v>
      </c>
      <c r="AE53" s="5">
        <f t="shared" si="27"/>
        <v>0</v>
      </c>
      <c r="AF53" s="5">
        <f t="shared" si="28"/>
        <v>0</v>
      </c>
      <c r="AG53" s="5">
        <f t="shared" si="29"/>
        <v>0</v>
      </c>
      <c r="AH53" s="6">
        <f t="shared" si="15"/>
        <v>0.27864746399499063</v>
      </c>
      <c r="AI53" s="6">
        <f t="shared" si="16"/>
        <v>7.9315383009810059E-2</v>
      </c>
      <c r="AJ53" s="6"/>
    </row>
    <row r="54" spans="1:36" x14ac:dyDescent="0.25">
      <c r="A54">
        <v>1952</v>
      </c>
      <c r="B54">
        <v>1.81</v>
      </c>
      <c r="C54">
        <v>4.88</v>
      </c>
      <c r="D54">
        <v>6.7399999999999904</v>
      </c>
      <c r="E54">
        <v>12.12</v>
      </c>
      <c r="F54">
        <v>10.77</v>
      </c>
      <c r="G54">
        <v>6.29</v>
      </c>
      <c r="H54">
        <v>2.48</v>
      </c>
      <c r="I54">
        <v>3</v>
      </c>
      <c r="J54">
        <v>7.59</v>
      </c>
      <c r="K54">
        <v>0</v>
      </c>
      <c r="L54">
        <v>0</v>
      </c>
      <c r="M54">
        <v>0</v>
      </c>
      <c r="N54">
        <v>0</v>
      </c>
      <c r="O54">
        <f t="shared" si="12"/>
        <v>17.059999999999999</v>
      </c>
      <c r="P54">
        <f t="shared" si="13"/>
        <v>13.07</v>
      </c>
      <c r="S54">
        <v>1952</v>
      </c>
      <c r="T54" s="23">
        <v>55.92</v>
      </c>
      <c r="U54" s="5">
        <f t="shared" si="17"/>
        <v>3.2367668097281831E-2</v>
      </c>
      <c r="V54" s="5">
        <f t="shared" si="18"/>
        <v>8.7267525035765375E-2</v>
      </c>
      <c r="W54" s="5">
        <f t="shared" si="19"/>
        <v>0.1205293276108725</v>
      </c>
      <c r="X54" s="5">
        <f t="shared" si="20"/>
        <v>0.21673819742489267</v>
      </c>
      <c r="Y54" s="5">
        <f t="shared" si="21"/>
        <v>0.19259656652360513</v>
      </c>
      <c r="Z54" s="5">
        <f t="shared" si="22"/>
        <v>0.11248211731044348</v>
      </c>
      <c r="AA54" s="5">
        <f t="shared" si="23"/>
        <v>4.4349070100143058E-2</v>
      </c>
      <c r="AB54" s="5">
        <f t="shared" si="24"/>
        <v>5.3648068669527899E-2</v>
      </c>
      <c r="AC54" s="5">
        <f t="shared" si="25"/>
        <v>0.13572961373390557</v>
      </c>
      <c r="AD54" s="5">
        <f t="shared" si="26"/>
        <v>0</v>
      </c>
      <c r="AE54" s="5">
        <f t="shared" si="27"/>
        <v>0</v>
      </c>
      <c r="AF54" s="5">
        <f t="shared" si="28"/>
        <v>0</v>
      </c>
      <c r="AG54" s="5">
        <f t="shared" si="29"/>
        <v>0</v>
      </c>
      <c r="AH54" s="6">
        <f t="shared" si="15"/>
        <v>0.30507868383404863</v>
      </c>
      <c r="AI54" s="6">
        <f t="shared" si="16"/>
        <v>0.23372675250357652</v>
      </c>
      <c r="AJ54" s="6"/>
    </row>
    <row r="55" spans="1:36" x14ac:dyDescent="0.25">
      <c r="A55">
        <v>1953</v>
      </c>
      <c r="B55">
        <v>1.55</v>
      </c>
      <c r="C55">
        <v>2.15</v>
      </c>
      <c r="D55">
        <v>9.7399999999999896</v>
      </c>
      <c r="E55">
        <v>9.9599999999999902</v>
      </c>
      <c r="F55">
        <v>4.9000000000000004</v>
      </c>
      <c r="G55">
        <v>3.53</v>
      </c>
      <c r="H55">
        <v>2.4</v>
      </c>
      <c r="I55">
        <v>0</v>
      </c>
      <c r="J55">
        <v>3.13</v>
      </c>
      <c r="K55">
        <v>0</v>
      </c>
      <c r="L55">
        <v>0</v>
      </c>
      <c r="M55">
        <v>0</v>
      </c>
      <c r="N55">
        <v>0</v>
      </c>
      <c r="O55">
        <f t="shared" si="12"/>
        <v>8.43</v>
      </c>
      <c r="P55">
        <f t="shared" si="13"/>
        <v>5.5299999999999994</v>
      </c>
      <c r="S55">
        <v>1953</v>
      </c>
      <c r="T55" s="24">
        <v>37.51</v>
      </c>
      <c r="U55" s="5">
        <f t="shared" si="17"/>
        <v>4.1322314049586778E-2</v>
      </c>
      <c r="V55" s="5">
        <f t="shared" si="18"/>
        <v>5.7318048520394564E-2</v>
      </c>
      <c r="W55" s="5">
        <f t="shared" si="19"/>
        <v>0.25966408957611276</v>
      </c>
      <c r="X55" s="5">
        <f t="shared" si="20"/>
        <v>0.26552919221540899</v>
      </c>
      <c r="Y55" s="5">
        <f t="shared" si="21"/>
        <v>0.13063183151159694</v>
      </c>
      <c r="Z55" s="5">
        <f t="shared" si="22"/>
        <v>9.4108237803252462E-2</v>
      </c>
      <c r="AA55" s="5">
        <f t="shared" si="23"/>
        <v>6.3982937883231145E-2</v>
      </c>
      <c r="AB55" s="5">
        <f t="shared" si="24"/>
        <v>0</v>
      </c>
      <c r="AC55" s="5">
        <f t="shared" si="25"/>
        <v>8.3444414822713947E-2</v>
      </c>
      <c r="AD55" s="5">
        <f t="shared" si="26"/>
        <v>0</v>
      </c>
      <c r="AE55" s="5">
        <f t="shared" si="27"/>
        <v>0</v>
      </c>
      <c r="AF55" s="5">
        <f t="shared" si="28"/>
        <v>0</v>
      </c>
      <c r="AG55" s="5">
        <f t="shared" si="29"/>
        <v>0</v>
      </c>
      <c r="AH55" s="6">
        <f t="shared" si="15"/>
        <v>0.22474006931484941</v>
      </c>
      <c r="AI55" s="6">
        <f t="shared" si="16"/>
        <v>0.14742735270594509</v>
      </c>
      <c r="AJ55" s="6"/>
    </row>
    <row r="56" spans="1:36" x14ac:dyDescent="0.25">
      <c r="A56">
        <v>1954</v>
      </c>
      <c r="B56">
        <v>0.86</v>
      </c>
      <c r="C56">
        <v>2.21999999999999</v>
      </c>
      <c r="D56">
        <v>2.37</v>
      </c>
      <c r="E56">
        <v>7.75</v>
      </c>
      <c r="F56">
        <v>2.21999999999999</v>
      </c>
      <c r="G56">
        <v>0</v>
      </c>
      <c r="H56">
        <v>2.4300000000000002</v>
      </c>
      <c r="I56">
        <v>2.95</v>
      </c>
      <c r="J56">
        <v>0</v>
      </c>
      <c r="K56">
        <v>0</v>
      </c>
      <c r="L56">
        <v>0</v>
      </c>
      <c r="M56">
        <v>0</v>
      </c>
      <c r="N56">
        <v>0</v>
      </c>
      <c r="O56">
        <f t="shared" si="12"/>
        <v>2.21999999999999</v>
      </c>
      <c r="P56">
        <f t="shared" si="13"/>
        <v>5.3800000000000008</v>
      </c>
      <c r="S56">
        <v>1954</v>
      </c>
      <c r="T56" s="23">
        <v>20.92</v>
      </c>
      <c r="U56" s="5">
        <f t="shared" si="17"/>
        <v>4.1108986615678772E-2</v>
      </c>
      <c r="V56" s="5">
        <f t="shared" si="18"/>
        <v>0.1061185468451238</v>
      </c>
      <c r="W56" s="5">
        <f t="shared" si="19"/>
        <v>0.1132887189292543</v>
      </c>
      <c r="X56" s="5">
        <f t="shared" si="20"/>
        <v>0.37045889101338431</v>
      </c>
      <c r="Y56" s="5">
        <f t="shared" si="21"/>
        <v>0.1061185468451238</v>
      </c>
      <c r="Z56" s="5">
        <f t="shared" si="22"/>
        <v>0</v>
      </c>
      <c r="AA56" s="5">
        <f t="shared" si="23"/>
        <v>0.11615678776290631</v>
      </c>
      <c r="AB56" s="5">
        <f t="shared" si="24"/>
        <v>0.14101338432122371</v>
      </c>
      <c r="AC56" s="5">
        <f t="shared" si="25"/>
        <v>0</v>
      </c>
      <c r="AD56" s="5">
        <f t="shared" si="26"/>
        <v>0</v>
      </c>
      <c r="AE56" s="5">
        <f t="shared" si="27"/>
        <v>0</v>
      </c>
      <c r="AF56" s="5">
        <f t="shared" si="28"/>
        <v>0</v>
      </c>
      <c r="AG56" s="5">
        <f t="shared" si="29"/>
        <v>0</v>
      </c>
      <c r="AH56" s="6">
        <f t="shared" si="15"/>
        <v>0.1061185468451238</v>
      </c>
      <c r="AI56" s="6">
        <f t="shared" si="16"/>
        <v>0.25717017208413001</v>
      </c>
      <c r="AJ56" s="6"/>
    </row>
    <row r="57" spans="1:36" x14ac:dyDescent="0.25">
      <c r="A57">
        <v>1955</v>
      </c>
      <c r="B57">
        <v>1.85</v>
      </c>
      <c r="C57">
        <v>4.3499999999999996</v>
      </c>
      <c r="D57">
        <v>8.3399999999999892</v>
      </c>
      <c r="E57">
        <v>6.41</v>
      </c>
      <c r="F57">
        <v>8.51</v>
      </c>
      <c r="G57">
        <v>3.36</v>
      </c>
      <c r="H57">
        <v>4.3</v>
      </c>
      <c r="I57">
        <v>0</v>
      </c>
      <c r="J57">
        <v>3.51</v>
      </c>
      <c r="K57">
        <v>9.14</v>
      </c>
      <c r="L57">
        <v>0</v>
      </c>
      <c r="M57">
        <v>0</v>
      </c>
      <c r="N57">
        <v>0</v>
      </c>
      <c r="O57">
        <f t="shared" si="12"/>
        <v>11.87</v>
      </c>
      <c r="P57">
        <f t="shared" si="13"/>
        <v>16.95</v>
      </c>
      <c r="S57">
        <v>1955</v>
      </c>
      <c r="T57" s="24">
        <v>49.96</v>
      </c>
      <c r="U57" s="5">
        <f t="shared" si="17"/>
        <v>3.7029623698959166E-2</v>
      </c>
      <c r="V57" s="5">
        <f t="shared" si="18"/>
        <v>8.7069655724579656E-2</v>
      </c>
      <c r="W57" s="5">
        <f t="shared" si="19"/>
        <v>0.16693354683746975</v>
      </c>
      <c r="X57" s="5">
        <f t="shared" si="20"/>
        <v>0.12830264211369094</v>
      </c>
      <c r="Y57" s="5">
        <f t="shared" si="21"/>
        <v>0.17033626901521215</v>
      </c>
      <c r="Z57" s="5">
        <f t="shared" si="22"/>
        <v>6.7253803042433946E-2</v>
      </c>
      <c r="AA57" s="5">
        <f t="shared" si="23"/>
        <v>8.6068855084067253E-2</v>
      </c>
      <c r="AB57" s="5">
        <f t="shared" si="24"/>
        <v>0</v>
      </c>
      <c r="AC57" s="5">
        <f t="shared" si="25"/>
        <v>7.0256204963971169E-2</v>
      </c>
      <c r="AD57" s="5">
        <f t="shared" si="26"/>
        <v>0.18294635708566853</v>
      </c>
      <c r="AE57" s="5">
        <f t="shared" si="27"/>
        <v>0</v>
      </c>
      <c r="AF57" s="5">
        <f t="shared" si="28"/>
        <v>0</v>
      </c>
      <c r="AG57" s="5">
        <f t="shared" si="29"/>
        <v>0</v>
      </c>
      <c r="AH57" s="6">
        <f t="shared" si="15"/>
        <v>0.2375900720576461</v>
      </c>
      <c r="AI57" s="6">
        <f t="shared" si="16"/>
        <v>0.33927141713370695</v>
      </c>
      <c r="AJ57" s="6"/>
    </row>
    <row r="58" spans="1:36" x14ac:dyDescent="0.25">
      <c r="A58">
        <v>1956</v>
      </c>
      <c r="B58">
        <v>1.99</v>
      </c>
      <c r="C58">
        <v>6.16</v>
      </c>
      <c r="D58">
        <v>10.45</v>
      </c>
      <c r="E58">
        <v>14.95</v>
      </c>
      <c r="F58">
        <v>5.84</v>
      </c>
      <c r="G58">
        <v>1.72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f t="shared" si="12"/>
        <v>7.56</v>
      </c>
      <c r="P58">
        <f t="shared" si="13"/>
        <v>0</v>
      </c>
      <c r="S58">
        <v>1956</v>
      </c>
      <c r="T58" s="23">
        <v>41.31</v>
      </c>
      <c r="U58" s="5">
        <f t="shared" si="17"/>
        <v>4.8172355361897845E-2</v>
      </c>
      <c r="V58" s="5">
        <f t="shared" si="18"/>
        <v>0.14911643669813604</v>
      </c>
      <c r="W58" s="5">
        <f t="shared" si="19"/>
        <v>0.25296538368433791</v>
      </c>
      <c r="X58" s="5">
        <f t="shared" si="20"/>
        <v>0.36189784555797622</v>
      </c>
      <c r="Y58" s="5">
        <f t="shared" si="21"/>
        <v>0.14137012829823287</v>
      </c>
      <c r="Z58" s="5">
        <f t="shared" si="22"/>
        <v>4.163640764947954E-2</v>
      </c>
      <c r="AA58" s="5">
        <f t="shared" si="23"/>
        <v>0</v>
      </c>
      <c r="AB58" s="5">
        <f t="shared" si="24"/>
        <v>0</v>
      </c>
      <c r="AC58" s="5">
        <f t="shared" si="25"/>
        <v>0</v>
      </c>
      <c r="AD58" s="5">
        <f t="shared" si="26"/>
        <v>0</v>
      </c>
      <c r="AE58" s="5">
        <f t="shared" si="27"/>
        <v>0</v>
      </c>
      <c r="AF58" s="5">
        <f t="shared" si="28"/>
        <v>0</v>
      </c>
      <c r="AG58" s="5">
        <f t="shared" si="29"/>
        <v>0</v>
      </c>
      <c r="AH58" s="6">
        <f t="shared" si="15"/>
        <v>0.18300653594771241</v>
      </c>
      <c r="AI58" s="6">
        <f t="shared" si="16"/>
        <v>0</v>
      </c>
      <c r="AJ58" s="6"/>
    </row>
    <row r="59" spans="1:36" x14ac:dyDescent="0.25">
      <c r="A59">
        <v>1957</v>
      </c>
      <c r="B59">
        <v>2.21</v>
      </c>
      <c r="C59">
        <v>5.91</v>
      </c>
      <c r="D59">
        <v>7.79</v>
      </c>
      <c r="E59">
        <v>11.21</v>
      </c>
      <c r="F59">
        <v>3.62</v>
      </c>
      <c r="G59">
        <v>4.74</v>
      </c>
      <c r="H59">
        <v>2.25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f t="shared" si="12"/>
        <v>8.36</v>
      </c>
      <c r="P59">
        <f t="shared" si="13"/>
        <v>2.25</v>
      </c>
      <c r="S59">
        <v>1957</v>
      </c>
      <c r="T59" s="24">
        <v>37.86</v>
      </c>
      <c r="U59" s="5">
        <f t="shared" si="17"/>
        <v>5.8372952984680399E-2</v>
      </c>
      <c r="V59" s="5">
        <f t="shared" si="18"/>
        <v>0.1561014263074485</v>
      </c>
      <c r="W59" s="5">
        <f t="shared" si="19"/>
        <v>0.2057580559957739</v>
      </c>
      <c r="X59" s="5">
        <f t="shared" si="20"/>
        <v>0.29609086106708932</v>
      </c>
      <c r="Y59" s="5">
        <f t="shared" si="21"/>
        <v>9.5615425250924466E-2</v>
      </c>
      <c r="Z59" s="5">
        <f t="shared" si="22"/>
        <v>0.12519809825673534</v>
      </c>
      <c r="AA59" s="5">
        <f t="shared" si="23"/>
        <v>5.9429477020602223E-2</v>
      </c>
      <c r="AB59" s="5">
        <f t="shared" si="24"/>
        <v>0</v>
      </c>
      <c r="AC59" s="5">
        <f t="shared" si="25"/>
        <v>0</v>
      </c>
      <c r="AD59" s="5">
        <f t="shared" si="26"/>
        <v>0</v>
      </c>
      <c r="AE59" s="5">
        <f t="shared" si="27"/>
        <v>0</v>
      </c>
      <c r="AF59" s="5">
        <f t="shared" si="28"/>
        <v>0</v>
      </c>
      <c r="AG59" s="5">
        <f t="shared" si="29"/>
        <v>0</v>
      </c>
      <c r="AH59" s="6">
        <f t="shared" si="15"/>
        <v>0.22081352350765981</v>
      </c>
      <c r="AI59" s="6">
        <f t="shared" si="16"/>
        <v>5.9429477020602223E-2</v>
      </c>
      <c r="AJ59" s="6"/>
    </row>
    <row r="60" spans="1:36" x14ac:dyDescent="0.25">
      <c r="A60">
        <v>1958</v>
      </c>
      <c r="B60">
        <v>2.37</v>
      </c>
      <c r="C60">
        <v>5.71</v>
      </c>
      <c r="D60">
        <v>7.79</v>
      </c>
      <c r="E60">
        <v>13.9499999999999</v>
      </c>
      <c r="F60">
        <v>8.85</v>
      </c>
      <c r="G60">
        <v>1.82</v>
      </c>
      <c r="H60">
        <v>2.2000000000000002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f t="shared" si="12"/>
        <v>10.67</v>
      </c>
      <c r="P60">
        <f t="shared" si="13"/>
        <v>2.2000000000000002</v>
      </c>
      <c r="S60">
        <v>1958</v>
      </c>
      <c r="T60" s="23">
        <v>42.84</v>
      </c>
      <c r="U60" s="5">
        <f t="shared" si="17"/>
        <v>5.5322128851540614E-2</v>
      </c>
      <c r="V60" s="5">
        <f t="shared" si="18"/>
        <v>0.13328664799253034</v>
      </c>
      <c r="W60" s="5">
        <f t="shared" si="19"/>
        <v>0.18183940242763771</v>
      </c>
      <c r="X60" s="5">
        <f t="shared" si="20"/>
        <v>0.32563025210083796</v>
      </c>
      <c r="Y60" s="5">
        <f t="shared" si="21"/>
        <v>0.20658263305322128</v>
      </c>
      <c r="Z60" s="5">
        <f t="shared" si="22"/>
        <v>4.2483660130718949E-2</v>
      </c>
      <c r="AA60" s="5">
        <f t="shared" si="23"/>
        <v>5.1353874883286646E-2</v>
      </c>
      <c r="AB60" s="5">
        <f t="shared" si="24"/>
        <v>0</v>
      </c>
      <c r="AC60" s="5">
        <f t="shared" si="25"/>
        <v>0</v>
      </c>
      <c r="AD60" s="5">
        <f t="shared" si="26"/>
        <v>0</v>
      </c>
      <c r="AE60" s="5">
        <f t="shared" si="27"/>
        <v>0</v>
      </c>
      <c r="AF60" s="5">
        <f t="shared" si="28"/>
        <v>0</v>
      </c>
      <c r="AG60" s="5">
        <f t="shared" si="29"/>
        <v>0</v>
      </c>
      <c r="AH60" s="6">
        <f t="shared" si="15"/>
        <v>0.24906629318394022</v>
      </c>
      <c r="AI60" s="6">
        <f t="shared" si="16"/>
        <v>5.1353874883286646E-2</v>
      </c>
      <c r="AJ60" s="6"/>
    </row>
    <row r="61" spans="1:36" x14ac:dyDescent="0.25">
      <c r="A61">
        <v>1959</v>
      </c>
      <c r="B61">
        <v>2.82</v>
      </c>
      <c r="C61">
        <v>4.08</v>
      </c>
      <c r="D61">
        <v>9.68</v>
      </c>
      <c r="E61">
        <v>14.12</v>
      </c>
      <c r="F61">
        <v>7.12</v>
      </c>
      <c r="G61">
        <v>3.53</v>
      </c>
      <c r="H61">
        <v>0</v>
      </c>
      <c r="I61">
        <v>2.69</v>
      </c>
      <c r="J61">
        <v>0</v>
      </c>
      <c r="K61">
        <v>0</v>
      </c>
      <c r="L61">
        <v>0</v>
      </c>
      <c r="M61">
        <v>0</v>
      </c>
      <c r="N61">
        <v>0</v>
      </c>
      <c r="O61">
        <f t="shared" si="12"/>
        <v>10.65</v>
      </c>
      <c r="P61">
        <f t="shared" si="13"/>
        <v>2.69</v>
      </c>
      <c r="S61">
        <v>1959</v>
      </c>
      <c r="T61" s="24">
        <v>44.24</v>
      </c>
      <c r="U61" s="5">
        <f t="shared" si="17"/>
        <v>6.3743218806509933E-2</v>
      </c>
      <c r="V61" s="5">
        <f t="shared" si="18"/>
        <v>9.2224231464737794E-2</v>
      </c>
      <c r="W61" s="5">
        <f t="shared" si="19"/>
        <v>0.21880650994575043</v>
      </c>
      <c r="X61" s="5">
        <f t="shared" si="20"/>
        <v>0.31916817359855332</v>
      </c>
      <c r="Y61" s="5">
        <f t="shared" si="21"/>
        <v>0.16094032549728751</v>
      </c>
      <c r="Z61" s="5">
        <f t="shared" si="22"/>
        <v>7.9792043399638329E-2</v>
      </c>
      <c r="AA61" s="5">
        <f t="shared" si="23"/>
        <v>0</v>
      </c>
      <c r="AB61" s="5">
        <f t="shared" si="24"/>
        <v>6.0804701627486434E-2</v>
      </c>
      <c r="AC61" s="5">
        <f t="shared" si="25"/>
        <v>0</v>
      </c>
      <c r="AD61" s="5">
        <f t="shared" si="26"/>
        <v>0</v>
      </c>
      <c r="AE61" s="5">
        <f t="shared" si="27"/>
        <v>0</v>
      </c>
      <c r="AF61" s="5">
        <f t="shared" si="28"/>
        <v>0</v>
      </c>
      <c r="AG61" s="5">
        <f t="shared" si="29"/>
        <v>0</v>
      </c>
      <c r="AH61" s="6">
        <f t="shared" si="15"/>
        <v>0.24073236889692584</v>
      </c>
      <c r="AI61" s="6">
        <f t="shared" si="16"/>
        <v>6.0804701627486434E-2</v>
      </c>
      <c r="AJ61" s="6"/>
    </row>
    <row r="62" spans="1:36" x14ac:dyDescent="0.25">
      <c r="A62">
        <v>1960</v>
      </c>
      <c r="B62">
        <v>1.89</v>
      </c>
      <c r="C62">
        <v>5.14</v>
      </c>
      <c r="D62">
        <v>10.41</v>
      </c>
      <c r="E62">
        <v>11.6299999999999</v>
      </c>
      <c r="F62">
        <v>7.22</v>
      </c>
      <c r="G62">
        <v>9.26</v>
      </c>
      <c r="H62">
        <v>0</v>
      </c>
      <c r="I62">
        <v>5.2799999999999896</v>
      </c>
      <c r="J62">
        <v>0</v>
      </c>
      <c r="K62">
        <v>0</v>
      </c>
      <c r="L62">
        <v>0</v>
      </c>
      <c r="M62">
        <v>0</v>
      </c>
      <c r="N62">
        <v>0</v>
      </c>
      <c r="O62">
        <f t="shared" si="12"/>
        <v>16.48</v>
      </c>
      <c r="P62">
        <f t="shared" si="13"/>
        <v>5.2799999999999896</v>
      </c>
      <c r="S62">
        <v>1960</v>
      </c>
      <c r="T62" s="23">
        <v>51</v>
      </c>
      <c r="U62" s="5">
        <f t="shared" si="17"/>
        <v>3.7058823529411762E-2</v>
      </c>
      <c r="V62" s="5">
        <f t="shared" si="18"/>
        <v>0.1007843137254902</v>
      </c>
      <c r="W62" s="5">
        <f t="shared" si="19"/>
        <v>0.20411764705882354</v>
      </c>
      <c r="X62" s="5">
        <f t="shared" si="20"/>
        <v>0.22803921568627253</v>
      </c>
      <c r="Y62" s="5">
        <f t="shared" si="21"/>
        <v>0.14156862745098039</v>
      </c>
      <c r="Z62" s="5">
        <f t="shared" si="22"/>
        <v>0.18156862745098037</v>
      </c>
      <c r="AA62" s="5">
        <f t="shared" si="23"/>
        <v>0</v>
      </c>
      <c r="AB62" s="5">
        <f t="shared" si="24"/>
        <v>0.10352941176470568</v>
      </c>
      <c r="AC62" s="5">
        <f t="shared" si="25"/>
        <v>0</v>
      </c>
      <c r="AD62" s="5">
        <f t="shared" si="26"/>
        <v>0</v>
      </c>
      <c r="AE62" s="5">
        <f t="shared" si="27"/>
        <v>0</v>
      </c>
      <c r="AF62" s="5">
        <f t="shared" si="28"/>
        <v>0</v>
      </c>
      <c r="AG62" s="5">
        <f t="shared" si="29"/>
        <v>0</v>
      </c>
      <c r="AH62" s="6">
        <f t="shared" si="15"/>
        <v>0.32313725490196077</v>
      </c>
      <c r="AI62" s="6">
        <f t="shared" si="16"/>
        <v>0.10352941176470568</v>
      </c>
      <c r="AJ62" s="6"/>
    </row>
    <row r="63" spans="1:36" x14ac:dyDescent="0.25">
      <c r="A63">
        <v>1961</v>
      </c>
      <c r="B63">
        <v>1.4</v>
      </c>
      <c r="C63">
        <v>7.8</v>
      </c>
      <c r="D63">
        <v>11.62</v>
      </c>
      <c r="E63">
        <v>15.6799999999999</v>
      </c>
      <c r="F63">
        <v>4.63</v>
      </c>
      <c r="G63">
        <v>0</v>
      </c>
      <c r="H63">
        <v>2.08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f t="shared" si="12"/>
        <v>4.63</v>
      </c>
      <c r="P63">
        <f t="shared" si="13"/>
        <v>2.08</v>
      </c>
      <c r="S63">
        <v>1961</v>
      </c>
      <c r="T63" s="24">
        <v>43.29</v>
      </c>
      <c r="U63" s="5">
        <f t="shared" si="17"/>
        <v>3.234003234003234E-2</v>
      </c>
      <c r="V63" s="5">
        <f t="shared" si="18"/>
        <v>0.18018018018018017</v>
      </c>
      <c r="W63" s="5">
        <f t="shared" si="19"/>
        <v>0.26842226842226841</v>
      </c>
      <c r="X63" s="5">
        <f t="shared" si="20"/>
        <v>0.36220836220835989</v>
      </c>
      <c r="Y63" s="5">
        <f t="shared" si="21"/>
        <v>0.10695310695310695</v>
      </c>
      <c r="Z63" s="5">
        <f t="shared" si="22"/>
        <v>0</v>
      </c>
      <c r="AA63" s="5">
        <f t="shared" si="23"/>
        <v>4.8048048048048048E-2</v>
      </c>
      <c r="AB63" s="5">
        <f t="shared" si="24"/>
        <v>0</v>
      </c>
      <c r="AC63" s="5">
        <f t="shared" si="25"/>
        <v>0</v>
      </c>
      <c r="AD63" s="5">
        <f t="shared" si="26"/>
        <v>0</v>
      </c>
      <c r="AE63" s="5">
        <f t="shared" si="27"/>
        <v>0</v>
      </c>
      <c r="AF63" s="5">
        <f t="shared" si="28"/>
        <v>0</v>
      </c>
      <c r="AG63" s="5">
        <f t="shared" si="29"/>
        <v>0</v>
      </c>
      <c r="AH63" s="6">
        <f t="shared" si="15"/>
        <v>0.10695310695310695</v>
      </c>
      <c r="AI63" s="6">
        <f t="shared" si="16"/>
        <v>4.8048048048048048E-2</v>
      </c>
      <c r="AJ63" s="6"/>
    </row>
    <row r="64" spans="1:36" x14ac:dyDescent="0.25">
      <c r="A64">
        <v>1962</v>
      </c>
      <c r="B64">
        <v>2.06</v>
      </c>
      <c r="C64">
        <v>4.7699999999999996</v>
      </c>
      <c r="D64">
        <v>6.5199999999999898</v>
      </c>
      <c r="E64">
        <v>12.8499999999999</v>
      </c>
      <c r="F64">
        <v>9.57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f t="shared" si="12"/>
        <v>9.57</v>
      </c>
      <c r="P64">
        <f t="shared" si="13"/>
        <v>0</v>
      </c>
      <c r="S64">
        <v>1962</v>
      </c>
      <c r="T64" s="23">
        <v>35.9</v>
      </c>
      <c r="U64" s="5">
        <f t="shared" si="17"/>
        <v>5.7381615598885799E-2</v>
      </c>
      <c r="V64" s="5">
        <f t="shared" si="18"/>
        <v>0.13286908077994428</v>
      </c>
      <c r="W64" s="5">
        <f t="shared" si="19"/>
        <v>0.18161559888579359</v>
      </c>
      <c r="X64" s="5">
        <f t="shared" si="20"/>
        <v>0.35793871866294991</v>
      </c>
      <c r="Y64" s="5">
        <f t="shared" si="21"/>
        <v>0.26657381615598885</v>
      </c>
      <c r="Z64" s="5">
        <f t="shared" si="22"/>
        <v>0</v>
      </c>
      <c r="AA64" s="5">
        <f t="shared" si="23"/>
        <v>0</v>
      </c>
      <c r="AB64" s="5">
        <f t="shared" si="24"/>
        <v>0</v>
      </c>
      <c r="AC64" s="5">
        <f t="shared" si="25"/>
        <v>0</v>
      </c>
      <c r="AD64" s="5">
        <f t="shared" si="26"/>
        <v>0</v>
      </c>
      <c r="AE64" s="5">
        <f t="shared" si="27"/>
        <v>0</v>
      </c>
      <c r="AF64" s="5">
        <f t="shared" si="28"/>
        <v>0</v>
      </c>
      <c r="AG64" s="5">
        <f t="shared" si="29"/>
        <v>0</v>
      </c>
      <c r="AH64" s="6">
        <f t="shared" si="15"/>
        <v>0.26657381615598885</v>
      </c>
      <c r="AI64" s="6">
        <f t="shared" si="16"/>
        <v>0</v>
      </c>
      <c r="AJ64" s="6"/>
    </row>
    <row r="65" spans="1:38" x14ac:dyDescent="0.25">
      <c r="A65">
        <v>1963</v>
      </c>
      <c r="B65">
        <v>1.1399999999999999</v>
      </c>
      <c r="C65">
        <v>3.1399999999999899</v>
      </c>
      <c r="D65">
        <v>10.08</v>
      </c>
      <c r="E65">
        <v>5.77</v>
      </c>
      <c r="F65">
        <v>8.77</v>
      </c>
      <c r="G65">
        <v>3.34</v>
      </c>
      <c r="H65">
        <v>2.02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f t="shared" si="12"/>
        <v>12.11</v>
      </c>
      <c r="P65">
        <f t="shared" si="13"/>
        <v>2.02</v>
      </c>
      <c r="S65">
        <v>1963</v>
      </c>
      <c r="T65" s="24">
        <v>34.450000000000003</v>
      </c>
      <c r="U65" s="5">
        <f t="shared" si="17"/>
        <v>3.3091436865021764E-2</v>
      </c>
      <c r="V65" s="5">
        <f t="shared" si="18"/>
        <v>9.1146589259796504E-2</v>
      </c>
      <c r="W65" s="5">
        <f t="shared" si="19"/>
        <v>0.29259796806966615</v>
      </c>
      <c r="X65" s="5">
        <f t="shared" si="20"/>
        <v>0.16748911465892596</v>
      </c>
      <c r="Y65" s="5">
        <f t="shared" si="21"/>
        <v>0.2545718432510885</v>
      </c>
      <c r="Z65" s="5">
        <f t="shared" si="22"/>
        <v>9.69521044992743E-2</v>
      </c>
      <c r="AA65" s="5">
        <f t="shared" si="23"/>
        <v>5.8635703918722783E-2</v>
      </c>
      <c r="AB65" s="5">
        <f t="shared" si="24"/>
        <v>0</v>
      </c>
      <c r="AC65" s="5">
        <f t="shared" si="25"/>
        <v>0</v>
      </c>
      <c r="AD65" s="5">
        <f t="shared" si="26"/>
        <v>0</v>
      </c>
      <c r="AE65" s="5">
        <f t="shared" si="27"/>
        <v>0</v>
      </c>
      <c r="AF65" s="5">
        <f t="shared" si="28"/>
        <v>0</v>
      </c>
      <c r="AG65" s="5">
        <f t="shared" si="29"/>
        <v>0</v>
      </c>
      <c r="AH65" s="6">
        <f t="shared" si="15"/>
        <v>0.35152394775036278</v>
      </c>
      <c r="AI65" s="6">
        <f t="shared" si="16"/>
        <v>5.8635703918722783E-2</v>
      </c>
      <c r="AJ65" s="6"/>
    </row>
    <row r="66" spans="1:38" ht="18.75" x14ac:dyDescent="0.3">
      <c r="A66">
        <v>1964</v>
      </c>
      <c r="B66">
        <v>2.23</v>
      </c>
      <c r="C66">
        <v>3.25999999999999</v>
      </c>
      <c r="D66">
        <v>7.07</v>
      </c>
      <c r="E66">
        <v>9.52</v>
      </c>
      <c r="F66">
        <v>2.27</v>
      </c>
      <c r="G66">
        <v>4.99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f t="shared" si="12"/>
        <v>7.26</v>
      </c>
      <c r="P66">
        <f t="shared" si="13"/>
        <v>0</v>
      </c>
      <c r="S66">
        <v>1964</v>
      </c>
      <c r="T66" s="23">
        <v>29.56</v>
      </c>
      <c r="U66" s="5">
        <f t="shared" ref="U66:U79" si="30">B66/$T66</f>
        <v>7.5439783491204337E-2</v>
      </c>
      <c r="V66" s="5">
        <f t="shared" ref="V66:V79" si="31">C66/$T66</f>
        <v>0.11028416779431631</v>
      </c>
      <c r="W66" s="5">
        <f t="shared" ref="W66:W79" si="32">D66/$T66</f>
        <v>0.23917456021650882</v>
      </c>
      <c r="X66" s="5">
        <f t="shared" ref="X66:X79" si="33">E66/$T66</f>
        <v>0.32205683355886333</v>
      </c>
      <c r="Y66" s="5">
        <f t="shared" ref="Y66:Y79" si="34">F66/$T66</f>
        <v>7.6792963464140732E-2</v>
      </c>
      <c r="Z66" s="5">
        <f t="shared" ref="Z66:Z79" si="35">G66/$T66</f>
        <v>0.16880920162381599</v>
      </c>
      <c r="AA66" s="5">
        <f t="shared" ref="AA66:AA79" si="36">H66/$T66</f>
        <v>0</v>
      </c>
      <c r="AB66" s="5">
        <f t="shared" ref="AB66:AB79" si="37">I66/$T66</f>
        <v>0</v>
      </c>
      <c r="AC66" s="5">
        <f t="shared" ref="AC66:AC79" si="38">J66/$T66</f>
        <v>0</v>
      </c>
      <c r="AD66" s="5">
        <f t="shared" ref="AD66:AD79" si="39">K66/$T66</f>
        <v>0</v>
      </c>
      <c r="AE66" s="5">
        <f t="shared" ref="AE66:AE79" si="40">L66/$T66</f>
        <v>0</v>
      </c>
      <c r="AF66" s="5">
        <f t="shared" ref="AF66:AF79" si="41">M66/$T66</f>
        <v>0</v>
      </c>
      <c r="AG66" s="5">
        <f t="shared" ref="AG66:AG79" si="42">N66/$T66</f>
        <v>0</v>
      </c>
      <c r="AH66" s="6">
        <f t="shared" si="15"/>
        <v>0.24560216508795674</v>
      </c>
      <c r="AI66" s="6">
        <f t="shared" si="16"/>
        <v>0</v>
      </c>
      <c r="AJ66" s="6"/>
      <c r="AK66" s="7" t="s">
        <v>15</v>
      </c>
      <c r="AL66" s="7"/>
    </row>
    <row r="67" spans="1:38" ht="18.75" x14ac:dyDescent="0.3">
      <c r="A67">
        <v>1965</v>
      </c>
      <c r="B67">
        <v>2.36</v>
      </c>
      <c r="C67">
        <v>3.01</v>
      </c>
      <c r="D67">
        <v>6.41</v>
      </c>
      <c r="E67">
        <v>16.399999999999999</v>
      </c>
      <c r="F67">
        <v>2.4</v>
      </c>
      <c r="G67">
        <v>1.6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f t="shared" ref="O67:O119" si="43">SUM(F67:G67)</f>
        <v>4</v>
      </c>
      <c r="P67">
        <f t="shared" ref="P67:P119" si="44">SUM(H67:N67)</f>
        <v>0</v>
      </c>
      <c r="S67">
        <v>1965</v>
      </c>
      <c r="T67" s="24">
        <v>32.549999999999997</v>
      </c>
      <c r="U67" s="5">
        <f t="shared" si="30"/>
        <v>7.2503840245775733E-2</v>
      </c>
      <c r="V67" s="5">
        <f t="shared" si="31"/>
        <v>9.2473118279569888E-2</v>
      </c>
      <c r="W67" s="5">
        <f t="shared" si="32"/>
        <v>0.19692780337941632</v>
      </c>
      <c r="X67" s="5">
        <f t="shared" si="33"/>
        <v>0.50384024577572961</v>
      </c>
      <c r="Y67" s="5">
        <f t="shared" si="34"/>
        <v>7.3732718894009217E-2</v>
      </c>
      <c r="Z67" s="5">
        <f t="shared" si="35"/>
        <v>4.9155145929339485E-2</v>
      </c>
      <c r="AA67" s="5">
        <f t="shared" si="36"/>
        <v>0</v>
      </c>
      <c r="AB67" s="5">
        <f t="shared" si="37"/>
        <v>0</v>
      </c>
      <c r="AC67" s="5">
        <f t="shared" si="38"/>
        <v>0</v>
      </c>
      <c r="AD67" s="5">
        <f t="shared" si="39"/>
        <v>0</v>
      </c>
      <c r="AE67" s="5">
        <f t="shared" si="40"/>
        <v>0</v>
      </c>
      <c r="AF67" s="5">
        <f t="shared" si="41"/>
        <v>0</v>
      </c>
      <c r="AG67" s="5">
        <f t="shared" si="42"/>
        <v>0</v>
      </c>
      <c r="AH67" s="6">
        <f t="shared" ref="AH67:AH119" si="45">SUM(Y67:Z67)</f>
        <v>0.12288786482334871</v>
      </c>
      <c r="AI67" s="6">
        <f t="shared" ref="AI67:AI119" si="46">SUM(AA67:AG67)</f>
        <v>0</v>
      </c>
      <c r="AJ67" s="6"/>
      <c r="AK67" s="7" t="s">
        <v>16</v>
      </c>
      <c r="AL67" s="7" t="s">
        <v>17</v>
      </c>
    </row>
    <row r="68" spans="1:38" ht="18.75" x14ac:dyDescent="0.3">
      <c r="A68">
        <v>1966</v>
      </c>
      <c r="B68">
        <v>2.4</v>
      </c>
      <c r="C68">
        <v>3.77</v>
      </c>
      <c r="D68">
        <v>6.91</v>
      </c>
      <c r="E68">
        <v>10.41</v>
      </c>
      <c r="F68">
        <v>11.18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f t="shared" si="43"/>
        <v>11.18</v>
      </c>
      <c r="P68">
        <f t="shared" si="44"/>
        <v>0</v>
      </c>
      <c r="S68">
        <v>1966</v>
      </c>
      <c r="T68" s="23">
        <v>35.14</v>
      </c>
      <c r="U68" s="5">
        <f t="shared" si="30"/>
        <v>6.8298235628912921E-2</v>
      </c>
      <c r="V68" s="5">
        <f t="shared" si="31"/>
        <v>0.1072851451337507</v>
      </c>
      <c r="W68" s="5">
        <f t="shared" si="32"/>
        <v>0.19664200341491178</v>
      </c>
      <c r="X68" s="5">
        <f t="shared" si="33"/>
        <v>0.29624359704040981</v>
      </c>
      <c r="Y68" s="5">
        <f t="shared" si="34"/>
        <v>0.31815594763801935</v>
      </c>
      <c r="Z68" s="5">
        <f t="shared" si="35"/>
        <v>0</v>
      </c>
      <c r="AA68" s="5">
        <f t="shared" si="36"/>
        <v>0</v>
      </c>
      <c r="AB68" s="5">
        <f t="shared" si="37"/>
        <v>0</v>
      </c>
      <c r="AC68" s="5">
        <f t="shared" si="38"/>
        <v>0</v>
      </c>
      <c r="AD68" s="5">
        <f t="shared" si="39"/>
        <v>0</v>
      </c>
      <c r="AE68" s="5">
        <f t="shared" si="40"/>
        <v>0</v>
      </c>
      <c r="AF68" s="5">
        <f t="shared" si="41"/>
        <v>0</v>
      </c>
      <c r="AG68" s="5">
        <f t="shared" si="42"/>
        <v>0</v>
      </c>
      <c r="AH68" s="6">
        <f t="shared" si="45"/>
        <v>0.31815594763801935</v>
      </c>
      <c r="AI68" s="6">
        <f t="shared" si="46"/>
        <v>0</v>
      </c>
      <c r="AJ68" s="6"/>
      <c r="AK68" s="7" t="s">
        <v>0</v>
      </c>
      <c r="AL68" s="7" t="s">
        <v>18</v>
      </c>
    </row>
    <row r="69" spans="1:38" ht="18.75" x14ac:dyDescent="0.3">
      <c r="A69">
        <v>1967</v>
      </c>
      <c r="B69">
        <v>2.1</v>
      </c>
      <c r="C69">
        <v>4.99</v>
      </c>
      <c r="D69">
        <v>6.3099999999999898</v>
      </c>
      <c r="E69">
        <v>14.25</v>
      </c>
      <c r="F69">
        <v>12.28</v>
      </c>
      <c r="G69">
        <v>6.91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f t="shared" si="43"/>
        <v>19.189999999999998</v>
      </c>
      <c r="P69">
        <f t="shared" si="44"/>
        <v>0</v>
      </c>
      <c r="S69">
        <v>1967</v>
      </c>
      <c r="T69" s="24">
        <v>47.24</v>
      </c>
      <c r="U69" s="5">
        <f t="shared" si="30"/>
        <v>4.4453852667231161E-2</v>
      </c>
      <c r="V69" s="5">
        <f t="shared" si="31"/>
        <v>0.10563082133784928</v>
      </c>
      <c r="W69" s="5">
        <f t="shared" si="32"/>
        <v>0.13357324301439435</v>
      </c>
      <c r="X69" s="5">
        <f t="shared" si="33"/>
        <v>0.3016511430990686</v>
      </c>
      <c r="Y69" s="5">
        <f t="shared" si="34"/>
        <v>0.25994919559695173</v>
      </c>
      <c r="Z69" s="5">
        <f t="shared" si="35"/>
        <v>0.14627434377646062</v>
      </c>
      <c r="AA69" s="5">
        <f t="shared" si="36"/>
        <v>0</v>
      </c>
      <c r="AB69" s="5">
        <f t="shared" si="37"/>
        <v>0</v>
      </c>
      <c r="AC69" s="5">
        <f t="shared" si="38"/>
        <v>0</v>
      </c>
      <c r="AD69" s="5">
        <f t="shared" si="39"/>
        <v>0</v>
      </c>
      <c r="AE69" s="5">
        <f t="shared" si="40"/>
        <v>0</v>
      </c>
      <c r="AF69" s="5">
        <f t="shared" si="41"/>
        <v>0</v>
      </c>
      <c r="AG69" s="5">
        <f t="shared" si="42"/>
        <v>0</v>
      </c>
      <c r="AH69" s="6">
        <f t="shared" si="45"/>
        <v>0.40622353937341238</v>
      </c>
      <c r="AI69" s="6">
        <f t="shared" si="46"/>
        <v>0</v>
      </c>
      <c r="AJ69" s="6"/>
      <c r="AK69" s="7" t="s">
        <v>1</v>
      </c>
      <c r="AL69" s="7" t="s">
        <v>19</v>
      </c>
    </row>
    <row r="70" spans="1:38" ht="18.75" x14ac:dyDescent="0.3">
      <c r="A70">
        <v>1968</v>
      </c>
      <c r="B70">
        <v>1.81</v>
      </c>
      <c r="C70">
        <v>4.68</v>
      </c>
      <c r="D70">
        <v>5.8</v>
      </c>
      <c r="E70">
        <v>13.719999999999899</v>
      </c>
      <c r="F70">
        <v>7.51</v>
      </c>
      <c r="G70">
        <v>1.52</v>
      </c>
      <c r="H70">
        <v>4.54</v>
      </c>
      <c r="I70">
        <v>2.9</v>
      </c>
      <c r="J70">
        <v>0</v>
      </c>
      <c r="K70">
        <v>0</v>
      </c>
      <c r="L70">
        <v>0</v>
      </c>
      <c r="M70">
        <v>0</v>
      </c>
      <c r="N70">
        <v>0</v>
      </c>
      <c r="O70">
        <f t="shared" si="43"/>
        <v>9.0299999999999994</v>
      </c>
      <c r="P70">
        <f t="shared" si="44"/>
        <v>7.4399999999999995</v>
      </c>
      <c r="S70">
        <v>1968</v>
      </c>
      <c r="T70" s="23">
        <v>42.78</v>
      </c>
      <c r="U70" s="5">
        <f t="shared" si="30"/>
        <v>4.2309490416082285E-2</v>
      </c>
      <c r="V70" s="5">
        <f t="shared" si="31"/>
        <v>0.1093969144460028</v>
      </c>
      <c r="W70" s="5">
        <f t="shared" si="32"/>
        <v>0.13557737260402056</v>
      </c>
      <c r="X70" s="5">
        <f t="shared" si="33"/>
        <v>0.32071061243571525</v>
      </c>
      <c r="Y70" s="5">
        <f t="shared" si="34"/>
        <v>0.17554932211313698</v>
      </c>
      <c r="Z70" s="5">
        <f t="shared" si="35"/>
        <v>3.5530621785881254E-2</v>
      </c>
      <c r="AA70" s="5">
        <f t="shared" si="36"/>
        <v>0.10612435717625059</v>
      </c>
      <c r="AB70" s="5">
        <f t="shared" si="37"/>
        <v>6.7788686302010279E-2</v>
      </c>
      <c r="AC70" s="5">
        <f t="shared" si="38"/>
        <v>0</v>
      </c>
      <c r="AD70" s="5">
        <f t="shared" si="39"/>
        <v>0</v>
      </c>
      <c r="AE70" s="5">
        <f t="shared" si="40"/>
        <v>0</v>
      </c>
      <c r="AF70" s="5">
        <f t="shared" si="41"/>
        <v>0</v>
      </c>
      <c r="AG70" s="5">
        <f t="shared" si="42"/>
        <v>0</v>
      </c>
      <c r="AH70" s="6">
        <f t="shared" si="45"/>
        <v>0.21107994389901824</v>
      </c>
      <c r="AI70" s="6">
        <f t="shared" si="46"/>
        <v>0.17391304347826086</v>
      </c>
      <c r="AJ70" s="6"/>
      <c r="AK70" s="7" t="s">
        <v>2</v>
      </c>
      <c r="AL70" s="7" t="s">
        <v>20</v>
      </c>
    </row>
    <row r="71" spans="1:38" ht="18.75" x14ac:dyDescent="0.3">
      <c r="A71">
        <v>1969</v>
      </c>
      <c r="B71">
        <v>2.13</v>
      </c>
      <c r="C71">
        <v>3.83</v>
      </c>
      <c r="D71">
        <v>6.62</v>
      </c>
      <c r="E71">
        <v>15.93</v>
      </c>
      <c r="F71">
        <v>9.6699999999999893</v>
      </c>
      <c r="G71">
        <v>3.27</v>
      </c>
      <c r="H71">
        <v>2.39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f t="shared" si="43"/>
        <v>12.939999999999989</v>
      </c>
      <c r="P71">
        <f t="shared" si="44"/>
        <v>2.39</v>
      </c>
      <c r="S71">
        <v>1969</v>
      </c>
      <c r="T71" s="24">
        <v>44.19</v>
      </c>
      <c r="U71" s="5">
        <f t="shared" si="30"/>
        <v>4.8200950441276307E-2</v>
      </c>
      <c r="V71" s="5">
        <f t="shared" si="31"/>
        <v>8.6671192577506231E-2</v>
      </c>
      <c r="W71" s="5">
        <f t="shared" si="32"/>
        <v>0.14980764878931885</v>
      </c>
      <c r="X71" s="5">
        <f t="shared" si="33"/>
        <v>0.3604887983706721</v>
      </c>
      <c r="Y71" s="5">
        <f t="shared" si="34"/>
        <v>0.21882778909255465</v>
      </c>
      <c r="Z71" s="5">
        <f t="shared" si="35"/>
        <v>7.3998642226748138E-2</v>
      </c>
      <c r="AA71" s="5">
        <f t="shared" si="36"/>
        <v>5.408463453269971E-2</v>
      </c>
      <c r="AB71" s="5">
        <f t="shared" si="37"/>
        <v>0</v>
      </c>
      <c r="AC71" s="5">
        <f t="shared" si="38"/>
        <v>0</v>
      </c>
      <c r="AD71" s="5">
        <f t="shared" si="39"/>
        <v>0</v>
      </c>
      <c r="AE71" s="5">
        <f t="shared" si="40"/>
        <v>0</v>
      </c>
      <c r="AF71" s="5">
        <f t="shared" si="41"/>
        <v>0</v>
      </c>
      <c r="AG71" s="5">
        <f t="shared" si="42"/>
        <v>0</v>
      </c>
      <c r="AH71" s="6">
        <f t="shared" si="45"/>
        <v>0.2928264313193028</v>
      </c>
      <c r="AI71" s="6">
        <f t="shared" si="46"/>
        <v>5.408463453269971E-2</v>
      </c>
      <c r="AJ71" s="6"/>
      <c r="AK71" s="7" t="s">
        <v>3</v>
      </c>
      <c r="AL71" s="7" t="s">
        <v>21</v>
      </c>
    </row>
    <row r="72" spans="1:38" ht="18.75" x14ac:dyDescent="0.3">
      <c r="A72">
        <v>1970</v>
      </c>
      <c r="B72">
        <v>2.27</v>
      </c>
      <c r="C72">
        <v>4.24</v>
      </c>
      <c r="D72">
        <v>7.7699999999999898</v>
      </c>
      <c r="E72">
        <v>20.190000000000001</v>
      </c>
      <c r="F72">
        <v>2.82</v>
      </c>
      <c r="G72">
        <v>5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f t="shared" si="43"/>
        <v>7.82</v>
      </c>
      <c r="P72">
        <f t="shared" si="44"/>
        <v>0</v>
      </c>
      <c r="S72">
        <v>1970</v>
      </c>
      <c r="T72" s="23">
        <v>42.55</v>
      </c>
      <c r="U72" s="5">
        <f t="shared" si="30"/>
        <v>5.3349001175088138E-2</v>
      </c>
      <c r="V72" s="5">
        <f t="shared" si="31"/>
        <v>9.964747356051705E-2</v>
      </c>
      <c r="W72" s="5">
        <f t="shared" si="32"/>
        <v>0.18260869565217369</v>
      </c>
      <c r="X72" s="5">
        <f t="shared" si="33"/>
        <v>0.47450058754406588</v>
      </c>
      <c r="Y72" s="5">
        <f t="shared" si="34"/>
        <v>6.6274970622796706E-2</v>
      </c>
      <c r="Z72" s="5">
        <f t="shared" si="35"/>
        <v>0.11750881316098709</v>
      </c>
      <c r="AA72" s="5">
        <f t="shared" si="36"/>
        <v>0</v>
      </c>
      <c r="AB72" s="5">
        <f t="shared" si="37"/>
        <v>0</v>
      </c>
      <c r="AC72" s="5">
        <f t="shared" si="38"/>
        <v>0</v>
      </c>
      <c r="AD72" s="5">
        <f t="shared" si="39"/>
        <v>0</v>
      </c>
      <c r="AE72" s="5">
        <f t="shared" si="40"/>
        <v>0</v>
      </c>
      <c r="AF72" s="5">
        <f t="shared" si="41"/>
        <v>0</v>
      </c>
      <c r="AG72" s="5">
        <f t="shared" si="42"/>
        <v>0</v>
      </c>
      <c r="AH72" s="6">
        <f t="shared" si="45"/>
        <v>0.18378378378378379</v>
      </c>
      <c r="AI72" s="6">
        <f t="shared" si="46"/>
        <v>0</v>
      </c>
      <c r="AJ72" s="6"/>
      <c r="AK72" s="7" t="s">
        <v>4</v>
      </c>
      <c r="AL72" s="7" t="s">
        <v>22</v>
      </c>
    </row>
    <row r="73" spans="1:38" ht="18.75" x14ac:dyDescent="0.3">
      <c r="A73">
        <v>1971</v>
      </c>
      <c r="B73">
        <v>1.94</v>
      </c>
      <c r="C73">
        <v>5.35</v>
      </c>
      <c r="D73">
        <v>9.4499999999999904</v>
      </c>
      <c r="E73">
        <v>14.31</v>
      </c>
      <c r="F73">
        <v>10.09</v>
      </c>
      <c r="G73">
        <v>0</v>
      </c>
      <c r="H73">
        <v>2.38</v>
      </c>
      <c r="I73">
        <v>0</v>
      </c>
      <c r="J73">
        <v>0</v>
      </c>
      <c r="K73">
        <v>0</v>
      </c>
      <c r="L73">
        <v>0</v>
      </c>
      <c r="M73">
        <v>6.33</v>
      </c>
      <c r="N73">
        <v>0</v>
      </c>
      <c r="O73">
        <f t="shared" si="43"/>
        <v>10.09</v>
      </c>
      <c r="P73">
        <f t="shared" si="44"/>
        <v>8.7100000000000009</v>
      </c>
      <c r="S73">
        <v>1971</v>
      </c>
      <c r="T73" s="24">
        <v>50.1</v>
      </c>
      <c r="U73" s="5">
        <f t="shared" si="30"/>
        <v>3.8722554890219557E-2</v>
      </c>
      <c r="V73" s="5">
        <f t="shared" si="31"/>
        <v>0.10678642714570857</v>
      </c>
      <c r="W73" s="5">
        <f t="shared" si="32"/>
        <v>0.18862275449101776</v>
      </c>
      <c r="X73" s="5">
        <f t="shared" si="33"/>
        <v>0.28562874251497006</v>
      </c>
      <c r="Y73" s="5">
        <f t="shared" si="34"/>
        <v>0.20139720558882235</v>
      </c>
      <c r="Z73" s="5">
        <f t="shared" si="35"/>
        <v>0</v>
      </c>
      <c r="AA73" s="5">
        <f t="shared" si="36"/>
        <v>4.7504990019960079E-2</v>
      </c>
      <c r="AB73" s="5">
        <f t="shared" si="37"/>
        <v>0</v>
      </c>
      <c r="AC73" s="5">
        <f t="shared" si="38"/>
        <v>0</v>
      </c>
      <c r="AD73" s="5">
        <f t="shared" si="39"/>
        <v>0</v>
      </c>
      <c r="AE73" s="5">
        <f t="shared" si="40"/>
        <v>0</v>
      </c>
      <c r="AF73" s="5">
        <f t="shared" si="41"/>
        <v>0.12634730538922156</v>
      </c>
      <c r="AG73" s="5">
        <f t="shared" si="42"/>
        <v>0</v>
      </c>
      <c r="AH73" s="6">
        <f t="shared" si="45"/>
        <v>0.20139720558882235</v>
      </c>
      <c r="AI73" s="6">
        <f t="shared" si="46"/>
        <v>0.17385229540918165</v>
      </c>
      <c r="AJ73" s="6"/>
      <c r="AK73" s="7" t="s">
        <v>23</v>
      </c>
      <c r="AL73" s="7" t="s">
        <v>37</v>
      </c>
    </row>
    <row r="74" spans="1:38" ht="18.75" x14ac:dyDescent="0.3">
      <c r="A74">
        <v>1972</v>
      </c>
      <c r="B74">
        <v>1.82</v>
      </c>
      <c r="C74">
        <v>6.04</v>
      </c>
      <c r="D74">
        <v>10.47</v>
      </c>
      <c r="E74">
        <v>18.189999999999898</v>
      </c>
      <c r="F74">
        <v>13.65</v>
      </c>
      <c r="G74">
        <v>6.97</v>
      </c>
      <c r="H74">
        <v>2.4900000000000002</v>
      </c>
      <c r="I74">
        <v>0</v>
      </c>
      <c r="J74">
        <v>3.79</v>
      </c>
      <c r="K74">
        <v>0</v>
      </c>
      <c r="L74">
        <v>0</v>
      </c>
      <c r="M74">
        <v>0</v>
      </c>
      <c r="N74">
        <v>0</v>
      </c>
      <c r="O74">
        <f t="shared" si="43"/>
        <v>20.62</v>
      </c>
      <c r="P74">
        <f t="shared" si="44"/>
        <v>6.28</v>
      </c>
      <c r="S74">
        <v>1972</v>
      </c>
      <c r="T74" s="23">
        <v>63.71</v>
      </c>
      <c r="U74" s="5">
        <f t="shared" si="30"/>
        <v>2.8566943964840684E-2</v>
      </c>
      <c r="V74" s="5">
        <f t="shared" si="31"/>
        <v>9.4804583267932827E-2</v>
      </c>
      <c r="W74" s="5">
        <f t="shared" si="32"/>
        <v>0.16433840841312197</v>
      </c>
      <c r="X74" s="5">
        <f t="shared" si="33"/>
        <v>0.28551247841782917</v>
      </c>
      <c r="Y74" s="5">
        <f t="shared" si="34"/>
        <v>0.21425207973630514</v>
      </c>
      <c r="Z74" s="5">
        <f t="shared" si="35"/>
        <v>0.10940197771150525</v>
      </c>
      <c r="AA74" s="5">
        <f t="shared" si="36"/>
        <v>3.9083346413435881E-2</v>
      </c>
      <c r="AB74" s="5">
        <f t="shared" si="37"/>
        <v>0</v>
      </c>
      <c r="AC74" s="5">
        <f t="shared" si="38"/>
        <v>5.9488306388322088E-2</v>
      </c>
      <c r="AD74" s="5">
        <f t="shared" si="39"/>
        <v>0</v>
      </c>
      <c r="AE74" s="5">
        <f t="shared" si="40"/>
        <v>0</v>
      </c>
      <c r="AF74" s="5">
        <f t="shared" si="41"/>
        <v>0</v>
      </c>
      <c r="AG74" s="5">
        <f t="shared" si="42"/>
        <v>0</v>
      </c>
      <c r="AH74" s="6">
        <f t="shared" si="45"/>
        <v>0.32365405744781039</v>
      </c>
      <c r="AI74" s="6">
        <f t="shared" si="46"/>
        <v>9.8571652801757975E-2</v>
      </c>
      <c r="AJ74" s="6"/>
      <c r="AK74" s="7" t="s">
        <v>25</v>
      </c>
      <c r="AL74" s="7" t="s">
        <v>38</v>
      </c>
    </row>
    <row r="75" spans="1:38" x14ac:dyDescent="0.25">
      <c r="A75">
        <v>1973</v>
      </c>
      <c r="B75">
        <v>1.86</v>
      </c>
      <c r="C75">
        <v>4.05</v>
      </c>
      <c r="D75">
        <v>10.6299999999999</v>
      </c>
      <c r="E75">
        <v>15.51</v>
      </c>
      <c r="F75">
        <v>12.3</v>
      </c>
      <c r="G75">
        <v>7.9399999999999897</v>
      </c>
      <c r="H75">
        <v>2.23</v>
      </c>
      <c r="I75">
        <v>5.52</v>
      </c>
      <c r="J75">
        <v>0</v>
      </c>
      <c r="K75">
        <v>0</v>
      </c>
      <c r="L75">
        <v>0</v>
      </c>
      <c r="M75">
        <v>0</v>
      </c>
      <c r="N75">
        <v>0</v>
      </c>
      <c r="O75">
        <f t="shared" si="43"/>
        <v>20.239999999999991</v>
      </c>
      <c r="P75">
        <f t="shared" si="44"/>
        <v>7.75</v>
      </c>
      <c r="S75">
        <v>1973</v>
      </c>
      <c r="T75" s="24">
        <v>60.3</v>
      </c>
      <c r="U75" s="5">
        <f t="shared" si="30"/>
        <v>3.0845771144278611E-2</v>
      </c>
      <c r="V75" s="5">
        <f t="shared" si="31"/>
        <v>6.7164179104477612E-2</v>
      </c>
      <c r="W75" s="5">
        <f t="shared" si="32"/>
        <v>0.1762852404643433</v>
      </c>
      <c r="X75" s="5">
        <f t="shared" si="33"/>
        <v>0.25721393034825873</v>
      </c>
      <c r="Y75" s="5">
        <f t="shared" si="34"/>
        <v>0.20398009950248758</v>
      </c>
      <c r="Z75" s="5">
        <f t="shared" si="35"/>
        <v>0.13167495854063002</v>
      </c>
      <c r="AA75" s="5">
        <f t="shared" si="36"/>
        <v>3.6981757877280266E-2</v>
      </c>
      <c r="AB75" s="5">
        <f t="shared" si="37"/>
        <v>9.1542288557213927E-2</v>
      </c>
      <c r="AC75" s="5">
        <f t="shared" si="38"/>
        <v>0</v>
      </c>
      <c r="AD75" s="5">
        <f t="shared" si="39"/>
        <v>0</v>
      </c>
      <c r="AE75" s="5">
        <f t="shared" si="40"/>
        <v>0</v>
      </c>
      <c r="AF75" s="5">
        <f t="shared" si="41"/>
        <v>0</v>
      </c>
      <c r="AG75" s="5">
        <f t="shared" si="42"/>
        <v>0</v>
      </c>
      <c r="AH75" s="6">
        <f t="shared" si="45"/>
        <v>0.33565505804311757</v>
      </c>
      <c r="AI75" s="6">
        <f t="shared" si="46"/>
        <v>0.12852404643449419</v>
      </c>
      <c r="AJ75" s="6"/>
    </row>
    <row r="76" spans="1:38" x14ac:dyDescent="0.25">
      <c r="A76">
        <v>1974</v>
      </c>
      <c r="B76">
        <v>1.95</v>
      </c>
      <c r="C76">
        <v>4.75</v>
      </c>
      <c r="D76">
        <v>9.9499999999999993</v>
      </c>
      <c r="E76">
        <v>19.319999999999901</v>
      </c>
      <c r="F76">
        <v>8.3000000000000007</v>
      </c>
      <c r="G76">
        <v>5.16</v>
      </c>
      <c r="H76">
        <v>2.2999999999999998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f t="shared" si="43"/>
        <v>13.46</v>
      </c>
      <c r="P76">
        <f t="shared" si="44"/>
        <v>2.2999999999999998</v>
      </c>
      <c r="S76">
        <v>1974</v>
      </c>
      <c r="T76" s="23">
        <v>51.88</v>
      </c>
      <c r="U76" s="5">
        <f t="shared" si="30"/>
        <v>3.7586738627602159E-2</v>
      </c>
      <c r="V76" s="5">
        <f t="shared" si="31"/>
        <v>9.1557440246723201E-2</v>
      </c>
      <c r="W76" s="5">
        <f t="shared" si="32"/>
        <v>0.19178874325366227</v>
      </c>
      <c r="X76" s="5">
        <f t="shared" si="33"/>
        <v>0.37239784117193331</v>
      </c>
      <c r="Y76" s="5">
        <f t="shared" si="34"/>
        <v>0.1599845797995374</v>
      </c>
      <c r="Z76" s="5">
        <f t="shared" si="35"/>
        <v>9.946029298380879E-2</v>
      </c>
      <c r="AA76" s="5">
        <f t="shared" si="36"/>
        <v>4.4333076329992283E-2</v>
      </c>
      <c r="AB76" s="5">
        <f t="shared" si="37"/>
        <v>0</v>
      </c>
      <c r="AC76" s="5">
        <f t="shared" si="38"/>
        <v>0</v>
      </c>
      <c r="AD76" s="5">
        <f t="shared" si="39"/>
        <v>0</v>
      </c>
      <c r="AE76" s="5">
        <f t="shared" si="40"/>
        <v>0</v>
      </c>
      <c r="AF76" s="5">
        <f t="shared" si="41"/>
        <v>0</v>
      </c>
      <c r="AG76" s="5">
        <f t="shared" si="42"/>
        <v>0</v>
      </c>
      <c r="AH76" s="6">
        <f t="shared" si="45"/>
        <v>0.25944487278334616</v>
      </c>
      <c r="AI76" s="6">
        <f t="shared" si="46"/>
        <v>4.4333076329992283E-2</v>
      </c>
      <c r="AJ76" s="6"/>
    </row>
    <row r="77" spans="1:38" x14ac:dyDescent="0.25">
      <c r="A77">
        <v>1975</v>
      </c>
      <c r="B77">
        <v>2.14</v>
      </c>
      <c r="C77">
        <v>5.25</v>
      </c>
      <c r="D77">
        <v>12.1999999999999</v>
      </c>
      <c r="E77">
        <v>11.2699999999999</v>
      </c>
      <c r="F77">
        <v>13.15</v>
      </c>
      <c r="G77">
        <v>9.0599999999999898</v>
      </c>
      <c r="H77">
        <v>6.89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f t="shared" si="43"/>
        <v>22.20999999999999</v>
      </c>
      <c r="P77">
        <f t="shared" si="44"/>
        <v>6.89</v>
      </c>
      <c r="S77">
        <v>1975</v>
      </c>
      <c r="T77" s="24">
        <v>60.14</v>
      </c>
      <c r="U77" s="5">
        <f t="shared" si="30"/>
        <v>3.5583638177585634E-2</v>
      </c>
      <c r="V77" s="5">
        <f t="shared" si="31"/>
        <v>8.7296308613235785E-2</v>
      </c>
      <c r="W77" s="5">
        <f t="shared" si="32"/>
        <v>0.20285999334885102</v>
      </c>
      <c r="X77" s="5">
        <f t="shared" si="33"/>
        <v>0.18739607582307782</v>
      </c>
      <c r="Y77" s="5">
        <f t="shared" si="34"/>
        <v>0.21865646824077153</v>
      </c>
      <c r="Z77" s="5">
        <f t="shared" si="35"/>
        <v>0.15064848686398385</v>
      </c>
      <c r="AA77" s="5">
        <f t="shared" si="36"/>
        <v>0.1145660126371799</v>
      </c>
      <c r="AB77" s="5">
        <f t="shared" si="37"/>
        <v>0</v>
      </c>
      <c r="AC77" s="5">
        <f t="shared" si="38"/>
        <v>0</v>
      </c>
      <c r="AD77" s="5">
        <f t="shared" si="39"/>
        <v>0</v>
      </c>
      <c r="AE77" s="5">
        <f t="shared" si="40"/>
        <v>0</v>
      </c>
      <c r="AF77" s="5">
        <f t="shared" si="41"/>
        <v>0</v>
      </c>
      <c r="AG77" s="5">
        <f t="shared" si="42"/>
        <v>0</v>
      </c>
      <c r="AH77" s="6">
        <f t="shared" si="45"/>
        <v>0.36930495510475536</v>
      </c>
      <c r="AI77" s="6">
        <f t="shared" si="46"/>
        <v>0.1145660126371799</v>
      </c>
      <c r="AJ77" s="6"/>
    </row>
    <row r="78" spans="1:38" x14ac:dyDescent="0.25">
      <c r="A78">
        <v>1976</v>
      </c>
      <c r="B78">
        <v>1.67</v>
      </c>
      <c r="C78">
        <v>4.2300000000000004</v>
      </c>
      <c r="D78">
        <v>8.3999999999999897</v>
      </c>
      <c r="E78">
        <v>19.649999999999899</v>
      </c>
      <c r="F78">
        <v>5.72</v>
      </c>
      <c r="G78">
        <v>5.46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f t="shared" si="43"/>
        <v>11.18</v>
      </c>
      <c r="P78">
        <f t="shared" si="44"/>
        <v>0</v>
      </c>
      <c r="S78">
        <v>1976</v>
      </c>
      <c r="T78" s="23">
        <v>45.2</v>
      </c>
      <c r="U78" s="5">
        <f t="shared" si="30"/>
        <v>3.6946902654867254E-2</v>
      </c>
      <c r="V78" s="5">
        <f t="shared" si="31"/>
        <v>9.3584070796460181E-2</v>
      </c>
      <c r="W78" s="5">
        <f t="shared" si="32"/>
        <v>0.18584070796460153</v>
      </c>
      <c r="X78" s="5">
        <f t="shared" si="33"/>
        <v>0.43473451327433404</v>
      </c>
      <c r="Y78" s="5">
        <f t="shared" si="34"/>
        <v>0.12654867256637167</v>
      </c>
      <c r="Z78" s="5">
        <f t="shared" si="35"/>
        <v>0.12079646017699114</v>
      </c>
      <c r="AA78" s="5">
        <f t="shared" si="36"/>
        <v>0</v>
      </c>
      <c r="AB78" s="5">
        <f t="shared" si="37"/>
        <v>0</v>
      </c>
      <c r="AC78" s="5">
        <f t="shared" si="38"/>
        <v>0</v>
      </c>
      <c r="AD78" s="5">
        <f t="shared" si="39"/>
        <v>0</v>
      </c>
      <c r="AE78" s="5">
        <f t="shared" si="40"/>
        <v>0</v>
      </c>
      <c r="AF78" s="5">
        <f t="shared" si="41"/>
        <v>0</v>
      </c>
      <c r="AG78" s="5">
        <f t="shared" si="42"/>
        <v>0</v>
      </c>
      <c r="AH78" s="6">
        <f t="shared" si="45"/>
        <v>0.24734513274336281</v>
      </c>
      <c r="AI78" s="6">
        <f t="shared" si="46"/>
        <v>0</v>
      </c>
      <c r="AJ78" s="6"/>
    </row>
    <row r="79" spans="1:38" x14ac:dyDescent="0.25">
      <c r="A79">
        <v>1977</v>
      </c>
      <c r="B79">
        <v>2.04</v>
      </c>
      <c r="C79">
        <v>4.51</v>
      </c>
      <c r="D79">
        <v>8.1</v>
      </c>
      <c r="E79">
        <v>14.99</v>
      </c>
      <c r="F79">
        <v>7.84</v>
      </c>
      <c r="G79">
        <v>3.33</v>
      </c>
      <c r="H79">
        <v>4.3699999999999903</v>
      </c>
      <c r="I79">
        <v>2.7</v>
      </c>
      <c r="J79">
        <v>0</v>
      </c>
      <c r="K79">
        <v>0</v>
      </c>
      <c r="L79">
        <v>0</v>
      </c>
      <c r="M79">
        <v>0</v>
      </c>
      <c r="N79">
        <v>0</v>
      </c>
      <c r="O79">
        <f t="shared" si="43"/>
        <v>11.17</v>
      </c>
      <c r="P79">
        <f t="shared" si="44"/>
        <v>7.0699999999999905</v>
      </c>
      <c r="S79">
        <v>1977</v>
      </c>
      <c r="T79" s="24">
        <v>48.07</v>
      </c>
      <c r="U79" s="5">
        <f t="shared" si="30"/>
        <v>4.2438111087996673E-2</v>
      </c>
      <c r="V79" s="5">
        <f t="shared" si="31"/>
        <v>9.3821510297482827E-2</v>
      </c>
      <c r="W79" s="5">
        <f t="shared" si="32"/>
        <v>0.16850426461410442</v>
      </c>
      <c r="X79" s="5">
        <f t="shared" si="33"/>
        <v>0.31183690451425006</v>
      </c>
      <c r="Y79" s="5">
        <f t="shared" si="34"/>
        <v>0.16309548574994798</v>
      </c>
      <c r="Z79" s="5">
        <f t="shared" si="35"/>
        <v>6.927397545246515E-2</v>
      </c>
      <c r="AA79" s="5">
        <f t="shared" si="36"/>
        <v>9.0909090909090703E-2</v>
      </c>
      <c r="AB79" s="5">
        <f t="shared" si="37"/>
        <v>5.6168088204701483E-2</v>
      </c>
      <c r="AC79" s="5">
        <f t="shared" si="38"/>
        <v>0</v>
      </c>
      <c r="AD79" s="5">
        <f t="shared" si="39"/>
        <v>0</v>
      </c>
      <c r="AE79" s="5">
        <f t="shared" si="40"/>
        <v>0</v>
      </c>
      <c r="AF79" s="5">
        <f t="shared" si="41"/>
        <v>0</v>
      </c>
      <c r="AG79" s="5">
        <f t="shared" si="42"/>
        <v>0</v>
      </c>
      <c r="AH79" s="6">
        <f t="shared" si="45"/>
        <v>0.23236946120241314</v>
      </c>
      <c r="AI79" s="6">
        <f t="shared" si="46"/>
        <v>0.1470771791137922</v>
      </c>
      <c r="AJ79" s="6"/>
    </row>
    <row r="80" spans="1:38" x14ac:dyDescent="0.25">
      <c r="A80">
        <v>1978</v>
      </c>
      <c r="B80">
        <v>2</v>
      </c>
      <c r="C80">
        <v>4.84</v>
      </c>
      <c r="D80">
        <v>8.6</v>
      </c>
      <c r="E80">
        <v>9.82</v>
      </c>
      <c r="F80">
        <v>14.809999999999899</v>
      </c>
      <c r="G80">
        <v>0</v>
      </c>
      <c r="H80">
        <v>2.3199999999999998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f t="shared" si="43"/>
        <v>14.809999999999899</v>
      </c>
      <c r="P80">
        <f t="shared" si="44"/>
        <v>2.3199999999999998</v>
      </c>
      <c r="S80">
        <v>1978</v>
      </c>
      <c r="T80" s="23">
        <v>42.51</v>
      </c>
      <c r="U80" s="5">
        <f t="shared" ref="U80:AG99" si="47">B80/$T80</f>
        <v>4.7047753469771823E-2</v>
      </c>
      <c r="V80" s="5">
        <f t="shared" si="47"/>
        <v>0.1138555633968478</v>
      </c>
      <c r="W80" s="5">
        <f t="shared" si="47"/>
        <v>0.20230533992001881</v>
      </c>
      <c r="X80" s="5">
        <f t="shared" si="47"/>
        <v>0.23100446953657966</v>
      </c>
      <c r="Y80" s="5">
        <f t="shared" si="47"/>
        <v>0.34838861444365798</v>
      </c>
      <c r="Z80" s="5">
        <f t="shared" si="47"/>
        <v>0</v>
      </c>
      <c r="AA80" s="5">
        <f t="shared" si="47"/>
        <v>5.457539402493531E-2</v>
      </c>
      <c r="AB80" s="5">
        <f t="shared" si="47"/>
        <v>0</v>
      </c>
      <c r="AC80" s="5">
        <f t="shared" si="47"/>
        <v>0</v>
      </c>
      <c r="AD80" s="5">
        <f t="shared" si="47"/>
        <v>0</v>
      </c>
      <c r="AE80" s="5">
        <f t="shared" si="47"/>
        <v>0</v>
      </c>
      <c r="AF80" s="5">
        <f t="shared" si="47"/>
        <v>0</v>
      </c>
      <c r="AG80" s="5">
        <f t="shared" si="47"/>
        <v>0</v>
      </c>
      <c r="AH80" s="6">
        <f t="shared" si="45"/>
        <v>0.34838861444365798</v>
      </c>
      <c r="AI80" s="6">
        <f t="shared" si="46"/>
        <v>5.457539402493531E-2</v>
      </c>
      <c r="AJ80" s="6"/>
    </row>
    <row r="81" spans="1:36" x14ac:dyDescent="0.25">
      <c r="A81">
        <v>1979</v>
      </c>
      <c r="B81">
        <v>1.72</v>
      </c>
      <c r="C81">
        <v>5.88</v>
      </c>
      <c r="D81">
        <v>9.5299999999999994</v>
      </c>
      <c r="E81">
        <v>13.799999999999899</v>
      </c>
      <c r="F81">
        <v>8.08</v>
      </c>
      <c r="G81">
        <v>1.93</v>
      </c>
      <c r="H81">
        <v>12.7099999999999</v>
      </c>
      <c r="I81">
        <v>0</v>
      </c>
      <c r="J81">
        <v>3.05</v>
      </c>
      <c r="K81">
        <v>0</v>
      </c>
      <c r="L81">
        <v>0</v>
      </c>
      <c r="M81">
        <v>0</v>
      </c>
      <c r="N81">
        <v>0</v>
      </c>
      <c r="O81">
        <f t="shared" si="43"/>
        <v>10.01</v>
      </c>
      <c r="P81">
        <f t="shared" si="44"/>
        <v>15.759999999999899</v>
      </c>
      <c r="S81">
        <v>1979</v>
      </c>
      <c r="T81" s="24">
        <v>56.9</v>
      </c>
      <c r="U81" s="5">
        <f t="shared" si="47"/>
        <v>3.0228471001757469E-2</v>
      </c>
      <c r="V81" s="5">
        <f t="shared" si="47"/>
        <v>0.10333919156414763</v>
      </c>
      <c r="W81" s="5">
        <f t="shared" si="47"/>
        <v>0.16748681898066783</v>
      </c>
      <c r="X81" s="5">
        <f t="shared" si="47"/>
        <v>0.24253075571177329</v>
      </c>
      <c r="Y81" s="5">
        <f t="shared" si="47"/>
        <v>0.14200351493848859</v>
      </c>
      <c r="Z81" s="5">
        <f t="shared" si="47"/>
        <v>3.3919156414762744E-2</v>
      </c>
      <c r="AA81" s="5">
        <f t="shared" si="47"/>
        <v>0.22337434094903164</v>
      </c>
      <c r="AB81" s="5">
        <f t="shared" si="47"/>
        <v>0</v>
      </c>
      <c r="AC81" s="5">
        <f t="shared" si="47"/>
        <v>5.3602811950790856E-2</v>
      </c>
      <c r="AD81" s="5">
        <f t="shared" si="47"/>
        <v>0</v>
      </c>
      <c r="AE81" s="5">
        <f t="shared" si="47"/>
        <v>0</v>
      </c>
      <c r="AF81" s="5">
        <f t="shared" si="47"/>
        <v>0</v>
      </c>
      <c r="AG81" s="5">
        <f t="shared" si="47"/>
        <v>0</v>
      </c>
      <c r="AH81" s="6">
        <f t="shared" si="45"/>
        <v>0.17592267135325135</v>
      </c>
      <c r="AI81" s="6">
        <f t="shared" si="46"/>
        <v>0.2769771528998225</v>
      </c>
      <c r="AJ81" s="6"/>
    </row>
    <row r="82" spans="1:36" x14ac:dyDescent="0.25">
      <c r="A82">
        <v>1980</v>
      </c>
      <c r="B82">
        <v>1.87</v>
      </c>
      <c r="C82">
        <v>4.78</v>
      </c>
      <c r="D82">
        <v>5.46</v>
      </c>
      <c r="E82">
        <v>11.2599999999999</v>
      </c>
      <c r="F82">
        <v>3.62</v>
      </c>
      <c r="G82">
        <v>5.09</v>
      </c>
      <c r="H82">
        <v>0</v>
      </c>
      <c r="I82">
        <v>2.95</v>
      </c>
      <c r="J82">
        <v>0</v>
      </c>
      <c r="K82">
        <v>0</v>
      </c>
      <c r="L82">
        <v>0</v>
      </c>
      <c r="M82">
        <v>0</v>
      </c>
      <c r="N82">
        <v>0</v>
      </c>
      <c r="O82">
        <f t="shared" si="43"/>
        <v>8.7100000000000009</v>
      </c>
      <c r="P82">
        <f t="shared" si="44"/>
        <v>2.95</v>
      </c>
      <c r="S82">
        <v>1980</v>
      </c>
      <c r="T82" s="23">
        <v>35.39</v>
      </c>
      <c r="U82" s="5">
        <f t="shared" si="47"/>
        <v>5.2839785250070645E-2</v>
      </c>
      <c r="V82" s="5">
        <f t="shared" si="47"/>
        <v>0.13506640293868324</v>
      </c>
      <c r="W82" s="5">
        <f t="shared" si="47"/>
        <v>0.1542808703023453</v>
      </c>
      <c r="X82" s="5">
        <f t="shared" si="47"/>
        <v>0.3181689742865188</v>
      </c>
      <c r="Y82" s="5">
        <f t="shared" si="47"/>
        <v>0.10228878214184799</v>
      </c>
      <c r="Z82" s="5">
        <f t="shared" si="47"/>
        <v>0.14382593953094094</v>
      </c>
      <c r="AA82" s="5">
        <f t="shared" si="47"/>
        <v>0</v>
      </c>
      <c r="AB82" s="5">
        <f t="shared" si="47"/>
        <v>8.3356880474710376E-2</v>
      </c>
      <c r="AC82" s="5">
        <f t="shared" si="47"/>
        <v>0</v>
      </c>
      <c r="AD82" s="5">
        <f t="shared" si="47"/>
        <v>0</v>
      </c>
      <c r="AE82" s="5">
        <f t="shared" si="47"/>
        <v>0</v>
      </c>
      <c r="AF82" s="5">
        <f t="shared" si="47"/>
        <v>0</v>
      </c>
      <c r="AG82" s="5">
        <f t="shared" si="47"/>
        <v>0</v>
      </c>
      <c r="AH82" s="6">
        <f t="shared" si="45"/>
        <v>0.24611472167278892</v>
      </c>
      <c r="AI82" s="6">
        <f t="shared" si="46"/>
        <v>8.3356880474710376E-2</v>
      </c>
      <c r="AJ82" s="6"/>
    </row>
    <row r="83" spans="1:36" x14ac:dyDescent="0.25">
      <c r="A83">
        <v>1981</v>
      </c>
      <c r="B83">
        <v>2.1</v>
      </c>
      <c r="C83">
        <v>4.42</v>
      </c>
      <c r="D83">
        <v>6.51</v>
      </c>
      <c r="E83">
        <v>12.299999999999899</v>
      </c>
      <c r="F83">
        <v>8.89</v>
      </c>
      <c r="G83">
        <v>1.74</v>
      </c>
      <c r="H83">
        <v>0</v>
      </c>
      <c r="I83">
        <v>2.67</v>
      </c>
      <c r="J83">
        <v>0</v>
      </c>
      <c r="K83">
        <v>0</v>
      </c>
      <c r="L83">
        <v>0</v>
      </c>
      <c r="M83">
        <v>0</v>
      </c>
      <c r="N83">
        <v>0</v>
      </c>
      <c r="O83">
        <f t="shared" si="43"/>
        <v>10.63</v>
      </c>
      <c r="P83">
        <f t="shared" si="44"/>
        <v>2.67</v>
      </c>
      <c r="S83">
        <v>1981</v>
      </c>
      <c r="T83" s="24">
        <v>38.799999999999997</v>
      </c>
      <c r="U83" s="5">
        <f t="shared" si="47"/>
        <v>5.4123711340206195E-2</v>
      </c>
      <c r="V83" s="5">
        <f t="shared" si="47"/>
        <v>0.11391752577319589</v>
      </c>
      <c r="W83" s="5">
        <f t="shared" si="47"/>
        <v>0.16778350515463919</v>
      </c>
      <c r="X83" s="5">
        <f t="shared" si="47"/>
        <v>0.31701030927834795</v>
      </c>
      <c r="Y83" s="5">
        <f t="shared" si="47"/>
        <v>0.2291237113402062</v>
      </c>
      <c r="Z83" s="5">
        <f t="shared" si="47"/>
        <v>4.4845360824742268E-2</v>
      </c>
      <c r="AA83" s="5">
        <f t="shared" si="47"/>
        <v>0</v>
      </c>
      <c r="AB83" s="5">
        <f t="shared" si="47"/>
        <v>6.8814432989690727E-2</v>
      </c>
      <c r="AC83" s="5">
        <f t="shared" si="47"/>
        <v>0</v>
      </c>
      <c r="AD83" s="5">
        <f t="shared" si="47"/>
        <v>0</v>
      </c>
      <c r="AE83" s="5">
        <f t="shared" si="47"/>
        <v>0</v>
      </c>
      <c r="AF83" s="5">
        <f t="shared" si="47"/>
        <v>0</v>
      </c>
      <c r="AG83" s="5">
        <f t="shared" si="47"/>
        <v>0</v>
      </c>
      <c r="AH83" s="6">
        <f t="shared" si="45"/>
        <v>0.27396907216494848</v>
      </c>
      <c r="AI83" s="6">
        <f t="shared" si="46"/>
        <v>6.8814432989690727E-2</v>
      </c>
      <c r="AJ83" s="6"/>
    </row>
    <row r="84" spans="1:36" x14ac:dyDescent="0.25">
      <c r="A84">
        <v>1982</v>
      </c>
      <c r="B84">
        <v>1.31</v>
      </c>
      <c r="C84">
        <v>5.35</v>
      </c>
      <c r="D84">
        <v>5.3799999999999901</v>
      </c>
      <c r="E84">
        <v>11.88</v>
      </c>
      <c r="F84">
        <v>10.08</v>
      </c>
      <c r="G84">
        <v>0</v>
      </c>
      <c r="H84">
        <v>4.29</v>
      </c>
      <c r="I84">
        <v>2.98</v>
      </c>
      <c r="J84">
        <v>0</v>
      </c>
      <c r="K84">
        <v>0</v>
      </c>
      <c r="L84">
        <v>0</v>
      </c>
      <c r="M84">
        <v>0</v>
      </c>
      <c r="N84">
        <v>0</v>
      </c>
      <c r="O84">
        <f t="shared" si="43"/>
        <v>10.08</v>
      </c>
      <c r="P84">
        <f t="shared" si="44"/>
        <v>7.27</v>
      </c>
      <c r="S84">
        <v>1982</v>
      </c>
      <c r="T84" s="23">
        <v>41.56</v>
      </c>
      <c r="U84" s="5">
        <f t="shared" si="47"/>
        <v>3.1520692974013477E-2</v>
      </c>
      <c r="V84" s="5">
        <f t="shared" si="47"/>
        <v>0.1287295476419634</v>
      </c>
      <c r="W84" s="5">
        <f t="shared" si="47"/>
        <v>0.12945139557266577</v>
      </c>
      <c r="X84" s="5">
        <f t="shared" si="47"/>
        <v>0.28585178055822907</v>
      </c>
      <c r="Y84" s="5">
        <f t="shared" si="47"/>
        <v>0.24254090471607315</v>
      </c>
      <c r="Z84" s="5">
        <f t="shared" si="47"/>
        <v>0</v>
      </c>
      <c r="AA84" s="5">
        <f t="shared" si="47"/>
        <v>0.1032242540904716</v>
      </c>
      <c r="AB84" s="5">
        <f t="shared" si="47"/>
        <v>7.1703561116458134E-2</v>
      </c>
      <c r="AC84" s="5">
        <f t="shared" si="47"/>
        <v>0</v>
      </c>
      <c r="AD84" s="5">
        <f t="shared" si="47"/>
        <v>0</v>
      </c>
      <c r="AE84" s="5">
        <f t="shared" si="47"/>
        <v>0</v>
      </c>
      <c r="AF84" s="5">
        <f t="shared" si="47"/>
        <v>0</v>
      </c>
      <c r="AG84" s="5">
        <f t="shared" si="47"/>
        <v>0</v>
      </c>
      <c r="AH84" s="6">
        <f t="shared" si="45"/>
        <v>0.24254090471607315</v>
      </c>
      <c r="AI84" s="6">
        <f t="shared" si="46"/>
        <v>0.17492781520692974</v>
      </c>
      <c r="AJ84" s="6"/>
    </row>
    <row r="85" spans="1:36" x14ac:dyDescent="0.25">
      <c r="A85">
        <v>1983</v>
      </c>
      <c r="B85">
        <v>1.72</v>
      </c>
      <c r="C85">
        <v>3.77</v>
      </c>
      <c r="D85">
        <v>6.32</v>
      </c>
      <c r="E85">
        <v>15.97</v>
      </c>
      <c r="F85">
        <v>13.27</v>
      </c>
      <c r="G85">
        <v>11.99</v>
      </c>
      <c r="H85">
        <v>2.12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f t="shared" si="43"/>
        <v>25.259999999999998</v>
      </c>
      <c r="P85">
        <f t="shared" si="44"/>
        <v>2.12</v>
      </c>
      <c r="S85">
        <v>1983</v>
      </c>
      <c r="T85" s="24">
        <v>55.49</v>
      </c>
      <c r="U85" s="5">
        <f t="shared" si="47"/>
        <v>3.0996575959632365E-2</v>
      </c>
      <c r="V85" s="5">
        <f t="shared" si="47"/>
        <v>6.7940169399891864E-2</v>
      </c>
      <c r="W85" s="5">
        <f t="shared" si="47"/>
        <v>0.11389439538655614</v>
      </c>
      <c r="X85" s="5">
        <f t="shared" si="47"/>
        <v>0.28779960353216794</v>
      </c>
      <c r="Y85" s="5">
        <f t="shared" si="47"/>
        <v>0.23914218778158225</v>
      </c>
      <c r="Z85" s="5">
        <f t="shared" si="47"/>
        <v>0.21607496846278609</v>
      </c>
      <c r="AA85" s="5">
        <f t="shared" si="47"/>
        <v>3.8205081996756173E-2</v>
      </c>
      <c r="AB85" s="5">
        <f t="shared" si="47"/>
        <v>0</v>
      </c>
      <c r="AC85" s="5">
        <f t="shared" si="47"/>
        <v>0</v>
      </c>
      <c r="AD85" s="5">
        <f t="shared" si="47"/>
        <v>0</v>
      </c>
      <c r="AE85" s="5">
        <f t="shared" si="47"/>
        <v>0</v>
      </c>
      <c r="AF85" s="5">
        <f t="shared" si="47"/>
        <v>0</v>
      </c>
      <c r="AG85" s="5">
        <f t="shared" si="47"/>
        <v>0</v>
      </c>
      <c r="AH85" s="6">
        <f t="shared" si="45"/>
        <v>0.45521715624436832</v>
      </c>
      <c r="AI85" s="6">
        <f t="shared" si="46"/>
        <v>3.8205081996756173E-2</v>
      </c>
      <c r="AJ85" s="6"/>
    </row>
    <row r="86" spans="1:36" x14ac:dyDescent="0.25">
      <c r="A86">
        <v>1984</v>
      </c>
      <c r="B86">
        <v>1.98</v>
      </c>
      <c r="C86">
        <v>2.96999999999999</v>
      </c>
      <c r="D86">
        <v>8.5399999999999991</v>
      </c>
      <c r="E86">
        <v>18.21</v>
      </c>
      <c r="F86">
        <v>4.03</v>
      </c>
      <c r="G86">
        <v>8.5599999999999898</v>
      </c>
      <c r="H86">
        <v>2.3199999999999998</v>
      </c>
      <c r="I86">
        <v>0</v>
      </c>
      <c r="J86">
        <v>3.09</v>
      </c>
      <c r="K86">
        <v>0</v>
      </c>
      <c r="L86">
        <v>0</v>
      </c>
      <c r="M86">
        <v>0</v>
      </c>
      <c r="N86">
        <v>0</v>
      </c>
      <c r="O86">
        <f t="shared" si="43"/>
        <v>12.589999999999989</v>
      </c>
      <c r="P86">
        <f t="shared" si="44"/>
        <v>5.41</v>
      </c>
      <c r="S86">
        <v>1984</v>
      </c>
      <c r="T86" s="23">
        <v>50.14</v>
      </c>
      <c r="U86" s="5">
        <f t="shared" si="47"/>
        <v>3.9489429597128041E-2</v>
      </c>
      <c r="V86" s="5">
        <f t="shared" si="47"/>
        <v>5.9234144395691864E-2</v>
      </c>
      <c r="W86" s="5">
        <f t="shared" si="47"/>
        <v>0.17032309533306739</v>
      </c>
      <c r="X86" s="5">
        <f t="shared" si="47"/>
        <v>0.36318308735540489</v>
      </c>
      <c r="Y86" s="5">
        <f t="shared" si="47"/>
        <v>8.0374950139609103E-2</v>
      </c>
      <c r="Z86" s="5">
        <f t="shared" si="47"/>
        <v>0.17072197846031092</v>
      </c>
      <c r="AA86" s="5">
        <f t="shared" si="47"/>
        <v>4.6270442760271237E-2</v>
      </c>
      <c r="AB86" s="5">
        <f t="shared" si="47"/>
        <v>0</v>
      </c>
      <c r="AC86" s="5">
        <f t="shared" si="47"/>
        <v>6.1627443159154367E-2</v>
      </c>
      <c r="AD86" s="5">
        <f t="shared" si="47"/>
        <v>0</v>
      </c>
      <c r="AE86" s="5">
        <f t="shared" si="47"/>
        <v>0</v>
      </c>
      <c r="AF86" s="5">
        <f t="shared" si="47"/>
        <v>0</v>
      </c>
      <c r="AG86" s="5">
        <f t="shared" si="47"/>
        <v>0</v>
      </c>
      <c r="AH86" s="6">
        <f t="shared" si="45"/>
        <v>0.25109692859992006</v>
      </c>
      <c r="AI86" s="6">
        <f t="shared" si="46"/>
        <v>0.1078978859194256</v>
      </c>
      <c r="AJ86" s="6"/>
    </row>
    <row r="87" spans="1:36" x14ac:dyDescent="0.25">
      <c r="A87">
        <v>1985</v>
      </c>
      <c r="B87">
        <v>2.42</v>
      </c>
      <c r="C87">
        <v>4.1500000000000004</v>
      </c>
      <c r="D87">
        <v>6.8699999999999903</v>
      </c>
      <c r="E87">
        <v>11.489999999999901</v>
      </c>
      <c r="F87">
        <v>10.649999999999901</v>
      </c>
      <c r="G87">
        <v>7.46</v>
      </c>
      <c r="H87">
        <v>0</v>
      </c>
      <c r="I87">
        <v>2.64</v>
      </c>
      <c r="J87">
        <v>0</v>
      </c>
      <c r="K87">
        <v>0</v>
      </c>
      <c r="L87">
        <v>0</v>
      </c>
      <c r="M87">
        <v>0</v>
      </c>
      <c r="N87">
        <v>0</v>
      </c>
      <c r="O87">
        <f t="shared" si="43"/>
        <v>18.1099999999999</v>
      </c>
      <c r="P87">
        <f t="shared" si="44"/>
        <v>2.64</v>
      </c>
      <c r="S87">
        <v>1985</v>
      </c>
      <c r="T87" s="24">
        <v>46.05</v>
      </c>
      <c r="U87" s="5">
        <f t="shared" si="47"/>
        <v>5.255157437567861E-2</v>
      </c>
      <c r="V87" s="5">
        <f t="shared" si="47"/>
        <v>9.0119435396308373E-2</v>
      </c>
      <c r="W87" s="5">
        <f t="shared" si="47"/>
        <v>0.1491856677524428</v>
      </c>
      <c r="X87" s="5">
        <f t="shared" si="47"/>
        <v>0.24951140065146366</v>
      </c>
      <c r="Y87" s="5">
        <f t="shared" si="47"/>
        <v>0.23127035830618678</v>
      </c>
      <c r="Z87" s="5">
        <f t="shared" si="47"/>
        <v>0.16199782844733987</v>
      </c>
      <c r="AA87" s="5">
        <f t="shared" si="47"/>
        <v>0</v>
      </c>
      <c r="AB87" s="5">
        <f t="shared" si="47"/>
        <v>5.7328990228013035E-2</v>
      </c>
      <c r="AC87" s="5">
        <f t="shared" si="47"/>
        <v>0</v>
      </c>
      <c r="AD87" s="5">
        <f t="shared" si="47"/>
        <v>0</v>
      </c>
      <c r="AE87" s="5">
        <f t="shared" si="47"/>
        <v>0</v>
      </c>
      <c r="AF87" s="5">
        <f t="shared" si="47"/>
        <v>0</v>
      </c>
      <c r="AG87" s="5">
        <f t="shared" si="47"/>
        <v>0</v>
      </c>
      <c r="AH87" s="6">
        <f t="shared" si="45"/>
        <v>0.39326818675352665</v>
      </c>
      <c r="AI87" s="6">
        <f t="shared" si="46"/>
        <v>5.7328990228013035E-2</v>
      </c>
      <c r="AJ87" s="6"/>
    </row>
    <row r="88" spans="1:36" x14ac:dyDescent="0.25">
      <c r="A88">
        <v>1986</v>
      </c>
      <c r="B88">
        <v>1.3</v>
      </c>
      <c r="C88">
        <v>4.0599999999999996</v>
      </c>
      <c r="D88">
        <v>10.77</v>
      </c>
      <c r="E88">
        <v>13.12</v>
      </c>
      <c r="F88">
        <v>7.41</v>
      </c>
      <c r="G88">
        <v>5.58</v>
      </c>
      <c r="H88">
        <v>2.13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f t="shared" si="43"/>
        <v>12.99</v>
      </c>
      <c r="P88">
        <f t="shared" si="44"/>
        <v>2.13</v>
      </c>
      <c r="S88">
        <v>1986</v>
      </c>
      <c r="T88" s="23">
        <v>44.66</v>
      </c>
      <c r="U88" s="5">
        <f t="shared" si="47"/>
        <v>2.9108822212270492E-2</v>
      </c>
      <c r="V88" s="5">
        <f t="shared" si="47"/>
        <v>9.0909090909090912E-2</v>
      </c>
      <c r="W88" s="5">
        <f t="shared" si="47"/>
        <v>0.24115539632781013</v>
      </c>
      <c r="X88" s="5">
        <f t="shared" si="47"/>
        <v>0.29377519032691446</v>
      </c>
      <c r="Y88" s="5">
        <f t="shared" si="47"/>
        <v>0.16592028660994179</v>
      </c>
      <c r="Z88" s="5">
        <f t="shared" si="47"/>
        <v>0.12494402149574564</v>
      </c>
      <c r="AA88" s="5">
        <f t="shared" si="47"/>
        <v>4.7693685624720109E-2</v>
      </c>
      <c r="AB88" s="5">
        <f t="shared" si="47"/>
        <v>0</v>
      </c>
      <c r="AC88" s="5">
        <f t="shared" si="47"/>
        <v>0</v>
      </c>
      <c r="AD88" s="5">
        <f t="shared" si="47"/>
        <v>0</v>
      </c>
      <c r="AE88" s="5">
        <f t="shared" si="47"/>
        <v>0</v>
      </c>
      <c r="AF88" s="5">
        <f t="shared" si="47"/>
        <v>0</v>
      </c>
      <c r="AG88" s="5">
        <f t="shared" si="47"/>
        <v>0</v>
      </c>
      <c r="AH88" s="6">
        <f t="shared" si="45"/>
        <v>0.29086430810568742</v>
      </c>
      <c r="AI88" s="6">
        <f t="shared" si="46"/>
        <v>4.7693685624720109E-2</v>
      </c>
      <c r="AJ88" s="6"/>
    </row>
    <row r="89" spans="1:36" x14ac:dyDescent="0.25">
      <c r="A89">
        <v>1987</v>
      </c>
      <c r="B89">
        <v>2.46</v>
      </c>
      <c r="C89">
        <v>3.56</v>
      </c>
      <c r="D89">
        <v>7.68</v>
      </c>
      <c r="E89">
        <v>11.7</v>
      </c>
      <c r="F89">
        <v>10.92</v>
      </c>
      <c r="G89">
        <v>4.8</v>
      </c>
      <c r="H89">
        <v>0</v>
      </c>
      <c r="I89">
        <v>2.69</v>
      </c>
      <c r="J89">
        <v>0</v>
      </c>
      <c r="K89">
        <v>0</v>
      </c>
      <c r="L89">
        <v>0</v>
      </c>
      <c r="M89">
        <v>0</v>
      </c>
      <c r="N89">
        <v>0</v>
      </c>
      <c r="O89">
        <f t="shared" si="43"/>
        <v>15.719999999999999</v>
      </c>
      <c r="P89">
        <f t="shared" si="44"/>
        <v>2.69</v>
      </c>
      <c r="S89">
        <v>1987</v>
      </c>
      <c r="T89" s="24">
        <v>44.08</v>
      </c>
      <c r="U89" s="5">
        <f t="shared" si="47"/>
        <v>5.5807622504537205E-2</v>
      </c>
      <c r="V89" s="5">
        <f t="shared" si="47"/>
        <v>8.0762250453720513E-2</v>
      </c>
      <c r="W89" s="5">
        <f t="shared" si="47"/>
        <v>0.17422867513611615</v>
      </c>
      <c r="X89" s="5">
        <f t="shared" si="47"/>
        <v>0.26542649727767692</v>
      </c>
      <c r="Y89" s="5">
        <f t="shared" si="47"/>
        <v>0.24773139745916517</v>
      </c>
      <c r="Z89" s="5">
        <f t="shared" si="47"/>
        <v>0.10889292196007259</v>
      </c>
      <c r="AA89" s="5">
        <f t="shared" si="47"/>
        <v>0</v>
      </c>
      <c r="AB89" s="5">
        <f t="shared" si="47"/>
        <v>6.102540834845735E-2</v>
      </c>
      <c r="AC89" s="5">
        <f t="shared" si="47"/>
        <v>0</v>
      </c>
      <c r="AD89" s="5">
        <f t="shared" si="47"/>
        <v>0</v>
      </c>
      <c r="AE89" s="5">
        <f t="shared" si="47"/>
        <v>0</v>
      </c>
      <c r="AF89" s="5">
        <f t="shared" si="47"/>
        <v>0</v>
      </c>
      <c r="AG89" s="5">
        <f t="shared" si="47"/>
        <v>0</v>
      </c>
      <c r="AH89" s="6">
        <f t="shared" si="45"/>
        <v>0.35662431941923778</v>
      </c>
      <c r="AI89" s="6">
        <f t="shared" si="46"/>
        <v>6.102540834845735E-2</v>
      </c>
      <c r="AJ89" s="6"/>
    </row>
    <row r="90" spans="1:36" x14ac:dyDescent="0.25">
      <c r="A90">
        <v>1988</v>
      </c>
      <c r="B90">
        <v>1.47</v>
      </c>
      <c r="C90">
        <v>4.68</v>
      </c>
      <c r="D90">
        <v>7.76</v>
      </c>
      <c r="E90">
        <v>12.92</v>
      </c>
      <c r="F90">
        <v>7.49</v>
      </c>
      <c r="G90">
        <v>3.51</v>
      </c>
      <c r="H90">
        <v>2.42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f t="shared" si="43"/>
        <v>11</v>
      </c>
      <c r="P90">
        <f t="shared" si="44"/>
        <v>2.42</v>
      </c>
      <c r="S90">
        <v>1988</v>
      </c>
      <c r="T90" s="23">
        <v>40.39</v>
      </c>
      <c r="U90" s="5">
        <f t="shared" si="47"/>
        <v>3.6395147313691506E-2</v>
      </c>
      <c r="V90" s="5">
        <f t="shared" si="47"/>
        <v>0.11587026491705867</v>
      </c>
      <c r="W90" s="5">
        <f t="shared" si="47"/>
        <v>0.19212676405050755</v>
      </c>
      <c r="X90" s="5">
        <f t="shared" si="47"/>
        <v>0.31988115870264916</v>
      </c>
      <c r="Y90" s="5">
        <f t="shared" si="47"/>
        <v>0.18544194107452339</v>
      </c>
      <c r="Z90" s="5">
        <f t="shared" si="47"/>
        <v>8.6902698687794003E-2</v>
      </c>
      <c r="AA90" s="5">
        <f t="shared" si="47"/>
        <v>5.9915820747709826E-2</v>
      </c>
      <c r="AB90" s="5">
        <f t="shared" si="47"/>
        <v>0</v>
      </c>
      <c r="AC90" s="5">
        <f t="shared" si="47"/>
        <v>0</v>
      </c>
      <c r="AD90" s="5">
        <f t="shared" si="47"/>
        <v>0</v>
      </c>
      <c r="AE90" s="5">
        <f t="shared" si="47"/>
        <v>0</v>
      </c>
      <c r="AF90" s="5">
        <f t="shared" si="47"/>
        <v>0</v>
      </c>
      <c r="AG90" s="5">
        <f t="shared" si="47"/>
        <v>0</v>
      </c>
      <c r="AH90" s="6">
        <f t="shared" si="45"/>
        <v>0.27234463976231738</v>
      </c>
      <c r="AI90" s="6">
        <f t="shared" si="46"/>
        <v>5.9915820747709826E-2</v>
      </c>
      <c r="AJ90" s="6"/>
    </row>
    <row r="91" spans="1:36" x14ac:dyDescent="0.25">
      <c r="A91">
        <v>1989</v>
      </c>
      <c r="B91">
        <v>2.79</v>
      </c>
      <c r="C91">
        <v>5.49</v>
      </c>
      <c r="D91">
        <v>13.0199999999999</v>
      </c>
      <c r="E91">
        <v>14.35</v>
      </c>
      <c r="F91">
        <v>2.61</v>
      </c>
      <c r="G91">
        <v>3.05</v>
      </c>
      <c r="H91">
        <v>4.5</v>
      </c>
      <c r="I91">
        <v>5.6999999999999904</v>
      </c>
      <c r="J91">
        <v>0</v>
      </c>
      <c r="K91">
        <v>0</v>
      </c>
      <c r="L91">
        <v>0</v>
      </c>
      <c r="M91">
        <v>0</v>
      </c>
      <c r="N91">
        <v>0</v>
      </c>
      <c r="O91">
        <f t="shared" si="43"/>
        <v>5.66</v>
      </c>
      <c r="P91">
        <f t="shared" si="44"/>
        <v>10.19999999999999</v>
      </c>
      <c r="S91">
        <v>1989</v>
      </c>
      <c r="T91" s="24">
        <v>51.91</v>
      </c>
      <c r="U91" s="5">
        <f t="shared" si="47"/>
        <v>5.3746869581968795E-2</v>
      </c>
      <c r="V91" s="5">
        <f t="shared" si="47"/>
        <v>0.10575996917742247</v>
      </c>
      <c r="W91" s="5">
        <f t="shared" si="47"/>
        <v>0.25081872471585248</v>
      </c>
      <c r="X91" s="5">
        <f t="shared" si="47"/>
        <v>0.27643999229435562</v>
      </c>
      <c r="Y91" s="5">
        <f t="shared" si="47"/>
        <v>5.027932960893855E-2</v>
      </c>
      <c r="Z91" s="5">
        <f t="shared" si="47"/>
        <v>5.8755538431901365E-2</v>
      </c>
      <c r="AA91" s="5">
        <f t="shared" si="47"/>
        <v>8.6688499325756119E-2</v>
      </c>
      <c r="AB91" s="5">
        <f t="shared" si="47"/>
        <v>0.10980543247929091</v>
      </c>
      <c r="AC91" s="5">
        <f t="shared" si="47"/>
        <v>0</v>
      </c>
      <c r="AD91" s="5">
        <f t="shared" si="47"/>
        <v>0</v>
      </c>
      <c r="AE91" s="5">
        <f t="shared" si="47"/>
        <v>0</v>
      </c>
      <c r="AF91" s="5">
        <f t="shared" si="47"/>
        <v>0</v>
      </c>
      <c r="AG91" s="5">
        <f t="shared" si="47"/>
        <v>0</v>
      </c>
      <c r="AH91" s="6">
        <f t="shared" si="45"/>
        <v>0.10903486804083992</v>
      </c>
      <c r="AI91" s="6">
        <f t="shared" si="46"/>
        <v>0.19649393180504704</v>
      </c>
      <c r="AJ91" s="6"/>
    </row>
    <row r="92" spans="1:36" x14ac:dyDescent="0.25">
      <c r="A92">
        <v>1990</v>
      </c>
      <c r="B92">
        <v>2.0099999999999998</v>
      </c>
      <c r="C92">
        <v>7.04</v>
      </c>
      <c r="D92">
        <v>8.0899999999999892</v>
      </c>
      <c r="E92">
        <v>15.34</v>
      </c>
      <c r="F92">
        <v>11.47</v>
      </c>
      <c r="G92">
        <v>5.2899999999999903</v>
      </c>
      <c r="H92">
        <v>4.0999999999999996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f t="shared" si="43"/>
        <v>16.759999999999991</v>
      </c>
      <c r="P92">
        <f t="shared" si="44"/>
        <v>4.0999999999999996</v>
      </c>
      <c r="S92">
        <v>1990</v>
      </c>
      <c r="T92" s="23">
        <v>53.59</v>
      </c>
      <c r="U92" s="5">
        <f t="shared" si="47"/>
        <v>3.7506997574174278E-2</v>
      </c>
      <c r="V92" s="5">
        <f t="shared" si="47"/>
        <v>0.13136779249860048</v>
      </c>
      <c r="W92" s="5">
        <f t="shared" si="47"/>
        <v>0.15096100018660177</v>
      </c>
      <c r="X92" s="5">
        <f t="shared" si="47"/>
        <v>0.28624743422280274</v>
      </c>
      <c r="Y92" s="5">
        <f t="shared" si="47"/>
        <v>0.21403246874416867</v>
      </c>
      <c r="Z92" s="5">
        <f t="shared" si="47"/>
        <v>9.8712446351931146E-2</v>
      </c>
      <c r="AA92" s="5">
        <f t="shared" si="47"/>
        <v>7.650681097219629E-2</v>
      </c>
      <c r="AB92" s="5">
        <f t="shared" si="47"/>
        <v>0</v>
      </c>
      <c r="AC92" s="5">
        <f t="shared" si="47"/>
        <v>0</v>
      </c>
      <c r="AD92" s="5">
        <f t="shared" si="47"/>
        <v>0</v>
      </c>
      <c r="AE92" s="5">
        <f t="shared" si="47"/>
        <v>0</v>
      </c>
      <c r="AF92" s="5">
        <f t="shared" si="47"/>
        <v>0</v>
      </c>
      <c r="AG92" s="5">
        <f t="shared" si="47"/>
        <v>0</v>
      </c>
      <c r="AH92" s="6">
        <f t="shared" si="45"/>
        <v>0.31274491509609981</v>
      </c>
      <c r="AI92" s="6">
        <f t="shared" si="46"/>
        <v>7.650681097219629E-2</v>
      </c>
      <c r="AJ92" s="6"/>
    </row>
    <row r="93" spans="1:36" x14ac:dyDescent="0.25">
      <c r="A93">
        <v>1991</v>
      </c>
      <c r="B93">
        <v>2.6699999999999902</v>
      </c>
      <c r="C93">
        <v>3.65</v>
      </c>
      <c r="D93">
        <v>7.9499999999999904</v>
      </c>
      <c r="E93">
        <v>12.84</v>
      </c>
      <c r="F93">
        <v>6.42</v>
      </c>
      <c r="G93">
        <v>1.78</v>
      </c>
      <c r="H93">
        <v>2.1800000000000002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f t="shared" si="43"/>
        <v>8.1999999999999993</v>
      </c>
      <c r="P93">
        <f t="shared" si="44"/>
        <v>2.1800000000000002</v>
      </c>
      <c r="S93">
        <v>1991</v>
      </c>
      <c r="T93" s="24">
        <v>37.659999999999997</v>
      </c>
      <c r="U93" s="5">
        <f t="shared" si="47"/>
        <v>7.089750398300558E-2</v>
      </c>
      <c r="V93" s="5">
        <f t="shared" si="47"/>
        <v>9.6919808815719599E-2</v>
      </c>
      <c r="W93" s="5">
        <f t="shared" si="47"/>
        <v>0.21109930961232054</v>
      </c>
      <c r="X93" s="5">
        <f t="shared" si="47"/>
        <v>0.34094530005310675</v>
      </c>
      <c r="Y93" s="5">
        <f t="shared" si="47"/>
        <v>0.17047265002655337</v>
      </c>
      <c r="Z93" s="5">
        <f t="shared" si="47"/>
        <v>4.7265002655337236E-2</v>
      </c>
      <c r="AA93" s="5">
        <f t="shared" si="47"/>
        <v>5.7886351566648973E-2</v>
      </c>
      <c r="AB93" s="5">
        <f t="shared" si="47"/>
        <v>0</v>
      </c>
      <c r="AC93" s="5">
        <f t="shared" si="47"/>
        <v>0</v>
      </c>
      <c r="AD93" s="5">
        <f t="shared" si="47"/>
        <v>0</v>
      </c>
      <c r="AE93" s="5">
        <f t="shared" si="47"/>
        <v>0</v>
      </c>
      <c r="AF93" s="5">
        <f t="shared" si="47"/>
        <v>0</v>
      </c>
      <c r="AG93" s="5">
        <f t="shared" si="47"/>
        <v>0</v>
      </c>
      <c r="AH93" s="6">
        <f t="shared" si="45"/>
        <v>0.2177376526818906</v>
      </c>
      <c r="AI93" s="6">
        <f t="shared" si="46"/>
        <v>5.7886351566648973E-2</v>
      </c>
      <c r="AJ93" s="6"/>
    </row>
    <row r="94" spans="1:36" x14ac:dyDescent="0.25">
      <c r="A94">
        <v>1992</v>
      </c>
      <c r="B94">
        <v>1.63</v>
      </c>
      <c r="C94">
        <v>5</v>
      </c>
      <c r="D94">
        <v>7.51</v>
      </c>
      <c r="E94">
        <v>15.71</v>
      </c>
      <c r="F94">
        <v>7.6999999999999904</v>
      </c>
      <c r="G94">
        <v>7.0399999999999903</v>
      </c>
      <c r="H94">
        <v>2.17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f t="shared" si="43"/>
        <v>14.739999999999981</v>
      </c>
      <c r="P94">
        <f t="shared" si="44"/>
        <v>2.17</v>
      </c>
      <c r="S94">
        <v>1992</v>
      </c>
      <c r="T94" s="23">
        <v>47.02</v>
      </c>
      <c r="U94" s="5">
        <f t="shared" si="47"/>
        <v>3.4666099532113991E-2</v>
      </c>
      <c r="V94" s="5">
        <f t="shared" si="47"/>
        <v>0.10633772862611654</v>
      </c>
      <c r="W94" s="5">
        <f t="shared" si="47"/>
        <v>0.15971926839642703</v>
      </c>
      <c r="X94" s="5">
        <f t="shared" si="47"/>
        <v>0.3341131433432582</v>
      </c>
      <c r="Y94" s="5">
        <f t="shared" si="47"/>
        <v>0.16376010208421926</v>
      </c>
      <c r="Z94" s="5">
        <f t="shared" si="47"/>
        <v>0.14972352190557189</v>
      </c>
      <c r="AA94" s="5">
        <f t="shared" si="47"/>
        <v>4.6150574223734579E-2</v>
      </c>
      <c r="AB94" s="5">
        <f t="shared" si="47"/>
        <v>0</v>
      </c>
      <c r="AC94" s="5">
        <f t="shared" si="47"/>
        <v>0</v>
      </c>
      <c r="AD94" s="5">
        <f t="shared" si="47"/>
        <v>0</v>
      </c>
      <c r="AE94" s="5">
        <f t="shared" si="47"/>
        <v>0</v>
      </c>
      <c r="AF94" s="5">
        <f t="shared" si="47"/>
        <v>0</v>
      </c>
      <c r="AG94" s="5">
        <f t="shared" si="47"/>
        <v>0</v>
      </c>
      <c r="AH94" s="6">
        <f t="shared" si="45"/>
        <v>0.31348362398979113</v>
      </c>
      <c r="AI94" s="6">
        <f t="shared" si="46"/>
        <v>4.6150574223734579E-2</v>
      </c>
      <c r="AJ94" s="6"/>
    </row>
    <row r="95" spans="1:36" x14ac:dyDescent="0.25">
      <c r="A95">
        <v>1993</v>
      </c>
      <c r="B95">
        <v>2.15</v>
      </c>
      <c r="C95">
        <v>4.4800000000000004</v>
      </c>
      <c r="D95">
        <v>6.33</v>
      </c>
      <c r="E95">
        <v>13.7099999999999</v>
      </c>
      <c r="F95">
        <v>10.050000000000001</v>
      </c>
      <c r="G95">
        <v>6.97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f t="shared" si="43"/>
        <v>17.02</v>
      </c>
      <c r="P95">
        <f t="shared" si="44"/>
        <v>0</v>
      </c>
      <c r="S95">
        <v>1993</v>
      </c>
      <c r="T95" s="24">
        <v>43.92</v>
      </c>
      <c r="U95" s="5">
        <f t="shared" si="47"/>
        <v>4.8952641165755914E-2</v>
      </c>
      <c r="V95" s="5">
        <f t="shared" si="47"/>
        <v>0.10200364298724955</v>
      </c>
      <c r="W95" s="5">
        <f t="shared" si="47"/>
        <v>0.14412568306010928</v>
      </c>
      <c r="X95" s="5">
        <f t="shared" si="47"/>
        <v>0.3121584699453529</v>
      </c>
      <c r="Y95" s="5">
        <f t="shared" si="47"/>
        <v>0.22882513661202186</v>
      </c>
      <c r="Z95" s="5">
        <f t="shared" si="47"/>
        <v>0.1586976320582878</v>
      </c>
      <c r="AA95" s="5">
        <f t="shared" si="47"/>
        <v>0</v>
      </c>
      <c r="AB95" s="5">
        <f t="shared" si="47"/>
        <v>0</v>
      </c>
      <c r="AC95" s="5">
        <f t="shared" si="47"/>
        <v>0</v>
      </c>
      <c r="AD95" s="5">
        <f t="shared" si="47"/>
        <v>0</v>
      </c>
      <c r="AE95" s="5">
        <f t="shared" si="47"/>
        <v>0</v>
      </c>
      <c r="AF95" s="5">
        <f t="shared" si="47"/>
        <v>0</v>
      </c>
      <c r="AG95" s="5">
        <f t="shared" si="47"/>
        <v>0</v>
      </c>
      <c r="AH95" s="6">
        <f t="shared" si="45"/>
        <v>0.38752276867030966</v>
      </c>
      <c r="AI95" s="6">
        <f t="shared" si="46"/>
        <v>0</v>
      </c>
      <c r="AJ95" s="6"/>
    </row>
    <row r="96" spans="1:36" x14ac:dyDescent="0.25">
      <c r="A96">
        <v>1994</v>
      </c>
      <c r="B96">
        <v>0.94</v>
      </c>
      <c r="C96">
        <v>3.03</v>
      </c>
      <c r="D96">
        <v>6.75</v>
      </c>
      <c r="E96">
        <v>13.95</v>
      </c>
      <c r="F96">
        <v>5.32</v>
      </c>
      <c r="G96">
        <v>4.9800000000000004</v>
      </c>
      <c r="H96">
        <v>2.38</v>
      </c>
      <c r="I96">
        <v>2.97</v>
      </c>
      <c r="J96">
        <v>0</v>
      </c>
      <c r="K96">
        <v>0</v>
      </c>
      <c r="L96">
        <v>0</v>
      </c>
      <c r="M96">
        <v>0</v>
      </c>
      <c r="N96">
        <v>0</v>
      </c>
      <c r="O96">
        <f t="shared" si="43"/>
        <v>10.3</v>
      </c>
      <c r="P96">
        <f t="shared" si="44"/>
        <v>5.35</v>
      </c>
      <c r="S96">
        <v>1994</v>
      </c>
      <c r="T96" s="23">
        <v>40.39</v>
      </c>
      <c r="U96" s="5">
        <f t="shared" si="47"/>
        <v>2.3273087397870759E-2</v>
      </c>
      <c r="V96" s="5">
        <f t="shared" si="47"/>
        <v>7.5018568952711057E-2</v>
      </c>
      <c r="W96" s="5">
        <f t="shared" si="47"/>
        <v>0.16712057439960387</v>
      </c>
      <c r="X96" s="5">
        <f t="shared" si="47"/>
        <v>0.34538252042584794</v>
      </c>
      <c r="Y96" s="5">
        <f t="shared" si="47"/>
        <v>0.1317157712305026</v>
      </c>
      <c r="Z96" s="5">
        <f t="shared" si="47"/>
        <v>0.12329784600148552</v>
      </c>
      <c r="AA96" s="5">
        <f t="shared" si="47"/>
        <v>5.892547660311958E-2</v>
      </c>
      <c r="AB96" s="5">
        <f t="shared" si="47"/>
        <v>7.3533052735825707E-2</v>
      </c>
      <c r="AC96" s="5">
        <f t="shared" si="47"/>
        <v>0</v>
      </c>
      <c r="AD96" s="5">
        <f t="shared" si="47"/>
        <v>0</v>
      </c>
      <c r="AE96" s="5">
        <f t="shared" si="47"/>
        <v>0</v>
      </c>
      <c r="AF96" s="5">
        <f t="shared" si="47"/>
        <v>0</v>
      </c>
      <c r="AG96" s="5">
        <f t="shared" si="47"/>
        <v>0</v>
      </c>
      <c r="AH96" s="6">
        <f t="shared" si="45"/>
        <v>0.25501361723198812</v>
      </c>
      <c r="AI96" s="6">
        <f t="shared" si="46"/>
        <v>0.13245852933894528</v>
      </c>
      <c r="AJ96" s="6"/>
    </row>
    <row r="97" spans="1:45" x14ac:dyDescent="0.25">
      <c r="A97">
        <v>1995</v>
      </c>
      <c r="B97">
        <v>1.69</v>
      </c>
      <c r="C97">
        <v>4.16</v>
      </c>
      <c r="D97">
        <v>4.78</v>
      </c>
      <c r="E97">
        <v>9.99</v>
      </c>
      <c r="F97">
        <v>3.89</v>
      </c>
      <c r="G97">
        <v>1.6</v>
      </c>
      <c r="H97">
        <v>2.1</v>
      </c>
      <c r="I97">
        <v>0</v>
      </c>
      <c r="J97">
        <v>0</v>
      </c>
      <c r="K97">
        <v>4.8</v>
      </c>
      <c r="L97">
        <v>0</v>
      </c>
      <c r="M97">
        <v>0</v>
      </c>
      <c r="N97">
        <v>0</v>
      </c>
      <c r="O97">
        <f t="shared" si="43"/>
        <v>5.49</v>
      </c>
      <c r="P97">
        <f t="shared" si="44"/>
        <v>6.9</v>
      </c>
      <c r="S97">
        <v>1995</v>
      </c>
      <c r="T97" s="24">
        <v>33.28</v>
      </c>
      <c r="U97" s="5">
        <f t="shared" si="47"/>
        <v>5.078125E-2</v>
      </c>
      <c r="V97" s="5">
        <f t="shared" si="47"/>
        <v>0.125</v>
      </c>
      <c r="W97" s="5">
        <f t="shared" si="47"/>
        <v>0.14362980769230768</v>
      </c>
      <c r="X97" s="5">
        <f t="shared" si="47"/>
        <v>0.30018028846153844</v>
      </c>
      <c r="Y97" s="5">
        <f t="shared" si="47"/>
        <v>0.11688701923076923</v>
      </c>
      <c r="Z97" s="5">
        <f t="shared" si="47"/>
        <v>4.807692307692308E-2</v>
      </c>
      <c r="AA97" s="5">
        <f t="shared" si="47"/>
        <v>6.3100961538461536E-2</v>
      </c>
      <c r="AB97" s="5">
        <f t="shared" si="47"/>
        <v>0</v>
      </c>
      <c r="AC97" s="5">
        <f t="shared" si="47"/>
        <v>0</v>
      </c>
      <c r="AD97" s="5">
        <f t="shared" si="47"/>
        <v>0.14423076923076922</v>
      </c>
      <c r="AE97" s="5">
        <f t="shared" si="47"/>
        <v>0</v>
      </c>
      <c r="AF97" s="5">
        <f t="shared" si="47"/>
        <v>0</v>
      </c>
      <c r="AG97" s="5">
        <f t="shared" si="47"/>
        <v>0</v>
      </c>
      <c r="AH97" s="6">
        <f t="shared" si="45"/>
        <v>0.16496394230769232</v>
      </c>
      <c r="AI97" s="6">
        <f t="shared" si="46"/>
        <v>0.20733173076923075</v>
      </c>
      <c r="AJ97" s="6"/>
    </row>
    <row r="98" spans="1:45" ht="18.75" x14ac:dyDescent="0.3">
      <c r="A98">
        <v>1996</v>
      </c>
      <c r="B98">
        <v>2.27</v>
      </c>
      <c r="C98">
        <v>6.52</v>
      </c>
      <c r="D98">
        <v>8.0399999999999991</v>
      </c>
      <c r="E98">
        <v>13.48</v>
      </c>
      <c r="F98">
        <v>7.77</v>
      </c>
      <c r="G98">
        <v>6.9</v>
      </c>
      <c r="H98">
        <v>4.6999999999999904</v>
      </c>
      <c r="I98">
        <v>2.97</v>
      </c>
      <c r="J98">
        <v>6.91</v>
      </c>
      <c r="K98">
        <v>0</v>
      </c>
      <c r="L98">
        <v>0</v>
      </c>
      <c r="M98">
        <v>0</v>
      </c>
      <c r="N98">
        <v>0</v>
      </c>
      <c r="O98">
        <f t="shared" si="43"/>
        <v>14.67</v>
      </c>
      <c r="P98">
        <f t="shared" si="44"/>
        <v>14.579999999999991</v>
      </c>
      <c r="S98">
        <v>1996</v>
      </c>
      <c r="T98" s="23">
        <v>59.89</v>
      </c>
      <c r="U98" s="5">
        <f t="shared" si="47"/>
        <v>3.7902821840040075E-2</v>
      </c>
      <c r="V98" s="5">
        <f t="shared" si="47"/>
        <v>0.10886625480046752</v>
      </c>
      <c r="W98" s="5">
        <f t="shared" si="47"/>
        <v>0.13424611788278509</v>
      </c>
      <c r="X98" s="5">
        <f t="shared" si="47"/>
        <v>0.22507931207213225</v>
      </c>
      <c r="Y98" s="5">
        <f t="shared" si="47"/>
        <v>0.12973785273000499</v>
      </c>
      <c r="Z98" s="5">
        <f t="shared" si="47"/>
        <v>0.11521122057104692</v>
      </c>
      <c r="AA98" s="5">
        <f t="shared" si="47"/>
        <v>7.8477208215060781E-2</v>
      </c>
      <c r="AB98" s="5">
        <f t="shared" si="47"/>
        <v>4.9590916680581069E-2</v>
      </c>
      <c r="AC98" s="5">
        <f t="shared" si="47"/>
        <v>0.11537819335448322</v>
      </c>
      <c r="AD98" s="5">
        <f t="shared" si="47"/>
        <v>0</v>
      </c>
      <c r="AE98" s="5">
        <f t="shared" si="47"/>
        <v>0</v>
      </c>
      <c r="AF98" s="5">
        <f t="shared" si="47"/>
        <v>0</v>
      </c>
      <c r="AG98" s="5">
        <f t="shared" si="47"/>
        <v>0</v>
      </c>
      <c r="AH98" s="6">
        <f t="shared" si="45"/>
        <v>0.24494907330105192</v>
      </c>
      <c r="AI98" s="6">
        <f t="shared" si="46"/>
        <v>0.24344631825012508</v>
      </c>
      <c r="AJ98" s="6"/>
      <c r="AK98" s="7" t="s">
        <v>15</v>
      </c>
      <c r="AL98" s="7"/>
    </row>
    <row r="99" spans="1:45" ht="18.75" x14ac:dyDescent="0.3">
      <c r="A99">
        <v>1997</v>
      </c>
      <c r="B99">
        <v>1.19</v>
      </c>
      <c r="C99">
        <v>6.1</v>
      </c>
      <c r="D99">
        <v>4.6999999999999904</v>
      </c>
      <c r="E99">
        <v>11.98</v>
      </c>
      <c r="F99">
        <v>4.0599999999999996</v>
      </c>
      <c r="G99">
        <v>1.86</v>
      </c>
      <c r="H99">
        <v>0</v>
      </c>
      <c r="I99">
        <v>0</v>
      </c>
      <c r="J99">
        <v>3.2</v>
      </c>
      <c r="K99">
        <v>4.2</v>
      </c>
      <c r="L99">
        <v>0</v>
      </c>
      <c r="M99">
        <v>0</v>
      </c>
      <c r="N99">
        <v>0</v>
      </c>
      <c r="O99">
        <f t="shared" si="43"/>
        <v>5.92</v>
      </c>
      <c r="P99">
        <f t="shared" si="44"/>
        <v>7.4</v>
      </c>
      <c r="S99">
        <v>1997</v>
      </c>
      <c r="T99" s="24">
        <v>37.47</v>
      </c>
      <c r="U99" s="5">
        <f t="shared" si="47"/>
        <v>3.1758740325593809E-2</v>
      </c>
      <c r="V99" s="5">
        <f t="shared" si="47"/>
        <v>0.16279690419001869</v>
      </c>
      <c r="W99" s="5">
        <f t="shared" si="47"/>
        <v>0.12543368027755514</v>
      </c>
      <c r="X99" s="5">
        <f t="shared" si="47"/>
        <v>0.3197224446223646</v>
      </c>
      <c r="Y99" s="5">
        <f t="shared" si="47"/>
        <v>0.10835334934614357</v>
      </c>
      <c r="Z99" s="5">
        <f t="shared" si="47"/>
        <v>4.9639711769415534E-2</v>
      </c>
      <c r="AA99" s="5">
        <f t="shared" si="47"/>
        <v>0</v>
      </c>
      <c r="AB99" s="5">
        <f t="shared" si="47"/>
        <v>0</v>
      </c>
      <c r="AC99" s="5">
        <f t="shared" ref="AC99:AG119" si="48">J99/$T99</f>
        <v>8.5401654657058984E-2</v>
      </c>
      <c r="AD99" s="5">
        <f t="shared" si="48"/>
        <v>0.11208967173738991</v>
      </c>
      <c r="AE99" s="5">
        <f t="shared" si="48"/>
        <v>0</v>
      </c>
      <c r="AF99" s="5">
        <f t="shared" si="48"/>
        <v>0</v>
      </c>
      <c r="AG99" s="5">
        <f t="shared" si="48"/>
        <v>0</v>
      </c>
      <c r="AH99" s="6">
        <f t="shared" si="45"/>
        <v>0.15799306111555911</v>
      </c>
      <c r="AI99" s="6">
        <f t="shared" si="46"/>
        <v>0.19749132639444889</v>
      </c>
      <c r="AJ99" s="6"/>
      <c r="AK99" s="7" t="s">
        <v>16</v>
      </c>
      <c r="AL99" s="7" t="s">
        <v>17</v>
      </c>
    </row>
    <row r="100" spans="1:45" ht="18.75" x14ac:dyDescent="0.3">
      <c r="A100">
        <v>1998</v>
      </c>
      <c r="B100">
        <v>1.71</v>
      </c>
      <c r="C100">
        <v>2.62</v>
      </c>
      <c r="D100">
        <v>6.39</v>
      </c>
      <c r="E100">
        <v>8.65</v>
      </c>
      <c r="F100">
        <v>3.35</v>
      </c>
      <c r="G100">
        <v>8.4499999999999993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f t="shared" si="43"/>
        <v>11.799999999999999</v>
      </c>
      <c r="P100">
        <f t="shared" si="44"/>
        <v>0</v>
      </c>
      <c r="S100">
        <v>1998</v>
      </c>
      <c r="T100" s="23">
        <v>31.34</v>
      </c>
      <c r="U100" s="5">
        <f t="shared" ref="U100:AB119" si="49">B100/$T100</f>
        <v>5.4562858966177408E-2</v>
      </c>
      <c r="V100" s="5">
        <f t="shared" si="49"/>
        <v>8.3599234205488204E-2</v>
      </c>
      <c r="W100" s="5">
        <f t="shared" si="49"/>
        <v>0.20389278876834716</v>
      </c>
      <c r="X100" s="5">
        <f t="shared" si="49"/>
        <v>0.27600510529674538</v>
      </c>
      <c r="Y100" s="5">
        <f t="shared" si="49"/>
        <v>0.106892150606254</v>
      </c>
      <c r="Z100" s="5">
        <f t="shared" si="49"/>
        <v>0.2696234843650287</v>
      </c>
      <c r="AA100" s="5">
        <f t="shared" si="49"/>
        <v>0</v>
      </c>
      <c r="AB100" s="5">
        <f t="shared" si="49"/>
        <v>0</v>
      </c>
      <c r="AC100" s="5">
        <f t="shared" si="48"/>
        <v>0</v>
      </c>
      <c r="AD100" s="5">
        <f t="shared" si="48"/>
        <v>0</v>
      </c>
      <c r="AE100" s="5">
        <f t="shared" si="48"/>
        <v>0</v>
      </c>
      <c r="AF100" s="5">
        <f t="shared" si="48"/>
        <v>0</v>
      </c>
      <c r="AG100" s="5">
        <f t="shared" si="48"/>
        <v>0</v>
      </c>
      <c r="AH100" s="6">
        <f t="shared" si="45"/>
        <v>0.37651563497128271</v>
      </c>
      <c r="AI100" s="6">
        <f t="shared" si="46"/>
        <v>0</v>
      </c>
      <c r="AJ100" s="6"/>
      <c r="AK100" s="7" t="s">
        <v>0</v>
      </c>
      <c r="AL100" s="7" t="s">
        <v>18</v>
      </c>
    </row>
    <row r="101" spans="1:45" ht="19.5" thickBot="1" x14ac:dyDescent="0.35">
      <c r="A101">
        <v>1999</v>
      </c>
      <c r="B101">
        <v>2</v>
      </c>
      <c r="C101">
        <v>3.61</v>
      </c>
      <c r="D101">
        <v>7.89</v>
      </c>
      <c r="E101">
        <v>13.19</v>
      </c>
      <c r="F101">
        <v>2.21</v>
      </c>
      <c r="G101">
        <v>3.4</v>
      </c>
      <c r="H101">
        <v>0</v>
      </c>
      <c r="I101">
        <v>0</v>
      </c>
      <c r="J101">
        <v>0</v>
      </c>
      <c r="K101">
        <v>0</v>
      </c>
      <c r="L101">
        <v>5.63</v>
      </c>
      <c r="M101">
        <v>0</v>
      </c>
      <c r="N101">
        <v>0</v>
      </c>
      <c r="O101">
        <f t="shared" si="43"/>
        <v>5.6099999999999994</v>
      </c>
      <c r="P101">
        <f t="shared" si="44"/>
        <v>5.63</v>
      </c>
      <c r="S101">
        <v>1999</v>
      </c>
      <c r="T101" s="24">
        <v>38.11</v>
      </c>
      <c r="U101" s="5">
        <f t="shared" si="49"/>
        <v>5.2479664130149567E-2</v>
      </c>
      <c r="V101" s="5">
        <f t="shared" si="49"/>
        <v>9.4725793754919962E-2</v>
      </c>
      <c r="W101" s="5">
        <f t="shared" si="49"/>
        <v>0.20703227499344004</v>
      </c>
      <c r="X101" s="5">
        <f t="shared" si="49"/>
        <v>0.34610338493833637</v>
      </c>
      <c r="Y101" s="5">
        <f t="shared" si="49"/>
        <v>5.7990028863815268E-2</v>
      </c>
      <c r="Z101" s="5">
        <f t="shared" si="49"/>
        <v>8.9215429021254261E-2</v>
      </c>
      <c r="AA101" s="5">
        <f t="shared" si="49"/>
        <v>0</v>
      </c>
      <c r="AB101" s="5">
        <f t="shared" si="49"/>
        <v>0</v>
      </c>
      <c r="AC101" s="5">
        <f t="shared" si="48"/>
        <v>0</v>
      </c>
      <c r="AD101" s="5">
        <f t="shared" si="48"/>
        <v>0</v>
      </c>
      <c r="AE101" s="5">
        <f t="shared" si="48"/>
        <v>0.14773025452637104</v>
      </c>
      <c r="AF101" s="5">
        <f t="shared" si="48"/>
        <v>0</v>
      </c>
      <c r="AG101" s="5">
        <f t="shared" si="48"/>
        <v>0</v>
      </c>
      <c r="AH101" s="6">
        <f t="shared" si="45"/>
        <v>0.14720545788506953</v>
      </c>
      <c r="AI101" s="6">
        <f t="shared" si="46"/>
        <v>0.14773025452637104</v>
      </c>
      <c r="AJ101" s="6"/>
      <c r="AK101" s="7" t="s">
        <v>1</v>
      </c>
      <c r="AL101" s="7" t="s">
        <v>19</v>
      </c>
    </row>
    <row r="102" spans="1:45" ht="19.5" thickBot="1" x14ac:dyDescent="0.35">
      <c r="A102">
        <v>2000</v>
      </c>
      <c r="B102">
        <v>1.9</v>
      </c>
      <c r="C102">
        <v>5.0399999999999903</v>
      </c>
      <c r="D102">
        <v>7.68</v>
      </c>
      <c r="E102">
        <v>14.5299999999999</v>
      </c>
      <c r="F102">
        <v>9.08</v>
      </c>
      <c r="G102">
        <v>0</v>
      </c>
      <c r="H102">
        <v>4.54</v>
      </c>
      <c r="I102">
        <v>2.95</v>
      </c>
      <c r="J102">
        <v>3.05</v>
      </c>
      <c r="K102">
        <v>0</v>
      </c>
      <c r="L102">
        <v>0</v>
      </c>
      <c r="M102">
        <v>0</v>
      </c>
      <c r="N102">
        <v>0</v>
      </c>
      <c r="O102">
        <f t="shared" si="43"/>
        <v>9.08</v>
      </c>
      <c r="P102">
        <f t="shared" si="44"/>
        <v>10.54</v>
      </c>
      <c r="S102">
        <v>2000</v>
      </c>
      <c r="T102" s="23">
        <v>48.96</v>
      </c>
      <c r="U102" s="5">
        <f t="shared" si="49"/>
        <v>3.8807189542483661E-2</v>
      </c>
      <c r="V102" s="5">
        <f t="shared" si="49"/>
        <v>0.10294117647058804</v>
      </c>
      <c r="W102" s="5">
        <f t="shared" si="49"/>
        <v>0.15686274509803921</v>
      </c>
      <c r="X102" s="5">
        <f t="shared" si="49"/>
        <v>0.29677287581699141</v>
      </c>
      <c r="Y102" s="5">
        <f t="shared" si="49"/>
        <v>0.18545751633986929</v>
      </c>
      <c r="Z102" s="5">
        <f t="shared" si="49"/>
        <v>0</v>
      </c>
      <c r="AA102" s="5">
        <f t="shared" si="49"/>
        <v>9.2728758169934644E-2</v>
      </c>
      <c r="AB102" s="5">
        <f t="shared" si="49"/>
        <v>6.025326797385621E-2</v>
      </c>
      <c r="AC102" s="5">
        <f t="shared" si="48"/>
        <v>6.2295751633986922E-2</v>
      </c>
      <c r="AD102" s="5">
        <f t="shared" si="48"/>
        <v>0</v>
      </c>
      <c r="AE102" s="5">
        <f t="shared" si="48"/>
        <v>0</v>
      </c>
      <c r="AF102" s="5">
        <f t="shared" si="48"/>
        <v>0</v>
      </c>
      <c r="AG102" s="5">
        <f t="shared" si="48"/>
        <v>0</v>
      </c>
      <c r="AH102" s="6">
        <f t="shared" si="45"/>
        <v>0.18545751633986929</v>
      </c>
      <c r="AI102" s="6">
        <f t="shared" si="46"/>
        <v>0.21527777777777779</v>
      </c>
      <c r="AJ102" s="6"/>
      <c r="AK102" s="7" t="s">
        <v>2</v>
      </c>
      <c r="AL102" s="7" t="s">
        <v>20</v>
      </c>
      <c r="AQ102" s="50">
        <v>44.9</v>
      </c>
      <c r="AR102" s="51">
        <v>48.95</v>
      </c>
      <c r="AS102">
        <f>AR102-AQ102</f>
        <v>4.0500000000000043</v>
      </c>
    </row>
    <row r="103" spans="1:45" ht="19.5" thickBot="1" x14ac:dyDescent="0.35">
      <c r="A103">
        <v>2001</v>
      </c>
      <c r="B103">
        <v>1.8</v>
      </c>
      <c r="C103">
        <v>4.2300000000000004</v>
      </c>
      <c r="D103">
        <v>6.2099999999999902</v>
      </c>
      <c r="E103">
        <v>10.62</v>
      </c>
      <c r="F103">
        <v>7.9799999999999898</v>
      </c>
      <c r="G103">
        <v>1.51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f t="shared" si="43"/>
        <v>9.4899999999999896</v>
      </c>
      <c r="P103">
        <f t="shared" si="44"/>
        <v>0</v>
      </c>
      <c r="S103">
        <v>2001</v>
      </c>
      <c r="T103" s="24">
        <v>32.590000000000003</v>
      </c>
      <c r="U103" s="5">
        <f t="shared" si="49"/>
        <v>5.5231666155262343E-2</v>
      </c>
      <c r="V103" s="5">
        <f t="shared" si="49"/>
        <v>0.12979441546486653</v>
      </c>
      <c r="W103" s="5">
        <f t="shared" si="49"/>
        <v>0.19054924823565478</v>
      </c>
      <c r="X103" s="5">
        <f t="shared" si="49"/>
        <v>0.3258668303160478</v>
      </c>
      <c r="Y103" s="5">
        <f t="shared" si="49"/>
        <v>0.24486038662166273</v>
      </c>
      <c r="Z103" s="5">
        <f t="shared" si="49"/>
        <v>4.6333231052470079E-2</v>
      </c>
      <c r="AA103" s="5">
        <f t="shared" si="49"/>
        <v>0</v>
      </c>
      <c r="AB103" s="5">
        <f t="shared" si="49"/>
        <v>0</v>
      </c>
      <c r="AC103" s="5">
        <f t="shared" si="48"/>
        <v>0</v>
      </c>
      <c r="AD103" s="5">
        <f t="shared" si="48"/>
        <v>0</v>
      </c>
      <c r="AE103" s="5">
        <f t="shared" si="48"/>
        <v>0</v>
      </c>
      <c r="AF103" s="5">
        <f t="shared" si="48"/>
        <v>0</v>
      </c>
      <c r="AG103" s="5">
        <f t="shared" si="48"/>
        <v>0</v>
      </c>
      <c r="AH103" s="6">
        <f t="shared" si="45"/>
        <v>0.29119361767413282</v>
      </c>
      <c r="AI103" s="6">
        <f t="shared" si="46"/>
        <v>0</v>
      </c>
      <c r="AJ103" s="6"/>
      <c r="AK103" s="7" t="s">
        <v>3</v>
      </c>
      <c r="AL103" s="7" t="s">
        <v>21</v>
      </c>
      <c r="AQ103" s="52">
        <v>40.369999999999997</v>
      </c>
      <c r="AR103" s="53">
        <v>41.31</v>
      </c>
      <c r="AS103">
        <f t="shared" ref="AS103:AS105" si="50">AR103-AQ103</f>
        <v>0.94000000000000483</v>
      </c>
    </row>
    <row r="104" spans="1:45" ht="19.5" thickBot="1" x14ac:dyDescent="0.35">
      <c r="A104">
        <v>2002</v>
      </c>
      <c r="B104">
        <v>2.12</v>
      </c>
      <c r="C104">
        <v>3.99</v>
      </c>
      <c r="D104">
        <v>6.17</v>
      </c>
      <c r="E104">
        <v>13.559999999999899</v>
      </c>
      <c r="F104">
        <v>9.51</v>
      </c>
      <c r="G104">
        <v>6.5</v>
      </c>
      <c r="H104">
        <v>0</v>
      </c>
      <c r="I104">
        <v>0</v>
      </c>
      <c r="J104">
        <v>3.01</v>
      </c>
      <c r="K104">
        <v>0</v>
      </c>
      <c r="L104">
        <v>0</v>
      </c>
      <c r="M104">
        <v>0</v>
      </c>
      <c r="N104">
        <v>0</v>
      </c>
      <c r="O104">
        <f t="shared" si="43"/>
        <v>16.009999999999998</v>
      </c>
      <c r="P104">
        <f t="shared" si="44"/>
        <v>3.01</v>
      </c>
      <c r="S104">
        <v>2002</v>
      </c>
      <c r="T104" s="23">
        <v>45.11</v>
      </c>
      <c r="U104" s="5">
        <f t="shared" si="49"/>
        <v>4.6996231434271785E-2</v>
      </c>
      <c r="V104" s="5">
        <f t="shared" si="49"/>
        <v>8.8450454444690768E-2</v>
      </c>
      <c r="W104" s="5">
        <f t="shared" si="49"/>
        <v>0.13677676790068721</v>
      </c>
      <c r="X104" s="5">
        <f t="shared" si="49"/>
        <v>0.30059853690977389</v>
      </c>
      <c r="Y104" s="5">
        <f t="shared" si="49"/>
        <v>0.21081800044336066</v>
      </c>
      <c r="Z104" s="5">
        <f t="shared" si="49"/>
        <v>0.14409221902017291</v>
      </c>
      <c r="AA104" s="5">
        <f t="shared" si="49"/>
        <v>0</v>
      </c>
      <c r="AB104" s="5">
        <f t="shared" si="49"/>
        <v>0</v>
      </c>
      <c r="AC104" s="5">
        <f t="shared" si="48"/>
        <v>6.6725781423187761E-2</v>
      </c>
      <c r="AD104" s="5">
        <f t="shared" si="48"/>
        <v>0</v>
      </c>
      <c r="AE104" s="5">
        <f t="shared" si="48"/>
        <v>0</v>
      </c>
      <c r="AF104" s="5">
        <f t="shared" si="48"/>
        <v>0</v>
      </c>
      <c r="AG104" s="5">
        <f t="shared" si="48"/>
        <v>0</v>
      </c>
      <c r="AH104" s="6">
        <f t="shared" si="45"/>
        <v>0.35491021946353357</v>
      </c>
      <c r="AI104" s="6">
        <f t="shared" si="46"/>
        <v>6.6725781423187761E-2</v>
      </c>
      <c r="AJ104" s="6"/>
      <c r="AK104" s="7" t="s">
        <v>4</v>
      </c>
      <c r="AL104" s="7" t="s">
        <v>22</v>
      </c>
      <c r="AQ104" s="52">
        <v>45.78</v>
      </c>
      <c r="AR104" s="53">
        <v>48.29</v>
      </c>
      <c r="AS104">
        <f t="shared" si="50"/>
        <v>2.509999999999998</v>
      </c>
    </row>
    <row r="105" spans="1:45" ht="19.5" thickBot="1" x14ac:dyDescent="0.35">
      <c r="A105">
        <v>2003</v>
      </c>
      <c r="B105">
        <v>2.4700000000000002</v>
      </c>
      <c r="C105">
        <v>6.94</v>
      </c>
      <c r="D105">
        <v>10.1099999999999</v>
      </c>
      <c r="E105">
        <v>10.210000000000001</v>
      </c>
      <c r="F105">
        <v>13.46</v>
      </c>
      <c r="G105">
        <v>11.99</v>
      </c>
      <c r="H105">
        <v>2.0499999999999998</v>
      </c>
      <c r="I105">
        <v>2.52</v>
      </c>
      <c r="J105">
        <v>0</v>
      </c>
      <c r="K105">
        <v>0</v>
      </c>
      <c r="L105">
        <v>0</v>
      </c>
      <c r="M105">
        <v>0</v>
      </c>
      <c r="N105">
        <v>0</v>
      </c>
      <c r="O105">
        <f t="shared" si="43"/>
        <v>25.450000000000003</v>
      </c>
      <c r="P105">
        <f t="shared" si="44"/>
        <v>4.57</v>
      </c>
      <c r="S105">
        <v>2003</v>
      </c>
      <c r="T105" s="24">
        <v>59.93</v>
      </c>
      <c r="U105" s="5">
        <f t="shared" si="49"/>
        <v>4.1214750542299353E-2</v>
      </c>
      <c r="V105" s="5">
        <f t="shared" si="49"/>
        <v>0.11580176873018522</v>
      </c>
      <c r="W105" s="5">
        <f t="shared" si="49"/>
        <v>0.16869681294843819</v>
      </c>
      <c r="X105" s="5">
        <f t="shared" si="49"/>
        <v>0.17036542633071919</v>
      </c>
      <c r="Y105" s="5">
        <f t="shared" si="49"/>
        <v>0.22459536125479729</v>
      </c>
      <c r="Z105" s="5">
        <f t="shared" si="49"/>
        <v>0.20006674453529119</v>
      </c>
      <c r="AA105" s="5">
        <f t="shared" si="49"/>
        <v>3.4206574336726178E-2</v>
      </c>
      <c r="AB105" s="5">
        <f t="shared" si="49"/>
        <v>4.2049057233439012E-2</v>
      </c>
      <c r="AC105" s="5">
        <f t="shared" si="48"/>
        <v>0</v>
      </c>
      <c r="AD105" s="5">
        <f t="shared" si="48"/>
        <v>0</v>
      </c>
      <c r="AE105" s="5">
        <f t="shared" si="48"/>
        <v>0</v>
      </c>
      <c r="AF105" s="5">
        <f t="shared" si="48"/>
        <v>0</v>
      </c>
      <c r="AG105" s="5">
        <f t="shared" si="48"/>
        <v>0</v>
      </c>
      <c r="AH105" s="6">
        <f t="shared" si="45"/>
        <v>0.42466210579008845</v>
      </c>
      <c r="AI105" s="6">
        <f t="shared" si="46"/>
        <v>7.6255631570165183E-2</v>
      </c>
      <c r="AJ105" s="6"/>
      <c r="AK105" s="7" t="s">
        <v>23</v>
      </c>
      <c r="AL105" s="7" t="s">
        <v>37</v>
      </c>
      <c r="AQ105" s="52">
        <v>42.38</v>
      </c>
      <c r="AR105" s="53">
        <v>45.25</v>
      </c>
      <c r="AS105">
        <f t="shared" si="50"/>
        <v>2.8699999999999974</v>
      </c>
    </row>
    <row r="106" spans="1:45" ht="18.75" x14ac:dyDescent="0.3">
      <c r="A106">
        <v>2004</v>
      </c>
      <c r="B106">
        <v>2.11</v>
      </c>
      <c r="C106">
        <v>4.3</v>
      </c>
      <c r="D106">
        <v>8.1499999999999897</v>
      </c>
      <c r="E106">
        <v>15.35</v>
      </c>
      <c r="F106">
        <v>8.18</v>
      </c>
      <c r="G106">
        <v>1.63</v>
      </c>
      <c r="H106">
        <v>2.25</v>
      </c>
      <c r="I106">
        <v>2.52</v>
      </c>
      <c r="J106">
        <v>7</v>
      </c>
      <c r="K106">
        <v>0</v>
      </c>
      <c r="L106">
        <v>0</v>
      </c>
      <c r="M106">
        <v>0</v>
      </c>
      <c r="N106">
        <v>0</v>
      </c>
      <c r="O106">
        <f t="shared" si="43"/>
        <v>9.8099999999999987</v>
      </c>
      <c r="P106">
        <f t="shared" si="44"/>
        <v>11.77</v>
      </c>
      <c r="S106">
        <v>2004</v>
      </c>
      <c r="T106" s="23">
        <v>51.82</v>
      </c>
      <c r="U106" s="5">
        <f t="shared" si="49"/>
        <v>4.0717869548436897E-2</v>
      </c>
      <c r="V106" s="5">
        <f t="shared" si="49"/>
        <v>8.2979544577383241E-2</v>
      </c>
      <c r="W106" s="5">
        <f t="shared" si="49"/>
        <v>0.1572751833269006</v>
      </c>
      <c r="X106" s="5">
        <f t="shared" si="49"/>
        <v>0.29621767657275183</v>
      </c>
      <c r="Y106" s="5">
        <f t="shared" si="49"/>
        <v>0.15785411038209185</v>
      </c>
      <c r="Z106" s="5">
        <f t="shared" si="49"/>
        <v>3.1455036665380159E-2</v>
      </c>
      <c r="AA106" s="5">
        <f t="shared" si="49"/>
        <v>4.3419529139328443E-2</v>
      </c>
      <c r="AB106" s="5">
        <f t="shared" si="49"/>
        <v>4.8629872636047858E-2</v>
      </c>
      <c r="AC106" s="5">
        <f t="shared" si="48"/>
        <v>0.13508297954457738</v>
      </c>
      <c r="AD106" s="5">
        <f t="shared" si="48"/>
        <v>0</v>
      </c>
      <c r="AE106" s="5">
        <f t="shared" si="48"/>
        <v>0</v>
      </c>
      <c r="AF106" s="5">
        <f t="shared" si="48"/>
        <v>0</v>
      </c>
      <c r="AG106" s="5">
        <f t="shared" si="48"/>
        <v>0</v>
      </c>
      <c r="AH106" s="6">
        <f t="shared" si="45"/>
        <v>0.18930914704747201</v>
      </c>
      <c r="AI106" s="6">
        <f t="shared" si="46"/>
        <v>0.22713238131995367</v>
      </c>
      <c r="AJ106" s="6"/>
      <c r="AK106" s="7" t="s">
        <v>25</v>
      </c>
      <c r="AL106" s="7" t="s">
        <v>38</v>
      </c>
    </row>
    <row r="107" spans="1:45" x14ac:dyDescent="0.25">
      <c r="A107">
        <v>2005</v>
      </c>
      <c r="B107">
        <v>1.89</v>
      </c>
      <c r="C107">
        <v>3.76</v>
      </c>
      <c r="D107">
        <v>9.09</v>
      </c>
      <c r="E107">
        <v>14.149999999999901</v>
      </c>
      <c r="F107">
        <v>8.68</v>
      </c>
      <c r="G107">
        <v>1.95</v>
      </c>
      <c r="H107">
        <v>4.41</v>
      </c>
      <c r="I107">
        <v>2.65</v>
      </c>
      <c r="J107">
        <v>0</v>
      </c>
      <c r="K107">
        <v>0</v>
      </c>
      <c r="L107">
        <v>0</v>
      </c>
      <c r="M107">
        <v>0</v>
      </c>
      <c r="N107">
        <v>7.11</v>
      </c>
      <c r="O107">
        <f t="shared" si="43"/>
        <v>10.629999999999999</v>
      </c>
      <c r="P107">
        <f t="shared" si="44"/>
        <v>14.170000000000002</v>
      </c>
      <c r="S107">
        <v>2005</v>
      </c>
      <c r="T107" s="24">
        <v>50.15</v>
      </c>
      <c r="U107" s="5">
        <f t="shared" si="49"/>
        <v>3.7686939182452639E-2</v>
      </c>
      <c r="V107" s="5">
        <f t="shared" si="49"/>
        <v>7.4975074775672973E-2</v>
      </c>
      <c r="W107" s="5">
        <f t="shared" si="49"/>
        <v>0.18125623130608176</v>
      </c>
      <c r="X107" s="5">
        <f t="shared" si="49"/>
        <v>0.28215353938185245</v>
      </c>
      <c r="Y107" s="5">
        <f t="shared" si="49"/>
        <v>0.17308075772681955</v>
      </c>
      <c r="Z107" s="5">
        <f t="shared" si="49"/>
        <v>3.8883349950149554E-2</v>
      </c>
      <c r="AA107" s="5">
        <f t="shared" si="49"/>
        <v>8.7936191425722843E-2</v>
      </c>
      <c r="AB107" s="5">
        <f t="shared" si="49"/>
        <v>5.2841475573280158E-2</v>
      </c>
      <c r="AC107" s="5">
        <f t="shared" si="48"/>
        <v>0</v>
      </c>
      <c r="AD107" s="5">
        <f t="shared" si="48"/>
        <v>0</v>
      </c>
      <c r="AE107" s="5">
        <f t="shared" si="48"/>
        <v>0</v>
      </c>
      <c r="AF107" s="5">
        <f t="shared" si="48"/>
        <v>0</v>
      </c>
      <c r="AG107" s="5">
        <f t="shared" si="48"/>
        <v>0.14177467597208376</v>
      </c>
      <c r="AH107" s="6">
        <f t="shared" si="45"/>
        <v>0.2119641076769691</v>
      </c>
      <c r="AI107" s="6">
        <f t="shared" si="46"/>
        <v>0.28255234297108678</v>
      </c>
      <c r="AJ107" s="6"/>
    </row>
    <row r="108" spans="1:45" x14ac:dyDescent="0.25">
      <c r="A108">
        <v>2006</v>
      </c>
      <c r="B108">
        <v>1.47</v>
      </c>
      <c r="C108">
        <v>4.9000000000000004</v>
      </c>
      <c r="D108">
        <v>8.6599999999999895</v>
      </c>
      <c r="E108">
        <v>14.54</v>
      </c>
      <c r="F108">
        <v>11.53</v>
      </c>
      <c r="G108">
        <v>9.92</v>
      </c>
      <c r="H108">
        <v>2.0099999999999998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f t="shared" si="43"/>
        <v>21.45</v>
      </c>
      <c r="P108">
        <f t="shared" si="44"/>
        <v>2.0099999999999998</v>
      </c>
      <c r="S108">
        <v>2006</v>
      </c>
      <c r="T108" s="23">
        <v>50.66</v>
      </c>
      <c r="U108" s="5">
        <f t="shared" si="49"/>
        <v>2.9016975917883932E-2</v>
      </c>
      <c r="V108" s="5">
        <f t="shared" si="49"/>
        <v>9.6723253059613115E-2</v>
      </c>
      <c r="W108" s="5">
        <f t="shared" si="49"/>
        <v>0.17094354520331603</v>
      </c>
      <c r="X108" s="5">
        <f t="shared" si="49"/>
        <v>0.28701144887485197</v>
      </c>
      <c r="Y108" s="5">
        <f t="shared" si="49"/>
        <v>0.22759573628108962</v>
      </c>
      <c r="Z108" s="5">
        <f t="shared" si="49"/>
        <v>0.19581523884721674</v>
      </c>
      <c r="AA108" s="5">
        <f t="shared" si="49"/>
        <v>3.9676273193841295E-2</v>
      </c>
      <c r="AB108" s="5">
        <f t="shared" si="49"/>
        <v>0</v>
      </c>
      <c r="AC108" s="5">
        <f t="shared" si="48"/>
        <v>0</v>
      </c>
      <c r="AD108" s="5">
        <f t="shared" si="48"/>
        <v>0</v>
      </c>
      <c r="AE108" s="5">
        <f t="shared" si="48"/>
        <v>0</v>
      </c>
      <c r="AF108" s="5">
        <f t="shared" si="48"/>
        <v>0</v>
      </c>
      <c r="AG108" s="5">
        <f t="shared" si="48"/>
        <v>0</v>
      </c>
      <c r="AH108" s="6">
        <f t="shared" si="45"/>
        <v>0.42341097512830639</v>
      </c>
      <c r="AI108" s="6">
        <f t="shared" si="46"/>
        <v>3.9676273193841295E-2</v>
      </c>
      <c r="AJ108" s="6"/>
    </row>
    <row r="109" spans="1:45" x14ac:dyDescent="0.25">
      <c r="A109">
        <v>2007</v>
      </c>
      <c r="B109">
        <v>1.38</v>
      </c>
      <c r="C109">
        <v>4.3199999999999896</v>
      </c>
      <c r="D109">
        <v>5.5199999999999898</v>
      </c>
      <c r="E109">
        <v>15.42</v>
      </c>
      <c r="F109">
        <v>8.16</v>
      </c>
      <c r="G109">
        <v>3.6</v>
      </c>
      <c r="H109">
        <v>2.1800000000000002</v>
      </c>
      <c r="I109">
        <v>2.79</v>
      </c>
      <c r="J109">
        <v>0</v>
      </c>
      <c r="K109">
        <v>4.08</v>
      </c>
      <c r="L109">
        <v>0</v>
      </c>
      <c r="M109">
        <v>0</v>
      </c>
      <c r="N109">
        <v>0</v>
      </c>
      <c r="O109">
        <f t="shared" si="43"/>
        <v>11.76</v>
      </c>
      <c r="P109">
        <f t="shared" si="44"/>
        <v>9.0500000000000007</v>
      </c>
      <c r="S109">
        <v>2007</v>
      </c>
      <c r="T109" s="24">
        <v>47.39</v>
      </c>
      <c r="U109" s="5">
        <f t="shared" si="49"/>
        <v>2.9120067524794256E-2</v>
      </c>
      <c r="V109" s="5">
        <f t="shared" si="49"/>
        <v>9.1158472251529635E-2</v>
      </c>
      <c r="W109" s="5">
        <f t="shared" si="49"/>
        <v>0.11648027009917683</v>
      </c>
      <c r="X109" s="5">
        <f t="shared" si="49"/>
        <v>0.32538510234226631</v>
      </c>
      <c r="Y109" s="5">
        <f t="shared" si="49"/>
        <v>0.17218822536400086</v>
      </c>
      <c r="Z109" s="5">
        <f t="shared" si="49"/>
        <v>7.5965393542941545E-2</v>
      </c>
      <c r="AA109" s="5">
        <f t="shared" si="49"/>
        <v>4.6001266089892384E-2</v>
      </c>
      <c r="AB109" s="5">
        <f t="shared" si="49"/>
        <v>5.8873179995779699E-2</v>
      </c>
      <c r="AC109" s="5">
        <f t="shared" si="48"/>
        <v>0</v>
      </c>
      <c r="AD109" s="5">
        <f t="shared" si="48"/>
        <v>8.6094112682000429E-2</v>
      </c>
      <c r="AE109" s="5">
        <f t="shared" si="48"/>
        <v>0</v>
      </c>
      <c r="AF109" s="5">
        <f t="shared" si="48"/>
        <v>0</v>
      </c>
      <c r="AG109" s="5">
        <f t="shared" si="48"/>
        <v>0</v>
      </c>
      <c r="AH109" s="6">
        <f t="shared" si="45"/>
        <v>0.2481536189069424</v>
      </c>
      <c r="AI109" s="6">
        <f t="shared" si="46"/>
        <v>0.19096855876767252</v>
      </c>
      <c r="AJ109" s="6"/>
    </row>
    <row r="110" spans="1:45" x14ac:dyDescent="0.25">
      <c r="A110">
        <v>2008</v>
      </c>
      <c r="B110">
        <v>1.87</v>
      </c>
      <c r="C110">
        <v>6.0699999999999896</v>
      </c>
      <c r="D110">
        <v>7.64</v>
      </c>
      <c r="E110">
        <v>7.6099999999999897</v>
      </c>
      <c r="F110">
        <v>10.82</v>
      </c>
      <c r="G110">
        <v>9.2200000000000006</v>
      </c>
      <c r="H110">
        <v>0</v>
      </c>
      <c r="I110">
        <v>2.54</v>
      </c>
      <c r="J110">
        <v>0</v>
      </c>
      <c r="K110">
        <v>0</v>
      </c>
      <c r="L110">
        <v>0</v>
      </c>
      <c r="M110">
        <v>0</v>
      </c>
      <c r="N110">
        <v>0</v>
      </c>
      <c r="O110">
        <f t="shared" si="43"/>
        <v>20.04</v>
      </c>
      <c r="P110">
        <f t="shared" si="44"/>
        <v>2.54</v>
      </c>
      <c r="S110">
        <v>2008</v>
      </c>
      <c r="T110" s="23">
        <v>44.67</v>
      </c>
      <c r="U110" s="5">
        <f t="shared" si="49"/>
        <v>4.1862547571076783E-2</v>
      </c>
      <c r="V110" s="5">
        <f t="shared" si="49"/>
        <v>0.13588538168793349</v>
      </c>
      <c r="W110" s="5">
        <f t="shared" si="49"/>
        <v>0.17103201253637787</v>
      </c>
      <c r="X110" s="5">
        <f t="shared" si="49"/>
        <v>0.17036042086411438</v>
      </c>
      <c r="Y110" s="5">
        <f t="shared" si="49"/>
        <v>0.24222072979628387</v>
      </c>
      <c r="Z110" s="5">
        <f t="shared" si="49"/>
        <v>0.20640250727557646</v>
      </c>
      <c r="AA110" s="5">
        <f t="shared" si="49"/>
        <v>0</v>
      </c>
      <c r="AB110" s="5">
        <f t="shared" si="49"/>
        <v>5.6861428251623013E-2</v>
      </c>
      <c r="AC110" s="5">
        <f t="shared" si="48"/>
        <v>0</v>
      </c>
      <c r="AD110" s="5">
        <f t="shared" si="48"/>
        <v>0</v>
      </c>
      <c r="AE110" s="5">
        <f t="shared" si="48"/>
        <v>0</v>
      </c>
      <c r="AF110" s="5">
        <f t="shared" si="48"/>
        <v>0</v>
      </c>
      <c r="AG110" s="5">
        <f t="shared" si="48"/>
        <v>0</v>
      </c>
      <c r="AH110" s="6">
        <f t="shared" si="45"/>
        <v>0.44862323707186036</v>
      </c>
      <c r="AI110" s="6">
        <f t="shared" si="46"/>
        <v>5.6861428251623013E-2</v>
      </c>
      <c r="AJ110" s="6"/>
    </row>
    <row r="111" spans="1:45" x14ac:dyDescent="0.25">
      <c r="A111">
        <v>2009</v>
      </c>
      <c r="B111">
        <v>1.55</v>
      </c>
      <c r="C111">
        <v>6.2</v>
      </c>
      <c r="D111">
        <v>9.57</v>
      </c>
      <c r="E111">
        <v>16.510000000000002</v>
      </c>
      <c r="F111">
        <v>4.37</v>
      </c>
      <c r="G111">
        <v>3.34</v>
      </c>
      <c r="H111">
        <v>2.33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f t="shared" si="43"/>
        <v>7.71</v>
      </c>
      <c r="P111">
        <f t="shared" si="44"/>
        <v>2.33</v>
      </c>
      <c r="S111">
        <v>2009</v>
      </c>
      <c r="T111" s="24">
        <v>42.3</v>
      </c>
      <c r="U111" s="5">
        <f t="shared" si="49"/>
        <v>3.6643026004728137E-2</v>
      </c>
      <c r="V111" s="5">
        <f t="shared" si="49"/>
        <v>0.14657210401891255</v>
      </c>
      <c r="W111" s="5">
        <f t="shared" si="49"/>
        <v>0.22624113475177307</v>
      </c>
      <c r="X111" s="5">
        <f t="shared" si="49"/>
        <v>0.39030732860520101</v>
      </c>
      <c r="Y111" s="5">
        <f t="shared" si="49"/>
        <v>0.10330969267139481</v>
      </c>
      <c r="Z111" s="5">
        <f t="shared" si="49"/>
        <v>7.8959810874704495E-2</v>
      </c>
      <c r="AA111" s="5">
        <f t="shared" si="49"/>
        <v>5.5082742316784873E-2</v>
      </c>
      <c r="AB111" s="5">
        <f t="shared" si="49"/>
        <v>0</v>
      </c>
      <c r="AC111" s="5">
        <f t="shared" si="48"/>
        <v>0</v>
      </c>
      <c r="AD111" s="5">
        <f t="shared" si="48"/>
        <v>0</v>
      </c>
      <c r="AE111" s="5">
        <f t="shared" si="48"/>
        <v>0</v>
      </c>
      <c r="AF111" s="5">
        <f t="shared" si="48"/>
        <v>0</v>
      </c>
      <c r="AG111" s="5">
        <f t="shared" si="48"/>
        <v>0</v>
      </c>
      <c r="AH111" s="6">
        <f t="shared" si="45"/>
        <v>0.1822695035460993</v>
      </c>
      <c r="AI111" s="6">
        <f t="shared" si="46"/>
        <v>5.5082742316784873E-2</v>
      </c>
      <c r="AJ111" s="6"/>
    </row>
    <row r="112" spans="1:45" x14ac:dyDescent="0.25">
      <c r="A112">
        <v>2010</v>
      </c>
      <c r="B112">
        <v>1.73</v>
      </c>
      <c r="C112">
        <v>2.75</v>
      </c>
      <c r="D112">
        <v>9.5500000000000007</v>
      </c>
      <c r="E112">
        <v>10.43</v>
      </c>
      <c r="F112">
        <v>9.07</v>
      </c>
      <c r="G112">
        <v>3.49</v>
      </c>
      <c r="H112">
        <v>0</v>
      </c>
      <c r="I112">
        <v>2.84</v>
      </c>
      <c r="J112">
        <v>0</v>
      </c>
      <c r="K112">
        <v>4.17</v>
      </c>
      <c r="L112">
        <v>0</v>
      </c>
      <c r="M112">
        <v>0</v>
      </c>
      <c r="N112">
        <v>0</v>
      </c>
      <c r="O112">
        <f t="shared" si="43"/>
        <v>12.56</v>
      </c>
      <c r="P112">
        <f t="shared" si="44"/>
        <v>7.01</v>
      </c>
      <c r="S112">
        <v>2010</v>
      </c>
      <c r="T112" s="23">
        <v>44.16</v>
      </c>
      <c r="U112" s="5">
        <f t="shared" si="49"/>
        <v>3.917572463768116E-2</v>
      </c>
      <c r="V112" s="5">
        <f t="shared" si="49"/>
        <v>6.2273550724637687E-2</v>
      </c>
      <c r="W112" s="5">
        <f t="shared" si="49"/>
        <v>0.21625905797101452</v>
      </c>
      <c r="X112" s="5">
        <f t="shared" si="49"/>
        <v>0.23618659420289856</v>
      </c>
      <c r="Y112" s="5">
        <f t="shared" si="49"/>
        <v>0.2053894927536232</v>
      </c>
      <c r="Z112" s="5">
        <f t="shared" si="49"/>
        <v>7.9030797101449279E-2</v>
      </c>
      <c r="AA112" s="5">
        <f t="shared" si="49"/>
        <v>0</v>
      </c>
      <c r="AB112" s="5">
        <f t="shared" si="49"/>
        <v>6.4311594202898559E-2</v>
      </c>
      <c r="AC112" s="5">
        <f t="shared" si="48"/>
        <v>0</v>
      </c>
      <c r="AD112" s="5">
        <f t="shared" si="48"/>
        <v>9.442934782608696E-2</v>
      </c>
      <c r="AE112" s="5">
        <f t="shared" si="48"/>
        <v>0</v>
      </c>
      <c r="AF112" s="5">
        <f t="shared" si="48"/>
        <v>0</v>
      </c>
      <c r="AG112" s="5">
        <f t="shared" si="48"/>
        <v>0</v>
      </c>
      <c r="AH112" s="6">
        <f t="shared" si="45"/>
        <v>0.28442028985507251</v>
      </c>
      <c r="AI112" s="6">
        <f t="shared" si="46"/>
        <v>0.15874094202898553</v>
      </c>
      <c r="AJ112" s="6"/>
    </row>
    <row r="113" spans="1:36" x14ac:dyDescent="0.25">
      <c r="A113">
        <v>2011</v>
      </c>
      <c r="B113">
        <v>1.54</v>
      </c>
      <c r="C113">
        <v>5.9</v>
      </c>
      <c r="D113">
        <v>10.35</v>
      </c>
      <c r="E113">
        <v>17.170000000000002</v>
      </c>
      <c r="F113">
        <v>10.5</v>
      </c>
      <c r="G113">
        <v>5.3</v>
      </c>
      <c r="H113">
        <v>9.08</v>
      </c>
      <c r="I113">
        <v>10.93</v>
      </c>
      <c r="J113">
        <v>0</v>
      </c>
      <c r="K113">
        <v>0</v>
      </c>
      <c r="L113">
        <v>0</v>
      </c>
      <c r="M113">
        <v>6.44</v>
      </c>
      <c r="N113">
        <v>0</v>
      </c>
      <c r="O113">
        <f t="shared" si="43"/>
        <v>15.8</v>
      </c>
      <c r="P113">
        <f t="shared" si="44"/>
        <v>26.45</v>
      </c>
      <c r="S113">
        <v>2011</v>
      </c>
      <c r="T113" s="24">
        <v>77.36</v>
      </c>
      <c r="U113" s="5">
        <f t="shared" si="49"/>
        <v>1.9906928645294728E-2</v>
      </c>
      <c r="V113" s="5">
        <f t="shared" si="49"/>
        <v>7.6266804550155123E-2</v>
      </c>
      <c r="W113" s="5">
        <f t="shared" si="49"/>
        <v>0.13379007238883142</v>
      </c>
      <c r="X113" s="5">
        <f t="shared" si="49"/>
        <v>0.22194932781799381</v>
      </c>
      <c r="Y113" s="5">
        <f t="shared" si="49"/>
        <v>0.13572905894519133</v>
      </c>
      <c r="Z113" s="5">
        <f t="shared" si="49"/>
        <v>6.8510858324715609E-2</v>
      </c>
      <c r="AA113" s="5">
        <f t="shared" si="49"/>
        <v>0.11737331954498449</v>
      </c>
      <c r="AB113" s="5">
        <f t="shared" si="49"/>
        <v>0.14128748707342295</v>
      </c>
      <c r="AC113" s="5">
        <f t="shared" si="48"/>
        <v>0</v>
      </c>
      <c r="AD113" s="5">
        <f t="shared" si="48"/>
        <v>0</v>
      </c>
      <c r="AE113" s="5">
        <f t="shared" si="48"/>
        <v>0</v>
      </c>
      <c r="AF113" s="5">
        <f t="shared" si="48"/>
        <v>8.3247156153050672E-2</v>
      </c>
      <c r="AG113" s="5">
        <f t="shared" si="48"/>
        <v>0</v>
      </c>
      <c r="AH113" s="6">
        <f t="shared" si="45"/>
        <v>0.20423991726990692</v>
      </c>
      <c r="AI113" s="6">
        <f t="shared" si="46"/>
        <v>0.34190796277145813</v>
      </c>
      <c r="AJ113" s="6"/>
    </row>
    <row r="114" spans="1:36" x14ac:dyDescent="0.25">
      <c r="A114">
        <v>2012</v>
      </c>
      <c r="B114">
        <v>1.68</v>
      </c>
      <c r="C114">
        <v>5.04</v>
      </c>
      <c r="D114">
        <v>9.0299999999999994</v>
      </c>
      <c r="E114">
        <v>16.3799999999999</v>
      </c>
      <c r="F114">
        <v>5.9</v>
      </c>
      <c r="G114">
        <v>3.2</v>
      </c>
      <c r="H114">
        <v>0</v>
      </c>
      <c r="I114">
        <v>0</v>
      </c>
      <c r="J114">
        <v>3.44</v>
      </c>
      <c r="K114">
        <v>0</v>
      </c>
      <c r="L114">
        <v>0</v>
      </c>
      <c r="M114">
        <v>0</v>
      </c>
      <c r="N114">
        <v>0</v>
      </c>
      <c r="O114">
        <f t="shared" si="43"/>
        <v>9.1000000000000014</v>
      </c>
      <c r="P114">
        <f t="shared" si="44"/>
        <v>3.44</v>
      </c>
      <c r="S114">
        <v>2012</v>
      </c>
      <c r="T114" s="23">
        <v>45.28</v>
      </c>
      <c r="U114" s="5">
        <f t="shared" si="49"/>
        <v>3.7102473498233215E-2</v>
      </c>
      <c r="V114" s="5">
        <f t="shared" si="49"/>
        <v>0.11130742049469965</v>
      </c>
      <c r="W114" s="5">
        <f t="shared" si="49"/>
        <v>0.19942579505300351</v>
      </c>
      <c r="X114" s="5">
        <f t="shared" si="49"/>
        <v>0.36174911660777165</v>
      </c>
      <c r="Y114" s="5">
        <f t="shared" si="49"/>
        <v>0.13030035335689047</v>
      </c>
      <c r="Z114" s="5">
        <f t="shared" si="49"/>
        <v>7.0671378091872794E-2</v>
      </c>
      <c r="AA114" s="5">
        <f t="shared" si="49"/>
        <v>0</v>
      </c>
      <c r="AB114" s="5">
        <f t="shared" si="49"/>
        <v>0</v>
      </c>
      <c r="AC114" s="5">
        <f t="shared" si="48"/>
        <v>7.5971731448763249E-2</v>
      </c>
      <c r="AD114" s="5">
        <f t="shared" si="48"/>
        <v>0</v>
      </c>
      <c r="AE114" s="5">
        <f t="shared" si="48"/>
        <v>0</v>
      </c>
      <c r="AF114" s="5">
        <f t="shared" si="48"/>
        <v>0</v>
      </c>
      <c r="AG114" s="5">
        <f t="shared" si="48"/>
        <v>0</v>
      </c>
      <c r="AH114" s="6">
        <f t="shared" si="45"/>
        <v>0.20097173144876326</v>
      </c>
      <c r="AI114" s="6">
        <f t="shared" si="46"/>
        <v>7.5971731448763249E-2</v>
      </c>
      <c r="AJ114" s="6"/>
    </row>
    <row r="115" spans="1:36" x14ac:dyDescent="0.25">
      <c r="A115">
        <v>2013</v>
      </c>
      <c r="B115">
        <v>1.92</v>
      </c>
      <c r="C115">
        <v>4.05</v>
      </c>
      <c r="D115">
        <v>7.8999999999999897</v>
      </c>
      <c r="E115">
        <v>12.85</v>
      </c>
      <c r="F115">
        <v>3.96</v>
      </c>
      <c r="G115">
        <v>6.88</v>
      </c>
      <c r="H115">
        <v>2.15</v>
      </c>
      <c r="I115">
        <v>2.89</v>
      </c>
      <c r="J115">
        <v>0</v>
      </c>
      <c r="K115">
        <v>0</v>
      </c>
      <c r="L115">
        <v>0</v>
      </c>
      <c r="M115">
        <v>0</v>
      </c>
      <c r="N115">
        <v>0</v>
      </c>
      <c r="O115">
        <f t="shared" si="43"/>
        <v>10.84</v>
      </c>
      <c r="P115">
        <f t="shared" si="44"/>
        <v>5.04</v>
      </c>
      <c r="S115">
        <v>2013</v>
      </c>
      <c r="T115" s="24">
        <v>42.65</v>
      </c>
      <c r="U115" s="5">
        <f t="shared" si="49"/>
        <v>4.5017584994138334E-2</v>
      </c>
      <c r="V115" s="5">
        <f t="shared" si="49"/>
        <v>9.495896834701055E-2</v>
      </c>
      <c r="W115" s="5">
        <f t="shared" si="49"/>
        <v>0.18522860492379811</v>
      </c>
      <c r="X115" s="5">
        <f t="shared" si="49"/>
        <v>0.30128956623681125</v>
      </c>
      <c r="Y115" s="5">
        <f t="shared" si="49"/>
        <v>9.2848769050410312E-2</v>
      </c>
      <c r="Z115" s="5">
        <f t="shared" si="49"/>
        <v>0.16131301289566238</v>
      </c>
      <c r="AA115" s="5">
        <f t="shared" si="49"/>
        <v>5.0410316529894493E-2</v>
      </c>
      <c r="AB115" s="5">
        <f t="shared" si="49"/>
        <v>6.7760844079718649E-2</v>
      </c>
      <c r="AC115" s="5">
        <f t="shared" si="48"/>
        <v>0</v>
      </c>
      <c r="AD115" s="5">
        <f t="shared" si="48"/>
        <v>0</v>
      </c>
      <c r="AE115" s="5">
        <f t="shared" si="48"/>
        <v>0</v>
      </c>
      <c r="AF115" s="5">
        <f t="shared" si="48"/>
        <v>0</v>
      </c>
      <c r="AG115" s="5">
        <f t="shared" si="48"/>
        <v>0</v>
      </c>
      <c r="AH115" s="6">
        <f t="shared" si="45"/>
        <v>0.2541617819460727</v>
      </c>
      <c r="AI115" s="6">
        <f t="shared" si="46"/>
        <v>0.11817116060961314</v>
      </c>
      <c r="AJ115" s="6"/>
    </row>
    <row r="116" spans="1:36" x14ac:dyDescent="0.25">
      <c r="A116">
        <v>2014</v>
      </c>
      <c r="B116">
        <v>2.23</v>
      </c>
      <c r="C116">
        <v>4.8299999999999903</v>
      </c>
      <c r="D116">
        <v>9.15</v>
      </c>
      <c r="E116">
        <v>9.74</v>
      </c>
      <c r="F116">
        <v>6.0299999999999896</v>
      </c>
      <c r="G116">
        <v>5.31</v>
      </c>
      <c r="H116">
        <v>2.4700000000000002</v>
      </c>
      <c r="I116">
        <v>0</v>
      </c>
      <c r="J116">
        <v>3.37</v>
      </c>
      <c r="K116">
        <v>0</v>
      </c>
      <c r="L116">
        <v>0</v>
      </c>
      <c r="M116">
        <v>0</v>
      </c>
      <c r="N116">
        <v>0</v>
      </c>
      <c r="O116">
        <f t="shared" si="43"/>
        <v>11.339999999999989</v>
      </c>
      <c r="P116">
        <f t="shared" si="44"/>
        <v>5.84</v>
      </c>
      <c r="S116">
        <v>2014</v>
      </c>
      <c r="T116" s="23">
        <v>43.46</v>
      </c>
      <c r="U116" s="5">
        <f t="shared" si="49"/>
        <v>5.1311550851357572E-2</v>
      </c>
      <c r="V116" s="5">
        <f t="shared" si="49"/>
        <v>0.11113667740450967</v>
      </c>
      <c r="W116" s="5">
        <f t="shared" si="49"/>
        <v>0.21053842613897839</v>
      </c>
      <c r="X116" s="5">
        <f t="shared" si="49"/>
        <v>0.22411412793373217</v>
      </c>
      <c r="Y116" s="5">
        <f t="shared" si="49"/>
        <v>0.13874827427519534</v>
      </c>
      <c r="Z116" s="5">
        <f t="shared" si="49"/>
        <v>0.12218131615278416</v>
      </c>
      <c r="AA116" s="5">
        <f t="shared" si="49"/>
        <v>5.6833870225494708E-2</v>
      </c>
      <c r="AB116" s="5">
        <f t="shared" si="49"/>
        <v>0</v>
      </c>
      <c r="AC116" s="5">
        <f t="shared" si="48"/>
        <v>7.7542567878508981E-2</v>
      </c>
      <c r="AD116" s="5">
        <f t="shared" si="48"/>
        <v>0</v>
      </c>
      <c r="AE116" s="5">
        <f t="shared" si="48"/>
        <v>0</v>
      </c>
      <c r="AF116" s="5">
        <f t="shared" si="48"/>
        <v>0</v>
      </c>
      <c r="AG116" s="5">
        <f t="shared" si="48"/>
        <v>0</v>
      </c>
      <c r="AH116" s="6">
        <f t="shared" si="45"/>
        <v>0.26092959042797947</v>
      </c>
      <c r="AI116" s="6">
        <f t="shared" si="46"/>
        <v>0.13437643810400368</v>
      </c>
      <c r="AJ116" s="6"/>
    </row>
    <row r="117" spans="1:36" x14ac:dyDescent="0.25">
      <c r="A117">
        <v>2015</v>
      </c>
      <c r="B117">
        <v>1.71</v>
      </c>
      <c r="C117">
        <v>5.1499999999999897</v>
      </c>
      <c r="D117">
        <v>4.5</v>
      </c>
      <c r="E117">
        <v>14.39</v>
      </c>
      <c r="F117">
        <v>3.29</v>
      </c>
      <c r="G117">
        <v>7.0699999999999896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f t="shared" si="43"/>
        <v>10.359999999999989</v>
      </c>
      <c r="P117">
        <f t="shared" si="44"/>
        <v>0</v>
      </c>
      <c r="Q117" t="s">
        <v>60</v>
      </c>
      <c r="S117">
        <v>2015</v>
      </c>
      <c r="T117" s="24">
        <v>36.39</v>
      </c>
      <c r="U117" s="5">
        <f t="shared" si="49"/>
        <v>4.6990931574608409E-2</v>
      </c>
      <c r="V117" s="5">
        <f t="shared" si="49"/>
        <v>0.14152239626270924</v>
      </c>
      <c r="W117" s="5">
        <f t="shared" si="49"/>
        <v>0.1236603462489695</v>
      </c>
      <c r="X117" s="5">
        <f t="shared" si="49"/>
        <v>0.39543830722726026</v>
      </c>
      <c r="Y117" s="5">
        <f t="shared" si="49"/>
        <v>9.040945314646881E-2</v>
      </c>
      <c r="Z117" s="5">
        <f t="shared" si="49"/>
        <v>0.1942841439956029</v>
      </c>
      <c r="AA117" s="5">
        <f t="shared" si="49"/>
        <v>0</v>
      </c>
      <c r="AB117" s="5">
        <f t="shared" si="49"/>
        <v>0</v>
      </c>
      <c r="AC117" s="5">
        <f t="shared" si="48"/>
        <v>0</v>
      </c>
      <c r="AD117" s="5">
        <f t="shared" si="48"/>
        <v>0</v>
      </c>
      <c r="AE117" s="5">
        <f t="shared" si="48"/>
        <v>0</v>
      </c>
      <c r="AF117" s="5">
        <f t="shared" si="48"/>
        <v>0</v>
      </c>
      <c r="AG117" s="5">
        <f t="shared" si="48"/>
        <v>0</v>
      </c>
      <c r="AH117" s="6">
        <f t="shared" si="45"/>
        <v>0.28469359714207171</v>
      </c>
      <c r="AI117" s="6">
        <f t="shared" si="46"/>
        <v>0</v>
      </c>
      <c r="AJ117" s="6"/>
    </row>
    <row r="118" spans="1:36" x14ac:dyDescent="0.25">
      <c r="A118">
        <v>2016</v>
      </c>
      <c r="B118">
        <v>1.89</v>
      </c>
      <c r="C118">
        <v>4</v>
      </c>
      <c r="D118">
        <v>11.76</v>
      </c>
      <c r="E118">
        <v>6.28</v>
      </c>
      <c r="F118">
        <v>8.84</v>
      </c>
      <c r="G118">
        <v>1.73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f t="shared" si="43"/>
        <v>10.57</v>
      </c>
      <c r="P118">
        <f t="shared" si="44"/>
        <v>0</v>
      </c>
      <c r="S118">
        <v>2016</v>
      </c>
      <c r="T118" s="23">
        <v>34.72</v>
      </c>
      <c r="U118" s="5">
        <f t="shared" si="49"/>
        <v>5.4435483870967742E-2</v>
      </c>
      <c r="V118" s="5">
        <f t="shared" si="49"/>
        <v>0.1152073732718894</v>
      </c>
      <c r="W118" s="5">
        <f t="shared" si="49"/>
        <v>0.33870967741935487</v>
      </c>
      <c r="X118" s="5">
        <f t="shared" si="49"/>
        <v>0.18087557603686638</v>
      </c>
      <c r="Y118" s="5">
        <f t="shared" si="49"/>
        <v>0.25460829493087556</v>
      </c>
      <c r="Z118" s="5">
        <f t="shared" si="49"/>
        <v>4.9827188940092165E-2</v>
      </c>
      <c r="AA118" s="5">
        <f t="shared" si="49"/>
        <v>0</v>
      </c>
      <c r="AB118" s="5">
        <f t="shared" si="49"/>
        <v>0</v>
      </c>
      <c r="AC118" s="5">
        <f t="shared" si="48"/>
        <v>0</v>
      </c>
      <c r="AD118" s="5">
        <f t="shared" si="48"/>
        <v>0</v>
      </c>
      <c r="AE118" s="5">
        <f t="shared" si="48"/>
        <v>0</v>
      </c>
      <c r="AF118" s="5">
        <f t="shared" si="48"/>
        <v>0</v>
      </c>
      <c r="AG118" s="5">
        <f t="shared" si="48"/>
        <v>0</v>
      </c>
      <c r="AH118" s="6">
        <f t="shared" si="45"/>
        <v>0.30443548387096775</v>
      </c>
      <c r="AI118" s="6">
        <f t="shared" si="46"/>
        <v>0</v>
      </c>
      <c r="AJ118" s="6"/>
    </row>
    <row r="119" spans="1:36" x14ac:dyDescent="0.25">
      <c r="A119">
        <v>2017</v>
      </c>
      <c r="B119">
        <v>2.5</v>
      </c>
      <c r="C119">
        <v>5.28</v>
      </c>
      <c r="D119">
        <v>9.75</v>
      </c>
      <c r="E119">
        <v>11.549999999999899</v>
      </c>
      <c r="F119">
        <v>8.7899999999999991</v>
      </c>
      <c r="G119">
        <v>3.54</v>
      </c>
      <c r="H119">
        <v>0</v>
      </c>
      <c r="I119">
        <v>0</v>
      </c>
      <c r="J119">
        <v>3.8</v>
      </c>
      <c r="K119">
        <v>0</v>
      </c>
      <c r="L119">
        <v>0</v>
      </c>
      <c r="M119">
        <v>0</v>
      </c>
      <c r="N119">
        <v>0</v>
      </c>
      <c r="O119">
        <f t="shared" si="43"/>
        <v>12.329999999999998</v>
      </c>
      <c r="P119">
        <f t="shared" si="44"/>
        <v>3.8</v>
      </c>
      <c r="S119">
        <v>2017</v>
      </c>
      <c r="T119" s="24">
        <v>45.07</v>
      </c>
      <c r="U119" s="5">
        <f t="shared" si="49"/>
        <v>5.5469270024406478E-2</v>
      </c>
      <c r="V119" s="5">
        <f t="shared" si="49"/>
        <v>0.11715109829154649</v>
      </c>
      <c r="W119" s="5">
        <f t="shared" si="49"/>
        <v>0.21633015309518527</v>
      </c>
      <c r="X119" s="5">
        <f t="shared" si="49"/>
        <v>0.25626802751275568</v>
      </c>
      <c r="Y119" s="5">
        <f t="shared" si="49"/>
        <v>0.19502995340581317</v>
      </c>
      <c r="Z119" s="5">
        <f t="shared" si="49"/>
        <v>7.8544486354559573E-2</v>
      </c>
      <c r="AA119" s="5">
        <f t="shared" si="49"/>
        <v>0</v>
      </c>
      <c r="AB119" s="5">
        <f t="shared" si="49"/>
        <v>0</v>
      </c>
      <c r="AC119" s="5">
        <f t="shared" si="48"/>
        <v>8.4313290437097843E-2</v>
      </c>
      <c r="AD119" s="5">
        <f t="shared" si="48"/>
        <v>0</v>
      </c>
      <c r="AE119" s="5">
        <f t="shared" si="48"/>
        <v>0</v>
      </c>
      <c r="AF119" s="5">
        <f t="shared" si="48"/>
        <v>0</v>
      </c>
      <c r="AG119" s="5">
        <f t="shared" si="48"/>
        <v>0</v>
      </c>
      <c r="AH119" s="6">
        <f t="shared" si="45"/>
        <v>0.27357443976037277</v>
      </c>
      <c r="AI119" s="6">
        <f t="shared" si="46"/>
        <v>8.4313290437097843E-2</v>
      </c>
      <c r="AJ119" s="6"/>
    </row>
    <row r="121" spans="1:36" x14ac:dyDescent="0.25">
      <c r="A121" s="28" t="s">
        <v>58</v>
      </c>
      <c r="B121" s="21">
        <f>AVERAGE(B90:B119)</f>
        <v>1.8759999999999997</v>
      </c>
      <c r="C121" s="21">
        <f t="shared" ref="C121:AI121" si="51">AVERAGE(C90:C119)</f>
        <v>4.770999999999999</v>
      </c>
      <c r="D121" s="21">
        <f t="shared" si="51"/>
        <v>7.9999999999999893</v>
      </c>
      <c r="E121" s="21">
        <f t="shared" si="51"/>
        <v>12.913333333333311</v>
      </c>
      <c r="F121" s="21">
        <f t="shared" si="51"/>
        <v>7.3496666666666659</v>
      </c>
      <c r="G121" s="21">
        <f t="shared" si="51"/>
        <v>4.7003333333333313</v>
      </c>
      <c r="H121" s="21">
        <f t="shared" si="51"/>
        <v>1.9339999999999991</v>
      </c>
      <c r="I121" s="21">
        <f t="shared" si="51"/>
        <v>1.4756666666666662</v>
      </c>
      <c r="J121" s="21">
        <f t="shared" si="51"/>
        <v>1.1260000000000001</v>
      </c>
      <c r="K121" s="21">
        <f t="shared" si="51"/>
        <v>0.57499999999999996</v>
      </c>
      <c r="L121" s="21">
        <f t="shared" si="51"/>
        <v>0.18766666666666668</v>
      </c>
      <c r="M121" s="21">
        <f t="shared" si="51"/>
        <v>0.21466666666666667</v>
      </c>
      <c r="N121" s="21">
        <f t="shared" si="51"/>
        <v>0.23700000000000002</v>
      </c>
      <c r="O121" s="21">
        <f t="shared" si="51"/>
        <v>12.049999999999995</v>
      </c>
      <c r="P121" s="21">
        <f t="shared" si="51"/>
        <v>5.75</v>
      </c>
      <c r="Q121" s="21"/>
      <c r="R121" s="21"/>
      <c r="S121" s="21"/>
      <c r="T121" s="21">
        <f t="shared" si="51"/>
        <v>45.254666666666665</v>
      </c>
      <c r="U121" s="27">
        <f t="shared" si="51"/>
        <v>4.2654363111030637E-2</v>
      </c>
      <c r="V121" s="27">
        <f t="shared" si="51"/>
        <v>0.10677906325847687</v>
      </c>
      <c r="W121" s="27">
        <f t="shared" si="51"/>
        <v>0.17967540262271461</v>
      </c>
      <c r="X121" s="27">
        <f t="shared" si="51"/>
        <v>0.29017227946563828</v>
      </c>
      <c r="Y121" s="27">
        <f t="shared" si="51"/>
        <v>0.1616477322301251</v>
      </c>
      <c r="Z121" s="27">
        <f t="shared" si="51"/>
        <v>0.104581938950554</v>
      </c>
      <c r="AA121" s="27">
        <f t="shared" si="51"/>
        <v>3.8377351472176399E-2</v>
      </c>
      <c r="AB121" s="27">
        <f t="shared" si="51"/>
        <v>2.752658696385879E-2</v>
      </c>
      <c r="AC121" s="27">
        <f t="shared" si="51"/>
        <v>2.3423731679255481E-2</v>
      </c>
      <c r="AD121" s="27">
        <f t="shared" si="51"/>
        <v>1.4561463382541552E-2</v>
      </c>
      <c r="AE121" s="27">
        <f t="shared" si="51"/>
        <v>4.9243418175457009E-3</v>
      </c>
      <c r="AF121" s="27">
        <f t="shared" si="51"/>
        <v>2.7749052051016889E-3</v>
      </c>
      <c r="AG121" s="27">
        <f t="shared" si="51"/>
        <v>4.7258225324027922E-3</v>
      </c>
      <c r="AH121" s="27">
        <f t="shared" si="51"/>
        <v>0.26622967118067908</v>
      </c>
      <c r="AI121" s="27">
        <f t="shared" si="51"/>
        <v>0.1163142030528824</v>
      </c>
    </row>
    <row r="122" spans="1:36" x14ac:dyDescent="0.25">
      <c r="A122" s="28" t="s">
        <v>59</v>
      </c>
      <c r="B122" s="21">
        <f>AVERAGE(B2:B89)</f>
        <v>1.7162499999999994</v>
      </c>
      <c r="C122" s="21">
        <f t="shared" ref="C122:AI122" si="52">AVERAGE(C2:C89)</f>
        <v>4.3365909090909076</v>
      </c>
      <c r="D122" s="21">
        <f t="shared" si="52"/>
        <v>8.0476136363636286</v>
      </c>
      <c r="E122" s="21">
        <f t="shared" si="52"/>
        <v>12.778295454545431</v>
      </c>
      <c r="F122" s="21">
        <f t="shared" si="52"/>
        <v>7.6910227272727205</v>
      </c>
      <c r="G122" s="21">
        <f t="shared" si="52"/>
        <v>3.9259090909090912</v>
      </c>
      <c r="H122" s="21">
        <f t="shared" si="52"/>
        <v>1.9462499999999978</v>
      </c>
      <c r="I122" s="21">
        <f t="shared" si="52"/>
        <v>0.82397727272727284</v>
      </c>
      <c r="J122" s="21">
        <f t="shared" si="52"/>
        <v>0.74386363636363628</v>
      </c>
      <c r="K122" s="21">
        <f t="shared" si="52"/>
        <v>0.15511363636363637</v>
      </c>
      <c r="L122" s="21">
        <f t="shared" si="52"/>
        <v>5.8749999999999997E-2</v>
      </c>
      <c r="M122" s="21">
        <f t="shared" si="52"/>
        <v>7.193181818181818E-2</v>
      </c>
      <c r="N122" s="21">
        <f t="shared" si="52"/>
        <v>0</v>
      </c>
      <c r="O122" s="21">
        <f t="shared" si="52"/>
        <v>11.616931818181811</v>
      </c>
      <c r="P122" s="21">
        <f t="shared" si="52"/>
        <v>3.7998863636363613</v>
      </c>
      <c r="Q122" s="21"/>
      <c r="R122" s="21"/>
      <c r="S122" s="21"/>
      <c r="T122" s="21">
        <f t="shared" si="52"/>
        <v>42.378977272727276</v>
      </c>
      <c r="U122" s="27">
        <f t="shared" si="52"/>
        <v>4.1040560034988099E-2</v>
      </c>
      <c r="V122" s="27">
        <f t="shared" si="52"/>
        <v>0.10447412089389164</v>
      </c>
      <c r="W122" s="27">
        <f t="shared" si="52"/>
        <v>0.19388672081510264</v>
      </c>
      <c r="X122" s="27">
        <f t="shared" si="52"/>
        <v>0.30639591348319017</v>
      </c>
      <c r="Y122" s="27">
        <f t="shared" si="52"/>
        <v>0.17984051768549628</v>
      </c>
      <c r="Z122" s="27">
        <f t="shared" si="52"/>
        <v>8.7815840408472956E-2</v>
      </c>
      <c r="AA122" s="27">
        <f t="shared" si="52"/>
        <v>4.3285014605237648E-2</v>
      </c>
      <c r="AB122" s="27">
        <f t="shared" si="52"/>
        <v>1.9503148816503686E-2</v>
      </c>
      <c r="AC122" s="27">
        <f t="shared" si="52"/>
        <v>1.5087054277810473E-2</v>
      </c>
      <c r="AD122" s="27">
        <f t="shared" si="52"/>
        <v>3.4160086649116742E-3</v>
      </c>
      <c r="AE122" s="27">
        <f t="shared" si="52"/>
        <v>1.6591358373340866E-3</v>
      </c>
      <c r="AF122" s="27">
        <f t="shared" si="52"/>
        <v>1.4357648339684268E-3</v>
      </c>
      <c r="AG122" s="27">
        <f t="shared" si="52"/>
        <v>0</v>
      </c>
      <c r="AH122" s="27">
        <f t="shared" si="52"/>
        <v>0.26765635809396932</v>
      </c>
      <c r="AI122" s="27">
        <f t="shared" si="52"/>
        <v>8.4386127035765993E-2</v>
      </c>
    </row>
    <row r="123" spans="1:36" x14ac:dyDescent="0.25">
      <c r="T123" s="25">
        <f>T121-T122</f>
        <v>2.875689393939389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81" zoomScale="70" zoomScaleNormal="70" workbookViewId="0">
      <selection activeCell="AB216" sqref="AB21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topLeftCell="A193" zoomScale="70" zoomScaleNormal="70" workbookViewId="0">
      <selection activeCell="AF189" sqref="AF18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1:O248"/>
  <sheetViews>
    <sheetView topLeftCell="A24" zoomScale="70" zoomScaleNormal="70" workbookViewId="0">
      <selection activeCell="AB199" sqref="AB199"/>
    </sheetView>
  </sheetViews>
  <sheetFormatPr defaultRowHeight="15" x14ac:dyDescent="0.25"/>
  <sheetData>
    <row r="11" spans="2:2" x14ac:dyDescent="0.25">
      <c r="B11" t="s">
        <v>33</v>
      </c>
    </row>
    <row r="247" spans="15:15" ht="15.75" thickBot="1" x14ac:dyDescent="0.3"/>
    <row r="248" spans="15:15" ht="15.75" thickBot="1" x14ac:dyDescent="0.3">
      <c r="O248" s="19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topLeftCell="A141" zoomScale="85" zoomScaleNormal="85" workbookViewId="0">
      <selection activeCell="AB159" sqref="AB15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61"/>
  <sheetViews>
    <sheetView topLeftCell="A4" zoomScale="55" zoomScaleNormal="55" workbookViewId="0">
      <selection activeCell="AP51" sqref="AP51"/>
    </sheetView>
  </sheetViews>
  <sheetFormatPr defaultRowHeight="15" x14ac:dyDescent="0.25"/>
  <sheetData>
    <row r="1" spans="1:43" x14ac:dyDescent="0.25">
      <c r="A1" s="45" t="s">
        <v>53</v>
      </c>
      <c r="B1" s="45"/>
      <c r="C1" s="45"/>
      <c r="D1" s="45"/>
    </row>
    <row r="2" spans="1:43" ht="15" customHeight="1" x14ac:dyDescent="0.25">
      <c r="A2" s="49" t="s">
        <v>54</v>
      </c>
      <c r="B2" s="49"/>
      <c r="C2" s="49"/>
      <c r="D2" s="49"/>
      <c r="G2" s="47" t="s">
        <v>46</v>
      </c>
      <c r="H2" s="47"/>
      <c r="I2" s="47"/>
      <c r="J2" s="47"/>
      <c r="K2" s="47"/>
      <c r="L2" s="47"/>
      <c r="Q2" s="47" t="s">
        <v>47</v>
      </c>
      <c r="R2" s="47"/>
      <c r="S2" s="47"/>
      <c r="T2" s="47"/>
      <c r="U2" s="47"/>
      <c r="V2" s="47"/>
      <c r="W2" s="47"/>
      <c r="AB2" s="47" t="s">
        <v>48</v>
      </c>
      <c r="AC2" s="47"/>
      <c r="AD2" s="47"/>
      <c r="AE2" s="47"/>
      <c r="AF2" s="47"/>
      <c r="AG2" s="47"/>
      <c r="AL2" s="47" t="s">
        <v>49</v>
      </c>
      <c r="AM2" s="47"/>
      <c r="AN2" s="47"/>
      <c r="AO2" s="47"/>
      <c r="AP2" s="47"/>
      <c r="AQ2" s="47"/>
    </row>
    <row r="3" spans="1:43" ht="15" customHeight="1" x14ac:dyDescent="0.25">
      <c r="A3" s="49"/>
      <c r="B3" s="49"/>
      <c r="C3" s="49"/>
      <c r="D3" s="49"/>
      <c r="G3" s="47"/>
      <c r="H3" s="47"/>
      <c r="I3" s="47"/>
      <c r="J3" s="47"/>
      <c r="K3" s="47"/>
      <c r="L3" s="47"/>
      <c r="Q3" s="47"/>
      <c r="R3" s="47"/>
      <c r="S3" s="47"/>
      <c r="T3" s="47"/>
      <c r="U3" s="47"/>
      <c r="V3" s="47"/>
      <c r="W3" s="47"/>
      <c r="AB3" s="47"/>
      <c r="AC3" s="47"/>
      <c r="AD3" s="47"/>
      <c r="AE3" s="47"/>
      <c r="AF3" s="47"/>
      <c r="AG3" s="47"/>
      <c r="AL3" s="47"/>
      <c r="AM3" s="47"/>
      <c r="AN3" s="47"/>
      <c r="AO3" s="47"/>
      <c r="AP3" s="47"/>
      <c r="AQ3" s="47"/>
    </row>
    <row r="4" spans="1:43" ht="15" customHeight="1" x14ac:dyDescent="0.25">
      <c r="A4" s="48" t="s">
        <v>55</v>
      </c>
      <c r="B4" s="48"/>
      <c r="C4" s="48"/>
      <c r="D4" s="48"/>
      <c r="G4" s="47"/>
      <c r="H4" s="47"/>
      <c r="I4" s="47"/>
      <c r="J4" s="47"/>
      <c r="K4" s="47"/>
      <c r="L4" s="47"/>
      <c r="Q4" s="47"/>
      <c r="R4" s="47"/>
      <c r="S4" s="47"/>
      <c r="T4" s="47"/>
      <c r="U4" s="47"/>
      <c r="V4" s="47"/>
      <c r="W4" s="47"/>
      <c r="AB4" s="47"/>
      <c r="AC4" s="47"/>
      <c r="AD4" s="47"/>
      <c r="AE4" s="47"/>
      <c r="AF4" s="47"/>
      <c r="AG4" s="47"/>
      <c r="AL4" s="47"/>
      <c r="AM4" s="47"/>
      <c r="AN4" s="47"/>
      <c r="AO4" s="47"/>
      <c r="AP4" s="47"/>
      <c r="AQ4" s="47"/>
    </row>
    <row r="5" spans="1:43" x14ac:dyDescent="0.25">
      <c r="A5" s="48"/>
      <c r="B5" s="48"/>
      <c r="C5" s="48"/>
      <c r="D5" s="48"/>
    </row>
    <row r="8" spans="1:43" ht="15" customHeight="1" x14ac:dyDescent="0.25">
      <c r="A8" s="46" t="s">
        <v>50</v>
      </c>
      <c r="B8" s="46"/>
      <c r="C8" s="46"/>
      <c r="D8" s="46"/>
    </row>
    <row r="9" spans="1:43" ht="15" customHeight="1" x14ac:dyDescent="0.25">
      <c r="A9" s="46"/>
      <c r="B9" s="46"/>
      <c r="C9" s="46"/>
      <c r="D9" s="46"/>
    </row>
    <row r="10" spans="1:43" ht="15" customHeight="1" x14ac:dyDescent="0.25">
      <c r="A10" s="46"/>
      <c r="B10" s="46"/>
      <c r="C10" s="46"/>
      <c r="D10" s="46"/>
    </row>
    <row r="11" spans="1:43" ht="15" customHeight="1" x14ac:dyDescent="0.25">
      <c r="A11" s="46"/>
      <c r="B11" s="46"/>
      <c r="C11" s="46"/>
      <c r="D11" s="46"/>
    </row>
    <row r="12" spans="1:43" ht="15" customHeight="1" x14ac:dyDescent="0.25">
      <c r="A12" s="46"/>
      <c r="B12" s="46"/>
      <c r="C12" s="46"/>
      <c r="D12" s="46"/>
    </row>
    <row r="13" spans="1:43" ht="15" customHeight="1" x14ac:dyDescent="0.25">
      <c r="A13" s="46"/>
      <c r="B13" s="46"/>
      <c r="C13" s="46"/>
      <c r="D13" s="46"/>
    </row>
    <row r="14" spans="1:43" ht="15" customHeight="1" x14ac:dyDescent="0.25">
      <c r="A14" s="46"/>
      <c r="B14" s="46"/>
      <c r="C14" s="46"/>
      <c r="D14" s="46"/>
    </row>
    <row r="15" spans="1:43" ht="15" customHeight="1" x14ac:dyDescent="0.25">
      <c r="A15" s="46"/>
      <c r="B15" s="46"/>
      <c r="C15" s="46"/>
      <c r="D15" s="46"/>
    </row>
    <row r="16" spans="1:43" ht="15" customHeight="1" x14ac:dyDescent="0.25">
      <c r="A16" s="46"/>
      <c r="B16" s="46"/>
      <c r="C16" s="46"/>
      <c r="D16" s="46"/>
    </row>
    <row r="17" spans="1:4" ht="15" customHeight="1" x14ac:dyDescent="0.25">
      <c r="A17" s="46"/>
      <c r="B17" s="46"/>
      <c r="C17" s="46"/>
      <c r="D17" s="46"/>
    </row>
    <row r="18" spans="1:4" ht="15" customHeight="1" x14ac:dyDescent="0.25">
      <c r="A18" s="46"/>
      <c r="B18" s="46"/>
      <c r="C18" s="46"/>
      <c r="D18" s="46"/>
    </row>
    <row r="29" spans="1:4" ht="15" customHeight="1" x14ac:dyDescent="0.25">
      <c r="A29" s="46" t="s">
        <v>51</v>
      </c>
      <c r="B29" s="46"/>
      <c r="C29" s="46"/>
      <c r="D29" s="46"/>
    </row>
    <row r="30" spans="1:4" ht="15" customHeight="1" x14ac:dyDescent="0.25">
      <c r="A30" s="46"/>
      <c r="B30" s="46"/>
      <c r="C30" s="46"/>
      <c r="D30" s="46"/>
    </row>
    <row r="31" spans="1:4" ht="15" customHeight="1" x14ac:dyDescent="0.25">
      <c r="A31" s="46"/>
      <c r="B31" s="46"/>
      <c r="C31" s="46"/>
      <c r="D31" s="46"/>
    </row>
    <row r="32" spans="1:4" ht="15" customHeight="1" x14ac:dyDescent="0.25">
      <c r="A32" s="46"/>
      <c r="B32" s="46"/>
      <c r="C32" s="46"/>
      <c r="D32" s="46"/>
    </row>
    <row r="33" spans="1:4" ht="15" customHeight="1" x14ac:dyDescent="0.25">
      <c r="A33" s="46"/>
      <c r="B33" s="46"/>
      <c r="C33" s="46"/>
      <c r="D33" s="46"/>
    </row>
    <row r="34" spans="1:4" ht="15" customHeight="1" x14ac:dyDescent="0.25">
      <c r="A34" s="46"/>
      <c r="B34" s="46"/>
      <c r="C34" s="46"/>
      <c r="D34" s="46"/>
    </row>
    <row r="35" spans="1:4" ht="15" customHeight="1" x14ac:dyDescent="0.25">
      <c r="A35" s="46"/>
      <c r="B35" s="46"/>
      <c r="C35" s="46"/>
      <c r="D35" s="46"/>
    </row>
    <row r="36" spans="1:4" ht="15" customHeight="1" x14ac:dyDescent="0.25">
      <c r="A36" s="46"/>
      <c r="B36" s="46"/>
      <c r="C36" s="46"/>
      <c r="D36" s="46"/>
    </row>
    <row r="37" spans="1:4" ht="15" customHeight="1" x14ac:dyDescent="0.25">
      <c r="A37" s="46"/>
      <c r="B37" s="46"/>
      <c r="C37" s="46"/>
      <c r="D37" s="46"/>
    </row>
    <row r="38" spans="1:4" ht="15" customHeight="1" x14ac:dyDescent="0.25">
      <c r="A38" s="46"/>
      <c r="B38" s="46"/>
      <c r="C38" s="46"/>
      <c r="D38" s="46"/>
    </row>
    <row r="39" spans="1:4" ht="15" customHeight="1" x14ac:dyDescent="0.25">
      <c r="A39" s="46"/>
      <c r="B39" s="46"/>
      <c r="C39" s="46"/>
      <c r="D39" s="46"/>
    </row>
    <row r="47" spans="1:4" x14ac:dyDescent="0.25">
      <c r="A47" s="46" t="s">
        <v>52</v>
      </c>
      <c r="B47" s="46"/>
      <c r="C47" s="46"/>
      <c r="D47" s="46"/>
    </row>
    <row r="48" spans="1:4" x14ac:dyDescent="0.25">
      <c r="A48" s="46"/>
      <c r="B48" s="46"/>
      <c r="C48" s="46"/>
      <c r="D48" s="46"/>
    </row>
    <row r="49" spans="1:4" x14ac:dyDescent="0.25">
      <c r="A49" s="46"/>
      <c r="B49" s="46"/>
      <c r="C49" s="46"/>
      <c r="D49" s="46"/>
    </row>
    <row r="50" spans="1:4" x14ac:dyDescent="0.25">
      <c r="A50" s="46"/>
      <c r="B50" s="46"/>
      <c r="C50" s="46"/>
      <c r="D50" s="46"/>
    </row>
    <row r="51" spans="1:4" ht="15" customHeight="1" x14ac:dyDescent="0.25">
      <c r="A51" s="46"/>
      <c r="B51" s="46"/>
      <c r="C51" s="46"/>
      <c r="D51" s="46"/>
    </row>
    <row r="52" spans="1:4" ht="15" customHeight="1" x14ac:dyDescent="0.25">
      <c r="A52" s="46"/>
      <c r="B52" s="46"/>
      <c r="C52" s="46"/>
      <c r="D52" s="46"/>
    </row>
    <row r="53" spans="1:4" ht="15" customHeight="1" x14ac:dyDescent="0.25">
      <c r="A53" s="46"/>
      <c r="B53" s="46"/>
      <c r="C53" s="46"/>
      <c r="D53" s="46"/>
    </row>
    <row r="54" spans="1:4" ht="15" customHeight="1" x14ac:dyDescent="0.25">
      <c r="A54" s="46"/>
      <c r="B54" s="46"/>
      <c r="C54" s="46"/>
      <c r="D54" s="46"/>
    </row>
    <row r="55" spans="1:4" ht="15" customHeight="1" x14ac:dyDescent="0.25">
      <c r="A55" s="46"/>
      <c r="B55" s="46"/>
      <c r="C55" s="46"/>
      <c r="D55" s="46"/>
    </row>
    <row r="56" spans="1:4" ht="15" customHeight="1" x14ac:dyDescent="0.25">
      <c r="A56" s="46"/>
      <c r="B56" s="46"/>
      <c r="C56" s="46"/>
      <c r="D56" s="46"/>
    </row>
    <row r="57" spans="1:4" ht="15" customHeight="1" x14ac:dyDescent="0.25">
      <c r="A57" s="46"/>
      <c r="B57" s="46"/>
      <c r="C57" s="46"/>
      <c r="D57" s="46"/>
    </row>
    <row r="58" spans="1:4" ht="15" customHeight="1" x14ac:dyDescent="0.25">
      <c r="A58" s="46"/>
      <c r="B58" s="46"/>
      <c r="C58" s="46"/>
      <c r="D58" s="46"/>
    </row>
    <row r="59" spans="1:4" ht="15" customHeight="1" x14ac:dyDescent="0.25">
      <c r="A59" s="46"/>
      <c r="B59" s="46"/>
      <c r="C59" s="46"/>
      <c r="D59" s="46"/>
    </row>
    <row r="60" spans="1:4" ht="15" customHeight="1" x14ac:dyDescent="0.25">
      <c r="A60" s="46"/>
      <c r="B60" s="46"/>
      <c r="C60" s="46"/>
      <c r="D60" s="46"/>
    </row>
    <row r="61" spans="1:4" ht="15" customHeight="1" x14ac:dyDescent="0.25">
      <c r="A61" s="46"/>
      <c r="B61" s="46"/>
      <c r="C61" s="46"/>
      <c r="D61" s="46"/>
    </row>
  </sheetData>
  <mergeCells count="10">
    <mergeCell ref="A1:D1"/>
    <mergeCell ref="A29:D39"/>
    <mergeCell ref="A8:D18"/>
    <mergeCell ref="A47:D61"/>
    <mergeCell ref="AL2:AQ4"/>
    <mergeCell ref="A4:D5"/>
    <mergeCell ref="A2:D3"/>
    <mergeCell ref="G2:L4"/>
    <mergeCell ref="Q2:W4"/>
    <mergeCell ref="AB2:AG4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405371-9E62-4A22-9C6F-BBD508D180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IM NOE</vt:lpstr>
      <vt:lpstr>IM AOE</vt:lpstr>
      <vt:lpstr>ACM NOE</vt:lpstr>
      <vt:lpstr>ACM AOE</vt:lpstr>
      <vt:lpstr>NB NOE</vt:lpstr>
      <vt:lpstr>NB AOE</vt:lpstr>
      <vt:lpstr>SS NOE</vt:lpstr>
      <vt:lpstr>SS AOE</vt:lpstr>
      <vt:lpstr>IM Plots</vt:lpstr>
      <vt:lpstr>ACM Plots</vt:lpstr>
      <vt:lpstr>NB Plots</vt:lpstr>
      <vt:lpstr>SS Plots</vt:lpstr>
      <vt:lpstr>16 Climatological Plots</vt:lpstr>
      <vt:lpstr>'ACM AOE'!acm_annual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Fogarty</dc:creator>
  <cp:lastModifiedBy>Joseph Fogarty</cp:lastModifiedBy>
  <dcterms:created xsi:type="dcterms:W3CDTF">2018-07-11T18:36:50Z</dcterms:created>
  <dcterms:modified xsi:type="dcterms:W3CDTF">2018-08-22T16:46:08Z</dcterms:modified>
</cp:coreProperties>
</file>